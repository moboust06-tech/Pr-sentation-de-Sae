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0.xml" ContentType="application/vnd.openxmlformats-officedocument.spreadsheetml.pivotTab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6E76F98-43D2-429B-A9AB-9CE03B7F7CCD}" xr6:coauthVersionLast="47" xr6:coauthVersionMax="47" xr10:uidLastSave="{00000000-0000-0000-0000-000000000000}"/>
  <bookViews>
    <workbookView xWindow="-110" yWindow="-110" windowWidth="19420" windowHeight="11500" xr2:uid="{9C1DA3E7-471E-4881-BCB4-EE0ABF5043D5}"/>
  </bookViews>
  <sheets>
    <sheet name="Mon tableau de bord" sheetId="3" r:id="rId1"/>
    <sheet name="tabCroisée" sheetId="5" r:id="rId2"/>
    <sheet name="tab croiseee" sheetId="1" r:id="rId3"/>
    <sheet name="GRAPHIQUE CROISE" sheetId="8" r:id="rId4"/>
    <sheet name="meilleur tonneur" sheetId="9" r:id="rId5"/>
    <sheet name="evolution graph" sheetId="10" r:id="rId6"/>
    <sheet name="anneau " sheetId="11" r:id="rId7"/>
    <sheet name="carte fr" sheetId="7" r:id="rId8"/>
    <sheet name="sinoe-(r)-repartition-des-tonna" sheetId="2" r:id="rId9"/>
    <sheet name="https___www insee fr_fr_statist" sheetId="4" r:id="rId10"/>
  </sheets>
  <definedNames>
    <definedName name="DonnéesExternes_1" localSheetId="9" hidden="1">'https___www insee fr_fr_statist'!$A$1:$D$5547</definedName>
    <definedName name="DonnéesExternes_1" localSheetId="8" hidden="1">'sinoe-(r)-repartition-des-tonna'!$A$1:$G$2123</definedName>
    <definedName name="Segment_ANNEE1">#N/A</definedName>
    <definedName name="Segment_N_DEPT">#N/A</definedName>
    <definedName name="Segment_TYP_COLLECTE">#N/A</definedName>
  </definedNames>
  <calcPr calcId="191029" iterateDelta="1E-4"/>
  <pivotCaches>
    <pivotCache cacheId="0" r:id="rId11"/>
    <pivotCache cacheId="1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7" i="7" l="1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N8" i="3"/>
  <c r="C3" i="11"/>
  <c r="C4" i="11"/>
  <c r="C2" i="11"/>
  <c r="H8" i="3"/>
  <c r="B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F42474-EC6B-454C-9C5F-CB016BE6D82E}" keepAlive="1" name="Requête - https://www insee fr/fr/statistiques/fichier/8331297/estim-pop-dep-sexe-gca-1975" description="Connexion à la requête « https://www insee fr/fr/statistiques/fichier/8331297/estim-pop-dep-sexe-gca-1975 » dans le classeur." type="5" refreshedVersion="7" background="1" saveData="1">
    <dbPr connection="Provider=Microsoft.Mashup.OleDb.1;Data Source=$Workbook$;Location=&quot;https://www insee fr/fr/statistiques/fichier/8331297/estim-pop-dep-sexe-gca-1975&quot;;Extended Properties=&quot;&quot;" command="SELECT * FROM [https://www insee fr/fr/statistiques/fichier/8331297/estim-pop-dep-sexe-gca-1975]"/>
  </connection>
  <connection id="2" xr16:uid="{EB63FFA6-E4A5-4FBC-B4BA-0404B8E9A756}" keepAlive="1" name="Requête - sinoe-(r)-repartition-des-tonnages-de-dma-collectes-par-type-de-collecte" description="Connexion à la requête « sinoe-(r)-repartition-des-tonnages-de-dma-collectes-par-type-de-collecte » dans le classeur." type="5" refreshedVersion="7" background="1" saveData="1">
    <dbPr connection="Provider=Microsoft.Mashup.OleDb.1;Data Source=$Workbook$;Location=sinoe-(r)-repartition-des-tonnages-de-dma-collectes-par-type-de-collecte;Extended Properties=&quot;&quot;" command="SELECT * FROM [sinoe-(r)-repartition-des-tonnages-de-dma-collectes-par-type-de-collecte]"/>
  </connection>
</connections>
</file>

<file path=xl/sharedStrings.xml><?xml version="1.0" encoding="utf-8"?>
<sst xmlns="http://schemas.openxmlformats.org/spreadsheetml/2006/main" count="17084" uniqueCount="307">
  <si>
    <t>ANNEE</t>
  </si>
  <si>
    <t>C_DEPT</t>
  </si>
  <si>
    <t>N_DEPT</t>
  </si>
  <si>
    <t>TYP_COLLECTE</t>
  </si>
  <si>
    <t>TONNAGE_T_HG</t>
  </si>
  <si>
    <t>01</t>
  </si>
  <si>
    <t>Ain</t>
  </si>
  <si>
    <t>Collecte OMR</t>
  </si>
  <si>
    <t>Collecte séparées</t>
  </si>
  <si>
    <t>Déchèterie</t>
  </si>
  <si>
    <t>03</t>
  </si>
  <si>
    <t>Allier</t>
  </si>
  <si>
    <t>07</t>
  </si>
  <si>
    <t>Ardèche</t>
  </si>
  <si>
    <t>15</t>
  </si>
  <si>
    <t>Cantal</t>
  </si>
  <si>
    <t>26</t>
  </si>
  <si>
    <t>Drôme</t>
  </si>
  <si>
    <t>38</t>
  </si>
  <si>
    <t>Isère</t>
  </si>
  <si>
    <t>42</t>
  </si>
  <si>
    <t>Loire</t>
  </si>
  <si>
    <t>43</t>
  </si>
  <si>
    <t>Haute-Loire</t>
  </si>
  <si>
    <t>63</t>
  </si>
  <si>
    <t>Puy-de-Dôme</t>
  </si>
  <si>
    <t>69</t>
  </si>
  <si>
    <t>Rhône</t>
  </si>
  <si>
    <t>73</t>
  </si>
  <si>
    <t>Savoie</t>
  </si>
  <si>
    <t>74</t>
  </si>
  <si>
    <t>Haute-Savoie</t>
  </si>
  <si>
    <t>21</t>
  </si>
  <si>
    <t>Cote-d'Or</t>
  </si>
  <si>
    <t>25</t>
  </si>
  <si>
    <t>Doubs</t>
  </si>
  <si>
    <t>39</t>
  </si>
  <si>
    <t>Jura</t>
  </si>
  <si>
    <t>58</t>
  </si>
  <si>
    <t>Nièvre</t>
  </si>
  <si>
    <t>70</t>
  </si>
  <si>
    <t>Haute-Saône</t>
  </si>
  <si>
    <t>71</t>
  </si>
  <si>
    <t>Saône-et-Loire</t>
  </si>
  <si>
    <t>89</t>
  </si>
  <si>
    <t>Yonne</t>
  </si>
  <si>
    <t>90</t>
  </si>
  <si>
    <t>Territoire-de-Belfort</t>
  </si>
  <si>
    <t>22</t>
  </si>
  <si>
    <t>Cotes-d'Armor</t>
  </si>
  <si>
    <t>29</t>
  </si>
  <si>
    <t>Finistère</t>
  </si>
  <si>
    <t>35</t>
  </si>
  <si>
    <t>Ille-et-Vilaine</t>
  </si>
  <si>
    <t>56</t>
  </si>
  <si>
    <t>Morbihan</t>
  </si>
  <si>
    <t>18</t>
  </si>
  <si>
    <t>Cher</t>
  </si>
  <si>
    <t>28</t>
  </si>
  <si>
    <t>Eure-et-Loir</t>
  </si>
  <si>
    <t>36</t>
  </si>
  <si>
    <t>Indre</t>
  </si>
  <si>
    <t>37</t>
  </si>
  <si>
    <t>Indre-et-Loire</t>
  </si>
  <si>
    <t>41</t>
  </si>
  <si>
    <t>Loir-et-Cher</t>
  </si>
  <si>
    <t>45</t>
  </si>
  <si>
    <t>Loiret</t>
  </si>
  <si>
    <t>2A</t>
  </si>
  <si>
    <t>Corse-du-Sud</t>
  </si>
  <si>
    <t>2B</t>
  </si>
  <si>
    <t>Haute-Corse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</si>
  <si>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</si>
  <si>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</si>
  <si>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</si>
  <si>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</si>
  <si>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</si>
  <si>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</si>
  <si>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</si>
  <si>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</si>
  <si>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977</t>
  </si>
  <si>
    <t>Saint-Barthélemy</t>
  </si>
  <si>
    <t>978</t>
  </si>
  <si>
    <t>Saint-Martin</t>
  </si>
  <si>
    <t>08</t>
  </si>
  <si>
    <t>Ardennes</t>
  </si>
  <si>
    <t>10</t>
  </si>
  <si>
    <t>Aube</t>
  </si>
  <si>
    <t>51</t>
  </si>
  <si>
    <t>Marne</t>
  </si>
  <si>
    <t>52</t>
  </si>
  <si>
    <t>Haute-Marne</t>
  </si>
  <si>
    <t>54</t>
  </si>
  <si>
    <t>Meurthe-et-Moselle</t>
  </si>
  <si>
    <t>55</t>
  </si>
  <si>
    <t>Meuse</t>
  </si>
  <si>
    <t>57</t>
  </si>
  <si>
    <t>Moselle</t>
  </si>
  <si>
    <t>67</t>
  </si>
  <si>
    <t>Bas-Rhin</t>
  </si>
  <si>
    <t>68</t>
  </si>
  <si>
    <t>Haut-Rhin</t>
  </si>
  <si>
    <t>88</t>
  </si>
  <si>
    <t>Vosges</t>
  </si>
  <si>
    <t>02</t>
  </si>
  <si>
    <t>Aisne</t>
  </si>
  <si>
    <t>59</t>
  </si>
  <si>
    <t>Nord</t>
  </si>
  <si>
    <t>60</t>
  </si>
  <si>
    <t>Oise</t>
  </si>
  <si>
    <t>62</t>
  </si>
  <si>
    <t>Pas-de-Calais</t>
  </si>
  <si>
    <t>80</t>
  </si>
  <si>
    <t>Somme</t>
  </si>
  <si>
    <t>75</t>
  </si>
  <si>
    <t>Paris</t>
  </si>
  <si>
    <t>77</t>
  </si>
  <si>
    <t>Seine-et-Marne</t>
  </si>
  <si>
    <t>78</t>
  </si>
  <si>
    <t>Yvelines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</si>
  <si>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</si>
  <si>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</si>
  <si>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</si>
  <si>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</si>
  <si>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</si>
  <si>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</si>
  <si>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</si>
  <si>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</si>
  <si>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</si>
  <si>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</si>
  <si>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14</t>
  </si>
  <si>
    <t>Calvados</t>
  </si>
  <si>
    <t>27</t>
  </si>
  <si>
    <t>Eure</t>
  </si>
  <si>
    <t>50</t>
  </si>
  <si>
    <t>Manche</t>
  </si>
  <si>
    <t>61</t>
  </si>
  <si>
    <t>Orne</t>
  </si>
  <si>
    <t>76</t>
  </si>
  <si>
    <t>Seine-Maritime</t>
  </si>
  <si>
    <t>16</t>
  </si>
  <si>
    <t>Charente</t>
  </si>
  <si>
    <t>17</t>
  </si>
  <si>
    <t>Charente-Maritime</t>
  </si>
  <si>
    <t>19</t>
  </si>
  <si>
    <t>Corrèze</t>
  </si>
  <si>
    <t>23</t>
  </si>
  <si>
    <t>Creuse</t>
  </si>
  <si>
    <t>24</t>
  </si>
  <si>
    <t>Dordogne</t>
  </si>
  <si>
    <t>33</t>
  </si>
  <si>
    <t>Gironde</t>
  </si>
  <si>
    <t>40</t>
  </si>
  <si>
    <t>Landes</t>
  </si>
  <si>
    <t>47</t>
  </si>
  <si>
    <t>Lot-et-Garonne</t>
  </si>
  <si>
    <t>64</t>
  </si>
  <si>
    <t>Pyrénées-Atlantiques</t>
  </si>
  <si>
    <t>79</t>
  </si>
  <si>
    <t>Deux-Sèvres</t>
  </si>
  <si>
    <t>86</t>
  </si>
  <si>
    <t>Vienne</t>
  </si>
  <si>
    <t>87</t>
  </si>
  <si>
    <t>Haute-Vienne</t>
  </si>
  <si>
    <t>09</t>
  </si>
  <si>
    <t>Ariège</t>
  </si>
  <si>
    <t>11</t>
  </si>
  <si>
    <t>Aude</t>
  </si>
  <si>
    <t>12</t>
  </si>
  <si>
    <t>Aveyron</t>
  </si>
  <si>
    <t>30</t>
  </si>
  <si>
    <t>Gard</t>
  </si>
  <si>
    <t>31</t>
  </si>
  <si>
    <t>Haute-Garonne</t>
  </si>
  <si>
    <t>32</t>
  </si>
  <si>
    <t>Gers</t>
  </si>
  <si>
    <t>34</t>
  </si>
  <si>
    <t>Hérault</t>
  </si>
  <si>
    <t>46</t>
  </si>
  <si>
    <t>Lot</t>
  </si>
  <si>
    <t>48</t>
  </si>
  <si>
    <t>Lozère</t>
  </si>
  <si>
    <t>65</t>
  </si>
  <si>
    <t>Hautes-Pyrénées</t>
  </si>
  <si>
    <t>66</t>
  </si>
  <si>
    <t>Pyrénées-Orientales</t>
  </si>
  <si>
    <t>81</t>
  </si>
  <si>
    <t>Tarn</t>
  </si>
  <si>
    <t>82</t>
  </si>
  <si>
    <t>Tarn-et-Garonne</t>
  </si>
  <si>
    <t>44</t>
  </si>
  <si>
    <t>Loire-Atlantique</t>
  </si>
  <si>
    <t>49</t>
  </si>
  <si>
    <t>Maine-et-Loire</t>
  </si>
  <si>
    <t>53</t>
  </si>
  <si>
    <t>Mayenne</t>
  </si>
  <si>
    <t>72</t>
  </si>
  <si>
    <t>Sarthe</t>
  </si>
  <si>
    <t>85</t>
  </si>
  <si>
    <t>Vendée</t>
  </si>
  <si>
    <t>04</t>
  </si>
  <si>
    <t>Alpes-de-Haute-Provence</t>
  </si>
  <si>
    <t>05</t>
  </si>
  <si>
    <t>Hautes-Alpes</t>
  </si>
  <si>
    <t>06</t>
  </si>
  <si>
    <t>Alpes-Maritimes</t>
  </si>
  <si>
    <t>13</t>
  </si>
  <si>
    <t>Bouches-du-Rhône</t>
  </si>
  <si>
    <t>83</t>
  </si>
  <si>
    <t>Var</t>
  </si>
  <si>
    <t>84</t>
  </si>
  <si>
    <t>Vaucluse</t>
  </si>
  <si>
    <t>987</t>
  </si>
  <si>
    <t>Polynésie française</t>
  </si>
  <si>
    <t>976</t>
  </si>
  <si>
    <t>Mayotte</t>
  </si>
  <si>
    <t>num_dpt</t>
  </si>
  <si>
    <t>N_dpt</t>
  </si>
  <si>
    <t>hab_dpt</t>
  </si>
  <si>
    <t>Côte-d'Or</t>
  </si>
  <si>
    <t>Côtes-d'Armor</t>
  </si>
  <si>
    <t>Territoire de Belfort</t>
  </si>
  <si>
    <t>Hauts-de-Seine</t>
  </si>
  <si>
    <t xml:space="preserve">France métropolitaine </t>
  </si>
  <si>
    <t xml:space="preserve">Guadeloupe </t>
  </si>
  <si>
    <t xml:space="preserve">Martinique </t>
  </si>
  <si>
    <t>DOM</t>
  </si>
  <si>
    <t>France métropolitaine et DOM</t>
  </si>
  <si>
    <t>Source : Insee - Estimations de population (résultats précoces arrêtés fin 2024)</t>
  </si>
  <si>
    <t>Estimation de population au 1er janvier, par département, sexe et grande classe d'âge</t>
  </si>
  <si>
    <t>Année 2024</t>
  </si>
  <si>
    <t>Départements</t>
  </si>
  <si>
    <t>Total</t>
  </si>
  <si>
    <t>Source : Insee - Estimations de population (résultats provisoires arrêtés fin 2024)</t>
  </si>
  <si>
    <t>Année 2023</t>
  </si>
  <si>
    <t>Année 2022</t>
  </si>
  <si>
    <t>Source : Insee - Estimations de population (résultats définitifs arrêtés fin 2024)</t>
  </si>
  <si>
    <t>Année 2021</t>
  </si>
  <si>
    <t>Source : Insee - Estimations de population (résultats définitifs arrêtés fin 2023)</t>
  </si>
  <si>
    <t>Année 2020</t>
  </si>
  <si>
    <t>Source : Insee - Estimations de population</t>
  </si>
  <si>
    <t>Année 2019</t>
  </si>
  <si>
    <t xml:space="preserve">Source : Insee - Estimations de population </t>
  </si>
  <si>
    <t>Année 2018</t>
  </si>
  <si>
    <t>Année 2017</t>
  </si>
  <si>
    <t>Année 2016</t>
  </si>
  <si>
    <t>Année 2015</t>
  </si>
  <si>
    <t>Année 2014</t>
  </si>
  <si>
    <t>Année 2013</t>
  </si>
  <si>
    <t>Année 2012</t>
  </si>
  <si>
    <t>Année 2011</t>
  </si>
  <si>
    <t xml:space="preserve">Estimation de population au 1er janvier, par département, sexe et grande classe d'âge </t>
  </si>
  <si>
    <t>Année 2010</t>
  </si>
  <si>
    <t>Année 2009</t>
  </si>
  <si>
    <t>Année 2008</t>
  </si>
  <si>
    <t>Année 2007</t>
  </si>
  <si>
    <t>Année 2006</t>
  </si>
  <si>
    <t>France métropolitaine</t>
  </si>
  <si>
    <t xml:space="preserve">La Réunion </t>
  </si>
  <si>
    <t>Année 2005</t>
  </si>
  <si>
    <t>Année 2004</t>
  </si>
  <si>
    <t>Année 2003</t>
  </si>
  <si>
    <t>Année 2002</t>
  </si>
  <si>
    <t>Année 2001</t>
  </si>
  <si>
    <t>Année 2000</t>
  </si>
  <si>
    <t>Année 1999</t>
  </si>
  <si>
    <t>Année 1998</t>
  </si>
  <si>
    <t>Année 1997</t>
  </si>
  <si>
    <t>Année 1996</t>
  </si>
  <si>
    <t>Année 1995</t>
  </si>
  <si>
    <t>Année 1994</t>
  </si>
  <si>
    <t>Année 1993</t>
  </si>
  <si>
    <t>Année 1992</t>
  </si>
  <si>
    <t>Année 1991</t>
  </si>
  <si>
    <t>Année 1990</t>
  </si>
  <si>
    <t>La Réunion (*)</t>
  </si>
  <si>
    <t xml:space="preserve"> (*) Population au recensement de 1990</t>
  </si>
  <si>
    <t>Année 1989</t>
  </si>
  <si>
    <t>NB: Pour les années 1975 à 1989, il n'existe pas d'estimation par sexe et âge détaillé pour les départements de Guadeloupe, Guyane, Martinique et La Réunion.</t>
  </si>
  <si>
    <t>Année 1988</t>
  </si>
  <si>
    <t>Année 1987</t>
  </si>
  <si>
    <t>Année 1986</t>
  </si>
  <si>
    <t>Année 1985</t>
  </si>
  <si>
    <t>Année 1984</t>
  </si>
  <si>
    <t>Année 1983</t>
  </si>
  <si>
    <t>Année 1982</t>
  </si>
  <si>
    <t>Année 1981</t>
  </si>
  <si>
    <t>Année 1980</t>
  </si>
  <si>
    <t>Année 1979</t>
  </si>
  <si>
    <t>Année 1978</t>
  </si>
  <si>
    <t>Année 1977</t>
  </si>
  <si>
    <t>Année 1976</t>
  </si>
  <si>
    <t>Année 1975</t>
  </si>
  <si>
    <t>date</t>
  </si>
  <si>
    <t>Tonnage_par_habitant</t>
  </si>
  <si>
    <t>Étiquettes de lignes</t>
  </si>
  <si>
    <t>Total général</t>
  </si>
  <si>
    <t>Somme de TONNAGE_T_HG</t>
  </si>
  <si>
    <t>Somme de hab_dpt</t>
  </si>
  <si>
    <t>Moyenne de Tonnage_par_habitant</t>
  </si>
  <si>
    <t>(Tous)</t>
  </si>
  <si>
    <t xml:space="preserve">        Mon tableau de bord</t>
  </si>
  <si>
    <t>Somme de Tonnage_par_habitant</t>
  </si>
  <si>
    <t>département</t>
  </si>
  <si>
    <t>Étiquettes de colonnes</t>
  </si>
  <si>
    <t>performance</t>
  </si>
  <si>
    <t>Moyenne de hab_dpt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</si>
</sst>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36"/>
      <color theme="0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9" fontId="0" fillId="0" borderId="0" xfId="0" applyNumberFormat="1"/>
    <xf numFmtId="2" fontId="0" fillId="0" borderId="0" xfId="0" applyNumberFormat="1"/>
    <xf numFmtId="4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1"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3" formatCode="0%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3" formatCode="0%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14" formatCode="0.00%"/>
    </dxf>
    <dxf>
      <numFmt numFmtId="2" formatCode="0.00"/>
    </dxf>
    <dxf>
      <numFmt numFmtId="2" formatCode="0.00"/>
    </dxf>
  </dxfs>
  <tableStyles count="0" defaultTableStyle="TableStyleMedium2" defaultPivotStyle="PivotStyleLight16"/>
  <colors>
    <mruColors>
      <color rgb="FF7778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[Boustane Mohamed.zip janvier.xlsx]GRAPHIQUE CROISE!Tableau croisé dynamique1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  <a:headEnd type="oval"/>
            <a:tailEnd type="stealt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  <a:headEnd type="oval"/>
            <a:tailEnd type="stealt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  <a:headEnd type="oval"/>
            <a:tailEnd type="stealth"/>
          </a:ln>
          <a:effectLst/>
        </c:spPr>
        <c:marker>
          <c:symbol val="none"/>
        </c:marker>
        <c:dLbl>
          <c:idx val="0"/>
          <c:numFmt formatCode="#,##0.0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'GRAPHIQUE CROISE'!$B$1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  <a:headEnd type="oval"/>
              <a:tailEnd type="stealth"/>
            </a:ln>
            <a:effectLst/>
          </c:spPr>
          <c:marker>
            <c:symbol val="none"/>
          </c:marker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'GRAPHIQUE CROISE'!$A$2:$A$9</c:f>
              <c:strCache>
                <c:ptCount val="7"/>
                <c:pt idx="0">
                  <c:v>2009</c:v>
                </c:pt>
                <c:pt idx="1">
                  <c:v>2011</c:v>
                </c:pt>
                <c:pt idx="2">
                  <c:v>2013</c:v>
                </c:pt>
                <c:pt idx="3">
                  <c:v>2015</c:v>
                </c:pt>
                <c:pt idx="4">
                  <c:v>2017</c:v>
                </c:pt>
                <c:pt idx="5">
                  <c:v>2019</c:v>
                </c:pt>
                <c:pt idx="6">
                  <c:v>2021</c:v>
                </c:pt>
              </c:strCache>
            </c:strRef>
          </c:cat>
          <c:val>
            <c:numRef>
              <c:f>'GRAPHIQUE CROISE'!$B$2:$B$9</c:f>
              <c:numCache>
                <c:formatCode>General</c:formatCode>
                <c:ptCount val="7"/>
                <c:pt idx="0">
                  <c:v>0.17986849991110015</c:v>
                </c:pt>
                <c:pt idx="1">
                  <c:v>0.17924905470893032</c:v>
                </c:pt>
                <c:pt idx="2">
                  <c:v>0.17518123670439845</c:v>
                </c:pt>
                <c:pt idx="3">
                  <c:v>0.17544774020482282</c:v>
                </c:pt>
                <c:pt idx="4">
                  <c:v>0.17974864886787939</c:v>
                </c:pt>
                <c:pt idx="5">
                  <c:v>0.1801732349460082</c:v>
                </c:pt>
                <c:pt idx="6">
                  <c:v>0.1881035439309274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2E-4B71-9AC0-4219E59F5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4050239"/>
        <c:axId val="4046911"/>
      </c:lineChart>
      <c:catAx>
        <c:axId val="405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46911"/>
        <c:crosses val="autoZero"/>
        <c:auto val="1"/>
        <c:lblAlgn val="ctr"/>
        <c:lblOffset val="100"/>
        <c:noMultiLvlLbl val="0"/>
      </c:catAx>
      <c:valAx>
        <c:axId val="40469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050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prstDash val="lgDashDot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[Boustane Mohamed.zip janvier.xlsx]meilleur tonneur!Tableau croisé dynamique1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354431335060752"/>
          <c:y val="6.5281899109792291E-2"/>
          <c:w val="0.7345068048602551"/>
          <c:h val="0.869436201780415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'meilleur tonneur'!$B$3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'meilleur tonneur'!$A$4:$A$14</c:f>
              <c:strCache>
                <c:ptCount val="10"/>
                <c:pt idx="0">
                  <c:v>Loire-Atlantique</c:v>
                </c:pt>
                <c:pt idx="1">
                  <c:v>Rhône</c:v>
                </c:pt>
                <c:pt idx="2">
                  <c:v>Seine-Maritime</c:v>
                </c:pt>
                <c:pt idx="3">
                  <c:v>Alpes-Maritimes</c:v>
                </c:pt>
                <c:pt idx="4">
                  <c:v>Var</c:v>
                </c:pt>
                <c:pt idx="5">
                  <c:v>Gironde</c:v>
                </c:pt>
                <c:pt idx="6">
                  <c:v>Pas-de-Calais</c:v>
                </c:pt>
                <c:pt idx="7">
                  <c:v>Paris</c:v>
                </c:pt>
                <c:pt idx="8">
                  <c:v>Bouches-du-Rhône</c:v>
                </c:pt>
                <c:pt idx="9">
                  <c:v>Nord</c:v>
                </c:pt>
              </c:strCache>
            </c:strRef>
          </c:cat>
          <c:val>
            <c:numRef>
              <c:f>'meilleur tonneur'!$B$4:$B$14</c:f>
              <c:numCache>
                <c:formatCode>General</c:formatCode>
                <c:ptCount val="10"/>
                <c:pt idx="0">
                  <c:v>4867387.4800000004</c:v>
                </c:pt>
                <c:pt idx="1">
                  <c:v>5015351.3699999992</c:v>
                </c:pt>
                <c:pt idx="2">
                  <c:v>5199167.1500000004</c:v>
                </c:pt>
                <c:pt idx="3">
                  <c:v>5239323.4200000009</c:v>
                </c:pt>
                <c:pt idx="4">
                  <c:v>5306038.1099999994</c:v>
                </c:pt>
                <c:pt idx="5">
                  <c:v>5912430.1199999982</c:v>
                </c:pt>
                <c:pt idx="6">
                  <c:v>6307776.0899999989</c:v>
                </c:pt>
                <c:pt idx="7">
                  <c:v>7229317.8899999987</c:v>
                </c:pt>
                <c:pt idx="8">
                  <c:v>8056829.1199999992</c:v>
                </c:pt>
                <c:pt idx="9">
                  <c:v>9971818.9699999988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4B-4C88-B975-B27CD4D4E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766018943"/>
        <c:axId val="766019359"/>
      </c:barChart>
      <c:catAx>
        <c:axId val="766018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66019359"/>
        <c:crosses val="autoZero"/>
        <c:auto val="1"/>
        <c:lblAlgn val="ctr"/>
        <c:lblOffset val="100"/>
        <c:noMultiLvlLbl val="0"/>
      </c:catAx>
      <c:valAx>
        <c:axId val="7660193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66018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prstDash val="lgDashDot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[Boustane Mohamed.zip janvier.xlsx]evolution graph!Tableau croisé dynamique2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8033681131834584E-2"/>
              <c:y val="1.5416751490050583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'evolution graph'!$B$1:$B$2</c:f>
              <c:strCache>
                <c:ptCount val="1"/>
                <c:pt idx="0">
                  <c:v>Collecte OMR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17-463D-827A-DC2D36E1721E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2A17-463D-827A-DC2D36E1721E}"/>
              </c:ext>
            </c:extLst>
          </c:dPt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A17-463D-827A-DC2D36E1721E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A17-463D-827A-DC2D36E1721E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'evolution graph'!$A$3:$A$10</c:f>
              <c:strCache>
                <c:ptCount val="7"/>
                <c:pt idx="0">
                  <c:v>2009</c:v>
                </c:pt>
                <c:pt idx="1">
                  <c:v>2011</c:v>
                </c:pt>
                <c:pt idx="2">
                  <c:v>2013</c:v>
                </c:pt>
                <c:pt idx="3">
                  <c:v>2015</c:v>
                </c:pt>
                <c:pt idx="4">
                  <c:v>2017</c:v>
                </c:pt>
                <c:pt idx="5">
                  <c:v>2019</c:v>
                </c:pt>
                <c:pt idx="6">
                  <c:v>2021</c:v>
                </c:pt>
              </c:strCache>
            </c:strRef>
          </c:cat>
          <c:val>
            <c:numRef>
              <c:f>'evolution graph'!$B$3:$B$10</c:f>
              <c:numCache>
                <c:formatCode>General</c:formatCode>
                <c:ptCount val="7"/>
                <c:pt idx="0">
                  <c:v>0.29191490231221368</c:v>
                </c:pt>
                <c:pt idx="1">
                  <c:v>0.28119193371943479</c:v>
                </c:pt>
                <c:pt idx="2">
                  <c:v>0.26297918437171663</c:v>
                </c:pt>
                <c:pt idx="3">
                  <c:v>0.25439389163576603</c:v>
                </c:pt>
                <c:pt idx="4">
                  <c:v>0.24666309579799539</c:v>
                </c:pt>
                <c:pt idx="5">
                  <c:v>0.23838460555473859</c:v>
                </c:pt>
                <c:pt idx="6">
                  <c:v>0.23611525386812135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17-463D-827A-DC2D36E1721E}"/>
            </c:ext>
          </c:extLst>
        </c:ser>
        <c:ser>
          <c:idx val="1"/>
          <c:order val="1"/>
          <c:tx>
            <c:strRef>
              <c:f>'evolution graph'!$C$1:$C$2</c:f>
              <c:strCache>
                <c:ptCount val="1"/>
                <c:pt idx="0">
                  <c:v>Collecte séparées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dLbls>
            <c:dLbl>
              <c:idx val="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'evolution graph'!$A$3:$A$10</c:f>
              <c:strCache>
                <c:ptCount val="7"/>
                <c:pt idx="0">
                  <c:v>2009</c:v>
                </c:pt>
                <c:pt idx="1">
                  <c:v>2011</c:v>
                </c:pt>
                <c:pt idx="2">
                  <c:v>2013</c:v>
                </c:pt>
                <c:pt idx="3">
                  <c:v>2015</c:v>
                </c:pt>
                <c:pt idx="4">
                  <c:v>2017</c:v>
                </c:pt>
                <c:pt idx="5">
                  <c:v>2019</c:v>
                </c:pt>
                <c:pt idx="6">
                  <c:v>2021</c:v>
                </c:pt>
              </c:strCache>
            </c:strRef>
          </c:cat>
          <c:val>
            <c:numRef>
              <c:f>'evolution graph'!$C$3:$C$10</c:f>
              <c:numCache>
                <c:formatCode>General</c:formatCode>
                <c:ptCount val="7"/>
                <c:pt idx="0">
                  <c:v>9.927483608944164E-2</c:v>
                </c:pt>
                <c:pt idx="1">
                  <c:v>0.10012283229382478</c:v>
                </c:pt>
                <c:pt idx="2">
                  <c:v>9.8789553186019605E-2</c:v>
                </c:pt>
                <c:pt idx="3">
                  <c:v>0.10015740007986969</c:v>
                </c:pt>
                <c:pt idx="4">
                  <c:v>0.10584275225069956</c:v>
                </c:pt>
                <c:pt idx="5">
                  <c:v>0.10843441442103757</c:v>
                </c:pt>
                <c:pt idx="6">
                  <c:v>0.11836661833330037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3CF-4516-9489-AEA05AA9F061}"/>
            </c:ext>
          </c:extLst>
        </c:ser>
        <c:ser>
          <c:idx val="2"/>
          <c:order val="2"/>
          <c:tx>
            <c:strRef>
              <c:f>'evolution graph'!$D$1:$D$2</c:f>
              <c:strCache>
                <c:ptCount val="1"/>
                <c:pt idx="0">
                  <c:v>Déchèterie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</c:dPt>
          <c:dLbls>
            <c:dLbl>
              <c:idx val="0"/>
              <c:layout>
                <c:manualLayout>
                  <c:x val="-6.8033681131834584E-2"/>
                  <c:y val="1.54167514900505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'evolution graph'!$A$3:$A$10</c:f>
              <c:strCache>
                <c:ptCount val="7"/>
                <c:pt idx="0">
                  <c:v>2009</c:v>
                </c:pt>
                <c:pt idx="1">
                  <c:v>2011</c:v>
                </c:pt>
                <c:pt idx="2">
                  <c:v>2013</c:v>
                </c:pt>
                <c:pt idx="3">
                  <c:v>2015</c:v>
                </c:pt>
                <c:pt idx="4">
                  <c:v>2017</c:v>
                </c:pt>
                <c:pt idx="5">
                  <c:v>2019</c:v>
                </c:pt>
                <c:pt idx="6">
                  <c:v>2021</c:v>
                </c:pt>
              </c:strCache>
            </c:strRef>
          </c:cat>
          <c:val>
            <c:numRef>
              <c:f>'evolution graph'!$D$3:$D$10</c:f>
              <c:numCache>
                <c:formatCode>General</c:formatCode>
                <c:ptCount val="7"/>
                <c:pt idx="0">
                  <c:v>0.14841576133164489</c:v>
                </c:pt>
                <c:pt idx="1">
                  <c:v>0.15643239811353218</c:v>
                </c:pt>
                <c:pt idx="2">
                  <c:v>0.16377497255545867</c:v>
                </c:pt>
                <c:pt idx="3">
                  <c:v>0.17179192889883263</c:v>
                </c:pt>
                <c:pt idx="4">
                  <c:v>0.18674009855494303</c:v>
                </c:pt>
                <c:pt idx="5">
                  <c:v>0.1937006848622482</c:v>
                </c:pt>
                <c:pt idx="6">
                  <c:v>0.20982875959136063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3CF-4516-9489-AEA05AA9F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3080703"/>
        <c:axId val="773081535"/>
      </c:lineChart>
      <c:catAx>
        <c:axId val="77308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3081535"/>
        <c:crosses val="autoZero"/>
        <c:auto val="1"/>
        <c:lblAlgn val="ctr"/>
        <c:lblOffset val="100"/>
        <c:noMultiLvlLbl val="0"/>
      </c:catAx>
      <c:valAx>
        <c:axId val="7730815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73080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prstDash val="lgDashDot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295996451147825E-2"/>
          <c:y val="0.11314475873544093"/>
          <c:w val="0.72253521126760567"/>
          <c:h val="0.85357737104825293"/>
        </c:manualLayout>
      </c:layout>
      <c:doughnutChart>
        <c:varyColors val="1"/>
        <c:ser>
          <c:idx val="0"/>
          <c:order val="0"/>
          <c:tx>
            <c:v>Collecte OMR</c:v>
          </c:tx>
          <c:spPr>
            <a:solidFill>
              <a:schemeClr val="bg1">
                <a:lumMod val="65000"/>
              </a:schemeClr>
            </a:solidFill>
          </c:spPr>
          <c:dPt>
            <c:idx val="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11-40BE-A547-23B5AB155F6B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11-40BE-A547-23B5AB155F6B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11-40BE-A547-23B5AB155F6B}"/>
              </c:ext>
            </c:extLst>
          </c:dPt>
          <c:dPt>
            <c:idx val="3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F11-40BE-A547-23B5AB155F6B}"/>
              </c:ext>
            </c:extLst>
          </c:dPt>
          <c:dPt>
            <c:idx val="4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F11-40BE-A547-23B5AB155F6B}"/>
              </c:ext>
            </c:extLst>
          </c:dPt>
          <c:dPt>
            <c:idx val="5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F11-40BE-A547-23B5AB155F6B}"/>
              </c:ext>
            </c:extLst>
          </c:dPt>
          <c:dPt>
            <c:idx val="6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F11-40BE-A547-23B5AB155F6B}"/>
              </c:ext>
            </c:extLst>
          </c:dPt>
          <c:dPt>
            <c:idx val="7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F11-40BE-A547-23B5AB155F6B}"/>
              </c:ext>
            </c:extLst>
          </c:dPt>
          <c:dPt>
            <c:idx val="8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F11-40BE-A547-23B5AB155F6B}"/>
              </c:ext>
            </c:extLst>
          </c:dPt>
          <c:dPt>
            <c:idx val="9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F11-40BE-A547-23B5AB155F6B}"/>
              </c:ext>
            </c:extLst>
          </c:dPt>
          <c:dPt>
            <c:idx val="1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F11-40BE-A547-23B5AB155F6B}"/>
              </c:ext>
            </c:extLst>
          </c:dPt>
          <c:dPt>
            <c:idx val="1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F11-40BE-A547-23B5AB155F6B}"/>
              </c:ext>
            </c:extLst>
          </c:dPt>
          <c:dPt>
            <c:idx val="1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F11-40BE-A547-23B5AB155F6B}"/>
              </c:ext>
            </c:extLst>
          </c:dPt>
          <c:dPt>
            <c:idx val="13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F11-40BE-A547-23B5AB155F6B}"/>
              </c:ext>
            </c:extLst>
          </c:dPt>
          <c:dPt>
            <c:idx val="14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F11-40BE-A547-23B5AB155F6B}"/>
              </c:ext>
            </c:extLst>
          </c:dPt>
          <c:dPt>
            <c:idx val="15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F11-40BE-A547-23B5AB155F6B}"/>
              </c:ext>
            </c:extLst>
          </c:dPt>
          <c:dPt>
            <c:idx val="16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F11-40BE-A547-23B5AB155F6B}"/>
              </c:ext>
            </c:extLst>
          </c:dPt>
          <c:dPt>
            <c:idx val="17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DF11-40BE-A547-23B5AB155F6B}"/>
              </c:ext>
            </c:extLst>
          </c:dPt>
          <c:dPt>
            <c:idx val="18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DF11-40BE-A547-23B5AB155F6B}"/>
              </c:ext>
            </c:extLst>
          </c:dPt>
          <c:dPt>
            <c:idx val="19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DF11-40BE-A547-23B5AB155F6B}"/>
              </c:ext>
            </c:extLst>
          </c:dPt>
          <c:cat>
            <c:strLit>
              <c:ptCount val="2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5"/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F5D05F6E-A05E-4728-AFD3-386EB277150F}">
              <c16:categoryFilterExceptions>
                <c16:categoryFilterException>
                  <c16:uniqueId val="{0000002D-8059-4615-B9E8-0E5897E3DE5C}"/>
                  <c16:spPr xmlns:c16="http://schemas.microsoft.com/office/drawing/2014/chart">
                    <a:solidFill>
                      <a:schemeClr val="bg1">
                        <a:lumMod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6:spPr>
                  <c16:bubble3D val="0"/>
                </c16:categoryFilterException>
                <c16:categoryFilterException>
                  <c16:uniqueId val="{0000002E-8059-4615-B9E8-0E5897E3DE5C}"/>
                  <c16:spPr xmlns:c16="http://schemas.microsoft.com/office/drawing/2014/chart">
                    <a:solidFill>
                      <a:schemeClr val="bg1">
                        <a:lumMod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6:spPr>
                  <c16:bubble3D val="0"/>
                </c16:categoryFilterException>
                <c16:categoryFilterException>
                  <c16:uniqueId val="{0000002F-8059-4615-B9E8-0E5897E3DE5C}"/>
                  <c16:spPr xmlns:c16="http://schemas.microsoft.com/office/drawing/2014/chart">
                    <a:solidFill>
                      <a:schemeClr val="bg1">
                        <a:lumMod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6:spPr>
                  <c16:bubble3D val="0"/>
                </c16:categoryFilterException>
                <c16:categoryFilterException>
                  <c16:uniqueId val="{00000030-8059-4615-B9E8-0E5897E3DE5C}"/>
                  <c16:spPr xmlns:c16="http://schemas.microsoft.com/office/drawing/2014/chart">
                    <a:solidFill>
                      <a:schemeClr val="bg1">
                        <a:lumMod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6:spPr>
                  <c16:bubble3D val="0"/>
                </c16:categoryFilterException>
                <c16:categoryFilterException>
                  <c16:uniqueId val="{00000031-8059-4615-B9E8-0E5897E3DE5C}"/>
                  <c16:spPr xmlns:c16="http://schemas.microsoft.com/office/drawing/2014/chart">
                    <a:solidFill>
                      <a:schemeClr val="bg1">
                        <a:lumMod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6:spPr>
                  <c16:bubble3D val="0"/>
                </c16:categoryFilterException>
                <c16:categoryFilterException>
                  <c16:uniqueId val="{00000032-8059-4615-B9E8-0E5897E3DE5C}"/>
                  <c16:spPr xmlns:c16="http://schemas.microsoft.com/office/drawing/2014/chart">
                    <a:solidFill>
                      <a:schemeClr val="bg1">
                        <a:lumMod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6:spPr>
                  <c16:bubble3D val="0"/>
                </c16:categoryFilterException>
                <c16:categoryFilterException>
                  <c16:uniqueId val="{00000033-8059-4615-B9E8-0E5897E3DE5C}"/>
                  <c16:spPr xmlns:c16="http://schemas.microsoft.com/office/drawing/2014/chart">
                    <a:solidFill>
                      <a:schemeClr val="bg1">
                        <a:lumMod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6:spPr>
                  <c16:bubble3D val="0"/>
                </c16:categoryFilterException>
                <c16:categoryFilterException>
                  <c16:uniqueId val="{00000034-8059-4615-B9E8-0E5897E3DE5C}"/>
                  <c16:spPr xmlns:c16="http://schemas.microsoft.com/office/drawing/2014/chart">
                    <a:solidFill>
                      <a:schemeClr val="bg1">
                        <a:lumMod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6:spPr>
                  <c16:bubble3D val="0"/>
                </c16:categoryFilterException>
                <c16:categoryFilterException>
                  <c16:uniqueId val="{00000035-8059-4615-B9E8-0E5897E3DE5C}"/>
                  <c16:spPr xmlns:c16="http://schemas.microsoft.com/office/drawing/2014/chart">
                    <a:solidFill>
                      <a:schemeClr val="bg1">
                        <a:lumMod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6:spPr>
                  <c16:bubble3D val="0"/>
                </c16:categoryFilterException>
                <c16:categoryFilterException>
                  <c16:uniqueId val="{00000036-8059-4615-B9E8-0E5897E3DE5C}"/>
                  <c16:spPr xmlns:c16="http://schemas.microsoft.com/office/drawing/2014/chart">
                    <a:solidFill>
                      <a:schemeClr val="bg1">
                        <a:lumMod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6:spPr>
                  <c16:bubble3D val="0"/>
                </c16:categoryFilterException>
                <c16:categoryFilterException>
                  <c16:uniqueId val="{00000037-8059-4615-B9E8-0E5897E3DE5C}"/>
                  <c16:spPr xmlns:c16="http://schemas.microsoft.com/office/drawing/2014/chart">
                    <a:solidFill>
                      <a:schemeClr val="bg1">
                        <a:lumMod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6:spPr>
                  <c16:bubble3D val="0"/>
                </c16:categoryFilterException>
                <c16:categoryFilterException>
                  <c16:uniqueId val="{00000038-8059-4615-B9E8-0E5897E3DE5C}"/>
                  <c16:spPr xmlns:c16="http://schemas.microsoft.com/office/drawing/2014/chart">
                    <a:solidFill>
                      <a:schemeClr val="bg1">
                        <a:lumMod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6:spPr>
                  <c16:bubble3D val="0"/>
                </c16:categoryFilterException>
                <c16:categoryFilterException>
                  <c16:uniqueId val="{00000039-8059-4615-B9E8-0E5897E3DE5C}"/>
                  <c16:spPr xmlns:c16="http://schemas.microsoft.com/office/drawing/2014/chart">
                    <a:solidFill>
                      <a:schemeClr val="bg1">
                        <a:lumMod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6:spPr>
                  <c16:bubble3D val="0"/>
                </c16:categoryFilterException>
                <c16:categoryFilterException>
                  <c16:uniqueId val="{0000003A-8059-4615-B9E8-0E5897E3DE5C}"/>
                  <c16:spPr xmlns:c16="http://schemas.microsoft.com/office/drawing/2014/chart">
                    <a:solidFill>
                      <a:schemeClr val="bg1">
                        <a:lumMod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6:spPr>
                  <c16:bubble3D val="0"/>
                </c16:categoryFilterException>
                <c16:categoryFilterException>
                  <c16:uniqueId val="{0000003B-8059-4615-B9E8-0E5897E3DE5C}"/>
                  <c16:spPr xmlns:c16="http://schemas.microsoft.com/office/drawing/2014/chart">
                    <a:solidFill>
                      <a:schemeClr val="bg1">
                        <a:lumMod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6:spPr>
                  <c16:bubble3D val="0"/>
                </c16:categoryFilterException>
              </c16:categoryFilterExceptions>
            </c:ext>
            <c:ext xmlns:c16="http://schemas.microsoft.com/office/drawing/2014/chart" uri="{C5897E43-82E2-4C41-B96C-FBF1F857EA46}">
              <c16:datapointuniqueidmap xmlns:c16="http://schemas.microsoft.com/office/drawing/2014/chart">
                <c16:ptentry>
                  <c16:ptidx>20</c16:ptidx>
                  <c16:uniqueID val="{0000002D-8059-4615-B9E8-0E5897E3DE5C}"/>
                </c16:ptentry>
                <c16:ptentry>
                  <c16:ptidx>21</c16:ptidx>
                  <c16:uniqueID val="{0000002E-8059-4615-B9E8-0E5897E3DE5C}"/>
                </c16:ptentry>
                <c16:ptentry>
                  <c16:ptidx>22</c16:ptidx>
                  <c16:uniqueID val="{0000002F-8059-4615-B9E8-0E5897E3DE5C}"/>
                </c16:ptentry>
                <c16:ptentry>
                  <c16:ptidx>23</c16:ptidx>
                  <c16:uniqueID val="{00000030-8059-4615-B9E8-0E5897E3DE5C}"/>
                </c16:ptentry>
                <c16:ptentry>
                  <c16:ptidx>24</c16:ptidx>
                  <c16:uniqueID val="{00000031-8059-4615-B9E8-0E5897E3DE5C}"/>
                </c16:ptentry>
                <c16:ptentry>
                  <c16:ptidx>25</c16:ptidx>
                  <c16:uniqueID val="{00000032-8059-4615-B9E8-0E5897E3DE5C}"/>
                </c16:ptentry>
                <c16:ptentry>
                  <c16:ptidx>26</c16:ptidx>
                  <c16:uniqueID val="{00000033-8059-4615-B9E8-0E5897E3DE5C}"/>
                </c16:ptentry>
                <c16:ptentry>
                  <c16:ptidx>27</c16:ptidx>
                  <c16:uniqueID val="{00000034-8059-4615-B9E8-0E5897E3DE5C}"/>
                </c16:ptentry>
                <c16:ptentry>
                  <c16:ptidx>28</c16:ptidx>
                  <c16:uniqueID val="{00000035-8059-4615-B9E8-0E5897E3DE5C}"/>
                </c16:ptentry>
                <c16:ptentry>
                  <c16:ptidx>29</c16:ptidx>
                  <c16:uniqueID val="{00000036-8059-4615-B9E8-0E5897E3DE5C}"/>
                </c16:ptentry>
                <c16:ptentry>
                  <c16:ptidx>30</c16:ptidx>
                  <c16:uniqueID val="{00000037-8059-4615-B9E8-0E5897E3DE5C}"/>
                </c16:ptentry>
                <c16:ptentry>
                  <c16:ptidx>31</c16:ptidx>
                  <c16:uniqueID val="{00000038-8059-4615-B9E8-0E5897E3DE5C}"/>
                </c16:ptentry>
                <c16:ptentry>
                  <c16:ptidx>32</c16:ptidx>
                  <c16:uniqueID val="{00000039-8059-4615-B9E8-0E5897E3DE5C}"/>
                </c16:ptentry>
                <c16:ptentry>
                  <c16:ptidx>33</c16:ptidx>
                  <c16:uniqueID val="{0000003A-8059-4615-B9E8-0E5897E3DE5C}"/>
                </c16:ptentry>
                <c16:ptentry>
                  <c16:ptidx>34</c16:ptidx>
                  <c16:uniqueID val="{0000003B-8059-4615-B9E8-0E5897E3DE5C}"/>
                </c16:ptentry>
              </c16:datapointuniqueidmap>
            </c:ext>
            <c:ext xmlns:c16="http://schemas.microsoft.com/office/drawing/2014/chart" uri="{C3380CC4-5D6E-409C-BE32-E72D297353CC}">
              <c16:uniqueId val="{00000028-DF11-40BE-A547-23B5AB155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doughnutChart>
        <c:varyColors val="1"/>
        <c:ser>
          <c:idx val="1"/>
          <c:order val="1"/>
          <c:tx>
            <c:v>Collecte OMR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DF11-40BE-A547-23B5AB155F6B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  <a:alpha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DF11-40BE-A547-23B5AB155F6B}"/>
              </c:ext>
            </c:extLst>
          </c:dPt>
          <c:val>
            <c:numRef>
              <c:f>'anneau '!$B$2:$C$2</c:f>
              <c:numCache>
                <c:formatCode>General</c:formatCode>
                <c:ptCount val="2"/>
                <c:pt idx="0" formatCode="0%">
                  <c:v>0.48011958869067511</c:v>
                </c:pt>
                <c:pt idx="1">
                  <c:v>0.51988041130932494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F11-40BE-A547-23B5AB155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accent1">
          <a:lumMod val="60000"/>
          <a:lumOff val="40000"/>
        </a:schemeClr>
      </a:solidFill>
      <a:prstDash val="dashDot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46501053565484"/>
          <c:y val="7.9866888519134774E-2"/>
          <c:w val="0.72253521126760567"/>
          <c:h val="0.85357737104825293"/>
        </c:manualLayout>
      </c:layout>
      <c:doughnutChart>
        <c:varyColors val="1"/>
        <c:ser>
          <c:idx val="0"/>
          <c:order val="0"/>
          <c:tx>
            <c:v>Collecte OMR</c:v>
          </c:tx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C6-4D15-BE2C-F2FA139C89E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C6-4D15-BE2C-F2FA139C89E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2C6-4D15-BE2C-F2FA139C89EC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2C6-4D15-BE2C-F2FA139C89EC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2C6-4D15-BE2C-F2FA139C89EC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2C6-4D15-BE2C-F2FA139C89EC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2C6-4D15-BE2C-F2FA139C89EC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2C6-4D15-BE2C-F2FA139C89EC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2C6-4D15-BE2C-F2FA139C89EC}"/>
              </c:ext>
            </c:extLst>
          </c:dPt>
          <c:dPt>
            <c:idx val="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2C6-4D15-BE2C-F2FA139C89EC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2C6-4D15-BE2C-F2FA139C89EC}"/>
              </c:ext>
            </c:extLst>
          </c:dPt>
          <c:dPt>
            <c:idx val="1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2C6-4D15-BE2C-F2FA139C89EC}"/>
              </c:ext>
            </c:extLst>
          </c:dPt>
          <c:dPt>
            <c:idx val="1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2C6-4D15-BE2C-F2FA139C89EC}"/>
              </c:ext>
            </c:extLst>
          </c:dPt>
          <c:dPt>
            <c:idx val="1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72C6-4D15-BE2C-F2FA139C89EC}"/>
              </c:ext>
            </c:extLst>
          </c:dPt>
          <c:dPt>
            <c:idx val="1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72C6-4D15-BE2C-F2FA139C89EC}"/>
              </c:ext>
            </c:extLst>
          </c:dPt>
          <c:dPt>
            <c:idx val="1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72C6-4D15-BE2C-F2FA139C89EC}"/>
              </c:ext>
            </c:extLst>
          </c:dPt>
          <c:dPt>
            <c:idx val="1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72C6-4D15-BE2C-F2FA139C89EC}"/>
              </c:ext>
            </c:extLst>
          </c:dPt>
          <c:dPt>
            <c:idx val="1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72C6-4D15-BE2C-F2FA139C89EC}"/>
              </c:ext>
            </c:extLst>
          </c:dPt>
          <c:dPt>
            <c:idx val="1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72C6-4D15-BE2C-F2FA139C89EC}"/>
              </c:ext>
            </c:extLst>
          </c:dPt>
          <c:dPt>
            <c:idx val="1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72C6-4D15-BE2C-F2FA139C89EC}"/>
              </c:ext>
            </c:extLst>
          </c:dPt>
          <c:cat>
            <c:strLit>
              <c:ptCount val="2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5"/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F5D05F6E-A05E-4728-AFD3-386EB277150F}">
              <c16:categoryFilterExceptions/>
            </c:ext>
            <c:ext xmlns:c16="http://schemas.microsoft.com/office/drawing/2014/chart" uri="{C5897E43-82E2-4C41-B96C-FBF1F857EA46}">
              <c16:datapointuniqueidmap xmlns:c16="http://schemas.microsoft.com/office/drawing/2014/chart"/>
            </c:ext>
            <c:ext xmlns:c16="http://schemas.microsoft.com/office/drawing/2014/chart" uri="{C3380CC4-5D6E-409C-BE32-E72D297353CC}">
              <c16:uniqueId val="{00000028-72C6-4D15-BE2C-F2FA139C8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doughnutChart>
        <c:varyColors val="1"/>
        <c:ser>
          <c:idx val="1"/>
          <c:order val="1"/>
          <c:tx>
            <c:v>Collecte séparées</c:v>
          </c:tx>
          <c:spPr>
            <a:noFill/>
          </c:spPr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72C6-4D15-BE2C-F2FA139C89EC}"/>
              </c:ext>
            </c:extLst>
          </c:dPt>
          <c:dPt>
            <c:idx val="1"/>
            <c:bubble3D val="0"/>
            <c:spPr>
              <a:solidFill>
                <a:schemeClr val="bg2">
                  <a:lumMod val="90000"/>
                  <a:alpha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72C6-4D15-BE2C-F2FA139C89EC}"/>
              </c:ext>
            </c:extLst>
          </c:dPt>
          <c:val>
            <c:numRef>
              <c:f>'anneau '!$B$3:$C$3</c:f>
              <c:numCache>
                <c:formatCode>General</c:formatCode>
                <c:ptCount val="2"/>
                <c:pt idx="0" formatCode="0%">
                  <c:v>0.19372573893179829</c:v>
                </c:pt>
                <c:pt idx="1">
                  <c:v>0.80627426106820166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72C6-4D15-BE2C-F2FA139C8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rgbClr val="FF0000"/>
      </a:solidFill>
      <a:prstDash val="dashDot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03837196406786"/>
          <c:y val="7.9420725675622209E-2"/>
          <c:w val="0.72253521126760567"/>
          <c:h val="0.85357737104825293"/>
        </c:manualLayout>
      </c:layout>
      <c:doughnutChart>
        <c:varyColors val="1"/>
        <c:ser>
          <c:idx val="0"/>
          <c:order val="0"/>
          <c:tx>
            <c:v>Collecte OMR</c:v>
          </c:tx>
          <c:spPr>
            <a:solidFill>
              <a:schemeClr val="accent4">
                <a:lumMod val="60000"/>
                <a:lumOff val="40000"/>
              </a:schemeClr>
            </a:solidFill>
          </c:spPr>
          <c:explosion val="1"/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39-47B2-BBA0-B5BAAAA5CEDF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39-47B2-BBA0-B5BAAAA5CEDF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039-47B2-BBA0-B5BAAAA5CEDF}"/>
              </c:ext>
            </c:extLst>
          </c:dPt>
          <c:dPt>
            <c:idx val="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039-47B2-BBA0-B5BAAAA5CEDF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039-47B2-BBA0-B5BAAAA5CEDF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039-47B2-BBA0-B5BAAAA5CEDF}"/>
              </c:ext>
            </c:extLst>
          </c:dPt>
          <c:dPt>
            <c:idx val="6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039-47B2-BBA0-B5BAAAA5CEDF}"/>
              </c:ext>
            </c:extLst>
          </c:dPt>
          <c:dPt>
            <c:idx val="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039-47B2-BBA0-B5BAAAA5CEDF}"/>
              </c:ext>
            </c:extLst>
          </c:dPt>
          <c:dPt>
            <c:idx val="8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039-47B2-BBA0-B5BAAAA5CED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039-47B2-BBA0-B5BAAAA5CEDF}"/>
              </c:ext>
            </c:extLst>
          </c:dPt>
          <c:dPt>
            <c:idx val="1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039-47B2-BBA0-B5BAAAA5CEDF}"/>
              </c:ext>
            </c:extLst>
          </c:dPt>
          <c:dPt>
            <c:idx val="1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039-47B2-BBA0-B5BAAAA5CEDF}"/>
              </c:ext>
            </c:extLst>
          </c:dPt>
          <c:dPt>
            <c:idx val="1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039-47B2-BBA0-B5BAAAA5CEDF}"/>
              </c:ext>
            </c:extLst>
          </c:dPt>
          <c:dPt>
            <c:idx val="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039-47B2-BBA0-B5BAAAA5CEDF}"/>
              </c:ext>
            </c:extLst>
          </c:dPt>
          <c:dPt>
            <c:idx val="1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5039-47B2-BBA0-B5BAAAA5CED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5039-47B2-BBA0-B5BAAAA5CEDF}"/>
              </c:ext>
            </c:extLst>
          </c:dPt>
          <c:dPt>
            <c:idx val="16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5039-47B2-BBA0-B5BAAAA5CEDF}"/>
              </c:ext>
            </c:extLst>
          </c:dPt>
          <c:dPt>
            <c:idx val="1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5039-47B2-BBA0-B5BAAAA5CEDF}"/>
              </c:ext>
            </c:extLst>
          </c:dPt>
          <c:dPt>
            <c:idx val="18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5039-47B2-BBA0-B5BAAAA5CEDF}"/>
              </c:ext>
            </c:extLst>
          </c:dPt>
          <c:dPt>
            <c:idx val="1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5039-47B2-BBA0-B5BAAAA5CEDF}"/>
              </c:ext>
            </c:extLst>
          </c:dPt>
          <c:cat>
            <c:strLit>
              <c:ptCount val="2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5"/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F5D05F6E-A05E-4728-AFD3-386EB277150F}">
              <c16:categoryFilterExceptions/>
            </c:ext>
            <c:ext xmlns:c16="http://schemas.microsoft.com/office/drawing/2014/chart" uri="{C5897E43-82E2-4C41-B96C-FBF1F857EA46}">
              <c16:datapointuniqueidmap xmlns:c16="http://schemas.microsoft.com/office/drawing/2014/chart"/>
            </c:ext>
            <c:ext xmlns:c16="http://schemas.microsoft.com/office/drawing/2014/chart" uri="{C3380CC4-5D6E-409C-BE32-E72D297353CC}">
              <c16:uniqueId val="{00000028-5039-47B2-BBA0-B5BAAAA5C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doughnutChart>
        <c:varyColors val="1"/>
        <c:ser>
          <c:idx val="1"/>
          <c:order val="1"/>
          <c:tx>
            <c:v>Déchèterie</c:v>
          </c:tx>
          <c:spPr>
            <a:noFill/>
          </c:spPr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5039-47B2-BBA0-B5BAAAA5CEDF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  <a:alpha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5039-47B2-BBA0-B5BAAAA5CEDF}"/>
              </c:ext>
            </c:extLst>
          </c:dPt>
          <c:val>
            <c:numRef>
              <c:f>'anneau '!$B$4:$C$4</c:f>
              <c:numCache>
                <c:formatCode>General</c:formatCode>
                <c:ptCount val="2"/>
                <c:pt idx="0" formatCode="0%">
                  <c:v>0.32615467237752654</c:v>
                </c:pt>
                <c:pt idx="1">
                  <c:v>0.6738453276224734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5039-47B2-BBA0-B5BAAAA5C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rgbClr val="FFC000"/>
      </a:solidFill>
      <a:prstDash val="dashDot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[Boustane Mohamed.zip janvier.xlsx]GRAPHIQUE CROISE!Tableau croisé dynamique1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  <a:headEnd type="oval"/>
            <a:tailEnd type="stealt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'GRAPHIQUE CROISE'!$B$1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  <a:headEnd type="oval"/>
              <a:tailEnd type="stealth"/>
            </a:ln>
            <a:effectLst/>
          </c:spPr>
          <c:marker>
            <c:symbol val="none"/>
          </c:marker>
          <c:cat>
            <c:strRef>
              <c:f>'GRAPHIQUE CROISE'!$A$2:$A$9</c:f>
              <c:strCache>
                <c:ptCount val="7"/>
                <c:pt idx="0">
                  <c:v>2009</c:v>
                </c:pt>
                <c:pt idx="1">
                  <c:v>2011</c:v>
                </c:pt>
                <c:pt idx="2">
                  <c:v>2013</c:v>
                </c:pt>
                <c:pt idx="3">
                  <c:v>2015</c:v>
                </c:pt>
                <c:pt idx="4">
                  <c:v>2017</c:v>
                </c:pt>
                <c:pt idx="5">
                  <c:v>2019</c:v>
                </c:pt>
                <c:pt idx="6">
                  <c:v>2021</c:v>
                </c:pt>
              </c:strCache>
            </c:strRef>
          </c:cat>
          <c:val>
            <c:numRef>
              <c:f>'GRAPHIQUE CROISE'!$B$2:$B$9</c:f>
              <c:numCache>
                <c:formatCode>General</c:formatCode>
                <c:ptCount val="7"/>
                <c:pt idx="0">
                  <c:v>0.17986849991110015</c:v>
                </c:pt>
                <c:pt idx="1">
                  <c:v>0.17924905470893032</c:v>
                </c:pt>
                <c:pt idx="2">
                  <c:v>0.17518123670439845</c:v>
                </c:pt>
                <c:pt idx="3">
                  <c:v>0.17544774020482282</c:v>
                </c:pt>
                <c:pt idx="4">
                  <c:v>0.17974864886787939</c:v>
                </c:pt>
                <c:pt idx="5">
                  <c:v>0.1801732349460082</c:v>
                </c:pt>
                <c:pt idx="6">
                  <c:v>0.1881035439309274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79F-47F7-ADE5-63AF31092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4050239"/>
        <c:axId val="4046911"/>
      </c:lineChart>
      <c:catAx>
        <c:axId val="405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46911"/>
        <c:crosses val="autoZero"/>
        <c:auto val="1"/>
        <c:lblAlgn val="ctr"/>
        <c:lblOffset val="100"/>
        <c:noMultiLvlLbl val="0"/>
      </c:catAx>
      <c:valAx>
        <c:axId val="40469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050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[Boustane Mohamed.zip janvier.xlsx]meilleur tonneur!Tableau croisé dynamique1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'meilleur tonneur'!$B$3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'meilleur tonneur'!$A$4:$A$14</c:f>
              <c:strCache>
                <c:ptCount val="10"/>
                <c:pt idx="0">
                  <c:v>Loire-Atlantique</c:v>
                </c:pt>
                <c:pt idx="1">
                  <c:v>Rhône</c:v>
                </c:pt>
                <c:pt idx="2">
                  <c:v>Seine-Maritime</c:v>
                </c:pt>
                <c:pt idx="3">
                  <c:v>Alpes-Maritimes</c:v>
                </c:pt>
                <c:pt idx="4">
                  <c:v>Var</c:v>
                </c:pt>
                <c:pt idx="5">
                  <c:v>Gironde</c:v>
                </c:pt>
                <c:pt idx="6">
                  <c:v>Pas-de-Calais</c:v>
                </c:pt>
                <c:pt idx="7">
                  <c:v>Paris</c:v>
                </c:pt>
                <c:pt idx="8">
                  <c:v>Bouches-du-Rhône</c:v>
                </c:pt>
                <c:pt idx="9">
                  <c:v>Nord</c:v>
                </c:pt>
              </c:strCache>
            </c:strRef>
          </c:cat>
          <c:val>
            <c:numRef>
              <c:f>'meilleur tonneur'!$B$4:$B$14</c:f>
              <c:numCache>
                <c:formatCode>General</c:formatCode>
                <c:ptCount val="10"/>
                <c:pt idx="0">
                  <c:v>4867387.4800000004</c:v>
                </c:pt>
                <c:pt idx="1">
                  <c:v>5015351.3699999992</c:v>
                </c:pt>
                <c:pt idx="2">
                  <c:v>5199167.1500000004</c:v>
                </c:pt>
                <c:pt idx="3">
                  <c:v>5239323.4200000009</c:v>
                </c:pt>
                <c:pt idx="4">
                  <c:v>5306038.1099999994</c:v>
                </c:pt>
                <c:pt idx="5">
                  <c:v>5912430.1199999982</c:v>
                </c:pt>
                <c:pt idx="6">
                  <c:v>6307776.0899999989</c:v>
                </c:pt>
                <c:pt idx="7">
                  <c:v>7229317.8899999987</c:v>
                </c:pt>
                <c:pt idx="8">
                  <c:v>8056829.1199999992</c:v>
                </c:pt>
                <c:pt idx="9">
                  <c:v>9971818.9699999988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04-4FBD-9D19-D63D2F146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66018943"/>
        <c:axId val="766019359"/>
      </c:barChart>
      <c:catAx>
        <c:axId val="766018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66019359"/>
        <c:crosses val="autoZero"/>
        <c:auto val="1"/>
        <c:lblAlgn val="ctr"/>
        <c:lblOffset val="100"/>
        <c:noMultiLvlLbl val="0"/>
      </c:catAx>
      <c:valAx>
        <c:axId val="7660193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66018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[Boustane Mohamed.zip janvier.xlsx]evolution graph!Tableau croisé dynamique2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'evolution graph'!$B$1:$B$2</c:f>
              <c:strCache>
                <c:ptCount val="1"/>
                <c:pt idx="0">
                  <c:v>Collecte OMR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C34B-4812-9FEB-E091538E223D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FB73-4F6A-9CF4-90056C5ACF75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34B-4812-9FEB-E091538E223D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B73-4F6A-9CF4-90056C5ACF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'evolution graph'!$A$3:$A$10</c:f>
              <c:strCache>
                <c:ptCount val="7"/>
                <c:pt idx="0">
                  <c:v>2009</c:v>
                </c:pt>
                <c:pt idx="1">
                  <c:v>2011</c:v>
                </c:pt>
                <c:pt idx="2">
                  <c:v>2013</c:v>
                </c:pt>
                <c:pt idx="3">
                  <c:v>2015</c:v>
                </c:pt>
                <c:pt idx="4">
                  <c:v>2017</c:v>
                </c:pt>
                <c:pt idx="5">
                  <c:v>2019</c:v>
                </c:pt>
                <c:pt idx="6">
                  <c:v>2021</c:v>
                </c:pt>
              </c:strCache>
            </c:strRef>
          </c:cat>
          <c:val>
            <c:numRef>
              <c:f>'evolution graph'!$B$3:$B$10</c:f>
              <c:numCache>
                <c:formatCode>General</c:formatCode>
                <c:ptCount val="7"/>
                <c:pt idx="0">
                  <c:v>0.29191490231221368</c:v>
                </c:pt>
                <c:pt idx="1">
                  <c:v>0.28119193371943479</c:v>
                </c:pt>
                <c:pt idx="2">
                  <c:v>0.26297918437171663</c:v>
                </c:pt>
                <c:pt idx="3">
                  <c:v>0.25439389163576603</c:v>
                </c:pt>
                <c:pt idx="4">
                  <c:v>0.24666309579799539</c:v>
                </c:pt>
                <c:pt idx="5">
                  <c:v>0.23838460555473859</c:v>
                </c:pt>
                <c:pt idx="6">
                  <c:v>0.23611525386812135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DE-4A9C-8045-04A6252E39B4}"/>
            </c:ext>
          </c:extLst>
        </c:ser>
        <c:ser>
          <c:idx val="1"/>
          <c:order val="1"/>
          <c:tx>
            <c:strRef>
              <c:f>'evolution graph'!$C$1:$C$2</c:f>
              <c:strCache>
                <c:ptCount val="1"/>
                <c:pt idx="0">
                  <c:v>Collecte séparées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'evolution graph'!$A$3:$A$10</c:f>
              <c:strCache>
                <c:ptCount val="7"/>
                <c:pt idx="0">
                  <c:v>2009</c:v>
                </c:pt>
                <c:pt idx="1">
                  <c:v>2011</c:v>
                </c:pt>
                <c:pt idx="2">
                  <c:v>2013</c:v>
                </c:pt>
                <c:pt idx="3">
                  <c:v>2015</c:v>
                </c:pt>
                <c:pt idx="4">
                  <c:v>2017</c:v>
                </c:pt>
                <c:pt idx="5">
                  <c:v>2019</c:v>
                </c:pt>
                <c:pt idx="6">
                  <c:v>2021</c:v>
                </c:pt>
              </c:strCache>
            </c:strRef>
          </c:cat>
          <c:val>
            <c:numRef>
              <c:f>'evolution graph'!$C$3:$C$10</c:f>
              <c:numCache>
                <c:formatCode>General</c:formatCode>
                <c:ptCount val="7"/>
                <c:pt idx="0">
                  <c:v>9.927483608944164E-2</c:v>
                </c:pt>
                <c:pt idx="1">
                  <c:v>0.10012283229382478</c:v>
                </c:pt>
                <c:pt idx="2">
                  <c:v>9.8789553186019605E-2</c:v>
                </c:pt>
                <c:pt idx="3">
                  <c:v>0.10015740007986969</c:v>
                </c:pt>
                <c:pt idx="4">
                  <c:v>0.10584275225069956</c:v>
                </c:pt>
                <c:pt idx="5">
                  <c:v>0.10843441442103757</c:v>
                </c:pt>
                <c:pt idx="6">
                  <c:v>0.11836661833330037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CFC-433B-8719-ED43DDDB7215}"/>
            </c:ext>
          </c:extLst>
        </c:ser>
        <c:ser>
          <c:idx val="2"/>
          <c:order val="2"/>
          <c:tx>
            <c:strRef>
              <c:f>'evolution graph'!$D$1:$D$2</c:f>
              <c:strCache>
                <c:ptCount val="1"/>
                <c:pt idx="0">
                  <c:v>Déchèterie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'evolution graph'!$A$3:$A$10</c:f>
              <c:strCache>
                <c:ptCount val="7"/>
                <c:pt idx="0">
                  <c:v>2009</c:v>
                </c:pt>
                <c:pt idx="1">
                  <c:v>2011</c:v>
                </c:pt>
                <c:pt idx="2">
                  <c:v>2013</c:v>
                </c:pt>
                <c:pt idx="3">
                  <c:v>2015</c:v>
                </c:pt>
                <c:pt idx="4">
                  <c:v>2017</c:v>
                </c:pt>
                <c:pt idx="5">
                  <c:v>2019</c:v>
                </c:pt>
                <c:pt idx="6">
                  <c:v>2021</c:v>
                </c:pt>
              </c:strCache>
            </c:strRef>
          </c:cat>
          <c:val>
            <c:numRef>
              <c:f>'evolution graph'!$D$3:$D$10</c:f>
              <c:numCache>
                <c:formatCode>General</c:formatCode>
                <c:ptCount val="7"/>
                <c:pt idx="0">
                  <c:v>0.14841576133164489</c:v>
                </c:pt>
                <c:pt idx="1">
                  <c:v>0.15643239811353218</c:v>
                </c:pt>
                <c:pt idx="2">
                  <c:v>0.16377497255545867</c:v>
                </c:pt>
                <c:pt idx="3">
                  <c:v>0.17179192889883263</c:v>
                </c:pt>
                <c:pt idx="4">
                  <c:v>0.18674009855494303</c:v>
                </c:pt>
                <c:pt idx="5">
                  <c:v>0.1937006848622482</c:v>
                </c:pt>
                <c:pt idx="6">
                  <c:v>0.20982875959136063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CFC-433B-8719-ED43DDDB7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3080703"/>
        <c:axId val="773081535"/>
      </c:lineChart>
      <c:catAx>
        <c:axId val="77308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3081535"/>
        <c:crosses val="autoZero"/>
        <c:auto val="1"/>
        <c:lblAlgn val="ctr"/>
        <c:lblOffset val="100"/>
        <c:noMultiLvlLbl val="0"/>
      </c:catAx>
      <c:valAx>
        <c:axId val="7730815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7308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[Boustane Mohamed.zip janvier.xlsx]anneau !Tableau croisé dynamique1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786CAE1-9CE2-4892-B971-EBC8986DF13B}" type="PERCENTAGE">
                  <a:rPr lang="en-US"/>
                  <a:pPr>
                    <a:defRPr/>
                  </a:pPr>
                  <a:t>[POURCENTAGE]</a:t>
                </a:fld>
                <a:endParaRPr lang="fr-F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0A82248-FDF1-4E97-88AB-4231372E73F7}" type="PERCENTAGE">
                  <a:rPr lang="en-US"/>
                  <a:pPr>
                    <a:defRPr/>
                  </a:pPr>
                  <a:t>[POURCENTAGE]</a:t>
                </a:fld>
                <a:endParaRPr lang="fr-F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144C01E-DEE9-423F-ABB0-0206EF4ECE72}" type="PERCENTAGE">
                  <a:rPr lang="en-US"/>
                  <a:pPr>
                    <a:defRPr/>
                  </a:pPr>
                  <a:t>[POURCENTAGE]</a:t>
                </a:fld>
                <a:endParaRPr lang="fr-F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'anneau 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9D5-4BA4-892C-E89C4BCEDC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9D5-4BA4-892C-E89C4BCEDCA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9D5-4BA4-892C-E89C4BCEDCA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0A82248-FDF1-4E97-88AB-4231372E73F7}" type="PERCENTAGE">
                      <a:rPr lang="en-US"/>
                      <a:pPr/>
                      <a:t>[POURCENTAGE]</a:t>
                    </a:fld>
                    <a:endParaRPr lang="fr-F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D9D5-4BA4-892C-E89C4BCEDCA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144C01E-DEE9-423F-ABB0-0206EF4ECE72}" type="PERCENTAGE">
                      <a:rPr lang="en-US"/>
                      <a:pPr/>
                      <a:t>[POURCENTAGE]</a:t>
                    </a:fld>
                    <a:endParaRPr lang="fr-F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D9D5-4BA4-892C-E89C4BCEDCA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786CAE1-9CE2-4892-B971-EBC8986DF13B}" type="PERCENTAGE">
                      <a:rPr lang="en-US"/>
                      <a:pPr/>
                      <a:t>[POURCENTAGE]</a:t>
                    </a:fld>
                    <a:endParaRPr lang="fr-F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D9D5-4BA4-892C-E89C4BCEDC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'anneau '!$A$2:$A$5</c:f>
              <c:strCache>
                <c:ptCount val="3"/>
                <c:pt idx="0">
                  <c:v>Collecte OMR</c:v>
                </c:pt>
                <c:pt idx="1">
                  <c:v>Collecte séparées</c:v>
                </c:pt>
                <c:pt idx="2">
                  <c:v>Déchèterie</c:v>
                </c:pt>
              </c:strCache>
            </c:strRef>
          </c:cat>
          <c:val>
            <c:numRef>
              <c:f>'anneau '!$B$2:$B$5</c:f>
              <c:numCache>
                <c:formatCode>0%</c:formatCode>
                <c:ptCount val="3"/>
                <c:pt idx="0">
                  <c:v>0.48011958869067511</c:v>
                </c:pt>
                <c:pt idx="1">
                  <c:v>0.19372573893179829</c:v>
                </c:pt>
                <c:pt idx="2">
                  <c:v>0.32615467237752654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D5-4BA4-892C-E89C4BCEDC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295996451147825E-2"/>
          <c:y val="0.11314475873544093"/>
          <c:w val="0.72253521126760567"/>
          <c:h val="0.85357737104825293"/>
        </c:manualLayout>
      </c:layout>
      <c:doughnutChart>
        <c:varyColors val="1"/>
        <c:ser>
          <c:idx val="0"/>
          <c:order val="0"/>
          <c:tx>
            <c:v>Collecte OMR</c:v>
          </c:tx>
          <c:spPr>
            <a:solidFill>
              <a:schemeClr val="bg1">
                <a:lumMod val="65000"/>
              </a:schemeClr>
            </a:solidFill>
          </c:spPr>
          <c:dPt>
            <c:idx val="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85-4F3F-9E67-85C25D759251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85-4F3F-9E67-85C25D759251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85-4F3F-9E67-85C25D759251}"/>
              </c:ext>
            </c:extLst>
          </c:dPt>
          <c:dPt>
            <c:idx val="3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F85-4F3F-9E67-85C25D759251}"/>
              </c:ext>
            </c:extLst>
          </c:dPt>
          <c:dPt>
            <c:idx val="4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F85-4F3F-9E67-85C25D759251}"/>
              </c:ext>
            </c:extLst>
          </c:dPt>
          <c:dPt>
            <c:idx val="5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F85-4F3F-9E67-85C25D759251}"/>
              </c:ext>
            </c:extLst>
          </c:dPt>
          <c:dPt>
            <c:idx val="6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F85-4F3F-9E67-85C25D759251}"/>
              </c:ext>
            </c:extLst>
          </c:dPt>
          <c:dPt>
            <c:idx val="7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F85-4F3F-9E67-85C25D759251}"/>
              </c:ext>
            </c:extLst>
          </c:dPt>
          <c:dPt>
            <c:idx val="8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F85-4F3F-9E67-85C25D759251}"/>
              </c:ext>
            </c:extLst>
          </c:dPt>
          <c:dPt>
            <c:idx val="9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F85-4F3F-9E67-85C25D759251}"/>
              </c:ext>
            </c:extLst>
          </c:dPt>
          <c:dPt>
            <c:idx val="1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F85-4F3F-9E67-85C25D759251}"/>
              </c:ext>
            </c:extLst>
          </c:dPt>
          <c:dPt>
            <c:idx val="1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F85-4F3F-9E67-85C25D759251}"/>
              </c:ext>
            </c:extLst>
          </c:dPt>
          <c:dPt>
            <c:idx val="1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F85-4F3F-9E67-85C25D759251}"/>
              </c:ext>
            </c:extLst>
          </c:dPt>
          <c:dPt>
            <c:idx val="13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F85-4F3F-9E67-85C25D759251}"/>
              </c:ext>
            </c:extLst>
          </c:dPt>
          <c:dPt>
            <c:idx val="14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1F85-4F3F-9E67-85C25D759251}"/>
              </c:ext>
            </c:extLst>
          </c:dPt>
          <c:dPt>
            <c:idx val="15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1F85-4F3F-9E67-85C25D759251}"/>
              </c:ext>
            </c:extLst>
          </c:dPt>
          <c:dPt>
            <c:idx val="16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1F85-4F3F-9E67-85C25D759251}"/>
              </c:ext>
            </c:extLst>
          </c:dPt>
          <c:dPt>
            <c:idx val="17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1F85-4F3F-9E67-85C25D759251}"/>
              </c:ext>
            </c:extLst>
          </c:dPt>
          <c:dPt>
            <c:idx val="18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1F85-4F3F-9E67-85C25D759251}"/>
              </c:ext>
            </c:extLst>
          </c:dPt>
          <c:dPt>
            <c:idx val="19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1F85-4F3F-9E67-85C25D759251}"/>
              </c:ext>
            </c:extLst>
          </c:dPt>
          <c:cat>
            <c:strLit>
              <c:ptCount val="2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5"/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F5D05F6E-A05E-4728-AFD3-386EB277150F}">
              <c16:categoryFilterExceptions>
                <c16:categoryFilterException>
                  <c16:uniqueId val="{0000002C-509F-47EC-92F9-043871410427}"/>
                  <c16:spPr xmlns:c16="http://schemas.microsoft.com/office/drawing/2014/chart">
                    <a:solidFill>
                      <a:schemeClr val="bg1">
                        <a:lumMod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6:spPr>
                  <c16:bubble3D val="0"/>
                </c16:categoryFilterException>
                <c16:categoryFilterException>
                  <c16:uniqueId val="{0000002D-509F-47EC-92F9-043871410427}"/>
                  <c16:spPr xmlns:c16="http://schemas.microsoft.com/office/drawing/2014/chart">
                    <a:solidFill>
                      <a:schemeClr val="bg1">
                        <a:lumMod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6:spPr>
                  <c16:bubble3D val="0"/>
                </c16:categoryFilterException>
                <c16:categoryFilterException>
                  <c16:uniqueId val="{0000002E-509F-47EC-92F9-043871410427}"/>
                  <c16:spPr xmlns:c16="http://schemas.microsoft.com/office/drawing/2014/chart">
                    <a:solidFill>
                      <a:schemeClr val="bg1">
                        <a:lumMod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6:spPr>
                  <c16:bubble3D val="0"/>
                </c16:categoryFilterException>
                <c16:categoryFilterException>
                  <c16:uniqueId val="{0000002F-509F-47EC-92F9-043871410427}"/>
                  <c16:spPr xmlns:c16="http://schemas.microsoft.com/office/drawing/2014/chart">
                    <a:solidFill>
                      <a:schemeClr val="bg1">
                        <a:lumMod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6:spPr>
                  <c16:bubble3D val="0"/>
                </c16:categoryFilterException>
                <c16:categoryFilterException>
                  <c16:uniqueId val="{00000030-509F-47EC-92F9-043871410427}"/>
                  <c16:spPr xmlns:c16="http://schemas.microsoft.com/office/drawing/2014/chart">
                    <a:solidFill>
                      <a:schemeClr val="bg1">
                        <a:lumMod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6:spPr>
                  <c16:bubble3D val="0"/>
                </c16:categoryFilterException>
                <c16:categoryFilterException>
                  <c16:uniqueId val="{00000031-509F-47EC-92F9-043871410427}"/>
                  <c16:spPr xmlns:c16="http://schemas.microsoft.com/office/drawing/2014/chart">
                    <a:solidFill>
                      <a:schemeClr val="bg1">
                        <a:lumMod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6:spPr>
                  <c16:bubble3D val="0"/>
                </c16:categoryFilterException>
                <c16:categoryFilterException>
                  <c16:uniqueId val="{00000032-509F-47EC-92F9-043871410427}"/>
                  <c16:spPr xmlns:c16="http://schemas.microsoft.com/office/drawing/2014/chart">
                    <a:solidFill>
                      <a:schemeClr val="bg1">
                        <a:lumMod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6:spPr>
                  <c16:bubble3D val="0"/>
                </c16:categoryFilterException>
                <c16:categoryFilterException>
                  <c16:uniqueId val="{00000033-509F-47EC-92F9-043871410427}"/>
                  <c16:spPr xmlns:c16="http://schemas.microsoft.com/office/drawing/2014/chart">
                    <a:solidFill>
                      <a:schemeClr val="bg1">
                        <a:lumMod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6:spPr>
                  <c16:bubble3D val="0"/>
                </c16:categoryFilterException>
                <c16:categoryFilterException>
                  <c16:uniqueId val="{00000034-509F-47EC-92F9-043871410427}"/>
                  <c16:spPr xmlns:c16="http://schemas.microsoft.com/office/drawing/2014/chart">
                    <a:solidFill>
                      <a:schemeClr val="bg1">
                        <a:lumMod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6:spPr>
                  <c16:bubble3D val="0"/>
                </c16:categoryFilterException>
                <c16:categoryFilterException>
                  <c16:uniqueId val="{00000035-509F-47EC-92F9-043871410427}"/>
                  <c16:spPr xmlns:c16="http://schemas.microsoft.com/office/drawing/2014/chart">
                    <a:solidFill>
                      <a:schemeClr val="bg1">
                        <a:lumMod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6:spPr>
                  <c16:bubble3D val="0"/>
                </c16:categoryFilterException>
                <c16:categoryFilterException>
                  <c16:uniqueId val="{00000036-509F-47EC-92F9-043871410427}"/>
                  <c16:spPr xmlns:c16="http://schemas.microsoft.com/office/drawing/2014/chart">
                    <a:solidFill>
                      <a:schemeClr val="bg1">
                        <a:lumMod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6:spPr>
                  <c16:bubble3D val="0"/>
                </c16:categoryFilterException>
                <c16:categoryFilterException>
                  <c16:uniqueId val="{00000037-509F-47EC-92F9-043871410427}"/>
                  <c16:spPr xmlns:c16="http://schemas.microsoft.com/office/drawing/2014/chart">
                    <a:solidFill>
                      <a:schemeClr val="bg1">
                        <a:lumMod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6:spPr>
                  <c16:bubble3D val="0"/>
                </c16:categoryFilterException>
                <c16:categoryFilterException>
                  <c16:uniqueId val="{00000038-509F-47EC-92F9-043871410427}"/>
                  <c16:spPr xmlns:c16="http://schemas.microsoft.com/office/drawing/2014/chart">
                    <a:solidFill>
                      <a:schemeClr val="bg1">
                        <a:lumMod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6:spPr>
                  <c16:bubble3D val="0"/>
                </c16:categoryFilterException>
                <c16:categoryFilterException>
                  <c16:uniqueId val="{00000039-509F-47EC-92F9-043871410427}"/>
                  <c16:spPr xmlns:c16="http://schemas.microsoft.com/office/drawing/2014/chart">
                    <a:solidFill>
                      <a:schemeClr val="bg1">
                        <a:lumMod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6:spPr>
                  <c16:bubble3D val="0"/>
                </c16:categoryFilterException>
                <c16:categoryFilterException>
                  <c16:uniqueId val="{0000003A-509F-47EC-92F9-043871410427}"/>
                  <c16:spPr xmlns:c16="http://schemas.microsoft.com/office/drawing/2014/chart">
                    <a:solidFill>
                      <a:schemeClr val="bg1">
                        <a:lumMod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6:spPr>
                  <c16:bubble3D val="0"/>
                </c16:categoryFilterException>
              </c16:categoryFilterExceptions>
            </c:ext>
            <c:ext xmlns:c16="http://schemas.microsoft.com/office/drawing/2014/chart" uri="{C5897E43-82E2-4C41-B96C-FBF1F857EA46}">
              <c16:datapointuniqueidmap xmlns:c16="http://schemas.microsoft.com/office/drawing/2014/chart">
                <c16:ptentry>
                  <c16:ptidx>20</c16:ptidx>
                  <c16:uniqueID val="{0000002C-509F-47EC-92F9-043871410427}"/>
                </c16:ptentry>
                <c16:ptentry>
                  <c16:ptidx>21</c16:ptidx>
                  <c16:uniqueID val="{0000002D-509F-47EC-92F9-043871410427}"/>
                </c16:ptentry>
                <c16:ptentry>
                  <c16:ptidx>22</c16:ptidx>
                  <c16:uniqueID val="{0000002E-509F-47EC-92F9-043871410427}"/>
                </c16:ptentry>
                <c16:ptentry>
                  <c16:ptidx>23</c16:ptidx>
                  <c16:uniqueID val="{0000002F-509F-47EC-92F9-043871410427}"/>
                </c16:ptentry>
                <c16:ptentry>
                  <c16:ptidx>24</c16:ptidx>
                  <c16:uniqueID val="{00000030-509F-47EC-92F9-043871410427}"/>
                </c16:ptentry>
                <c16:ptentry>
                  <c16:ptidx>25</c16:ptidx>
                  <c16:uniqueID val="{00000031-509F-47EC-92F9-043871410427}"/>
                </c16:ptentry>
                <c16:ptentry>
                  <c16:ptidx>26</c16:ptidx>
                  <c16:uniqueID val="{00000032-509F-47EC-92F9-043871410427}"/>
                </c16:ptentry>
                <c16:ptentry>
                  <c16:ptidx>27</c16:ptidx>
                  <c16:uniqueID val="{00000033-509F-47EC-92F9-043871410427}"/>
                </c16:ptentry>
                <c16:ptentry>
                  <c16:ptidx>28</c16:ptidx>
                  <c16:uniqueID val="{00000034-509F-47EC-92F9-043871410427}"/>
                </c16:ptentry>
                <c16:ptentry>
                  <c16:ptidx>29</c16:ptidx>
                  <c16:uniqueID val="{00000035-509F-47EC-92F9-043871410427}"/>
                </c16:ptentry>
                <c16:ptentry>
                  <c16:ptidx>30</c16:ptidx>
                  <c16:uniqueID val="{00000036-509F-47EC-92F9-043871410427}"/>
                </c16:ptentry>
                <c16:ptentry>
                  <c16:ptidx>31</c16:ptidx>
                  <c16:uniqueID val="{00000037-509F-47EC-92F9-043871410427}"/>
                </c16:ptentry>
                <c16:ptentry>
                  <c16:ptidx>32</c16:ptidx>
                  <c16:uniqueID val="{00000038-509F-47EC-92F9-043871410427}"/>
                </c16:ptentry>
                <c16:ptentry>
                  <c16:ptidx>33</c16:ptidx>
                  <c16:uniqueID val="{00000039-509F-47EC-92F9-043871410427}"/>
                </c16:ptentry>
                <c16:ptentry>
                  <c16:ptidx>34</c16:ptidx>
                  <c16:uniqueID val="{0000003A-509F-47EC-92F9-043871410427}"/>
                </c16:ptentry>
              </c16:datapointuniqueidmap>
            </c:ext>
            <c:ext xmlns:c16="http://schemas.microsoft.com/office/drawing/2014/chart" uri="{C3380CC4-5D6E-409C-BE32-E72D297353CC}">
              <c16:uniqueId val="{00000000-F801-4097-8F7E-3E45E99E6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doughnutChart>
        <c:varyColors val="1"/>
        <c:ser>
          <c:idx val="1"/>
          <c:order val="1"/>
          <c:tx>
            <c:v>Collecte OMR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1F85-4F3F-9E67-85C25D759251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  <a:alpha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1F85-4F3F-9E67-85C25D759251}"/>
              </c:ext>
            </c:extLst>
          </c:dPt>
          <c:val>
            <c:numRef>
              <c:f>'anneau '!$B$2:$C$2</c:f>
              <c:numCache>
                <c:formatCode>General</c:formatCode>
                <c:ptCount val="2"/>
                <c:pt idx="0" formatCode="0%">
                  <c:v>0.48011958869067511</c:v>
                </c:pt>
                <c:pt idx="1">
                  <c:v>0.51988041130932494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01-4097-8F7E-3E45E99E6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46501053565484"/>
          <c:y val="7.9866888519134774E-2"/>
          <c:w val="0.72253521126760567"/>
          <c:h val="0.85357737104825293"/>
        </c:manualLayout>
      </c:layout>
      <c:doughnutChart>
        <c:varyColors val="1"/>
        <c:ser>
          <c:idx val="0"/>
          <c:order val="0"/>
          <c:tx>
            <c:v>Collecte OMR</c:v>
          </c:tx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4F-4581-ADC5-65958845CB8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4F-4581-ADC5-65958845CB8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4F-4581-ADC5-65958845CB81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74F-4581-ADC5-65958845CB81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74F-4581-ADC5-65958845CB81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74F-4581-ADC5-65958845CB81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74F-4581-ADC5-65958845CB81}"/>
              </c:ext>
            </c:extLst>
          </c:dPt>
          <c:dPt>
            <c:idx val="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74F-4581-ADC5-65958845CB81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74F-4581-ADC5-65958845CB81}"/>
              </c:ext>
            </c:extLst>
          </c:dPt>
          <c:dPt>
            <c:idx val="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74F-4581-ADC5-65958845CB81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74F-4581-ADC5-65958845CB81}"/>
              </c:ext>
            </c:extLst>
          </c:dPt>
          <c:dPt>
            <c:idx val="1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74F-4581-ADC5-65958845CB81}"/>
              </c:ext>
            </c:extLst>
          </c:dPt>
          <c:dPt>
            <c:idx val="1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74F-4581-ADC5-65958845CB81}"/>
              </c:ext>
            </c:extLst>
          </c:dPt>
          <c:dPt>
            <c:idx val="1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374F-4581-ADC5-65958845CB81}"/>
              </c:ext>
            </c:extLst>
          </c:dPt>
          <c:dPt>
            <c:idx val="1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374F-4581-ADC5-65958845CB81}"/>
              </c:ext>
            </c:extLst>
          </c:dPt>
          <c:dPt>
            <c:idx val="1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374F-4581-ADC5-65958845CB81}"/>
              </c:ext>
            </c:extLst>
          </c:dPt>
          <c:dPt>
            <c:idx val="1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374F-4581-ADC5-65958845CB81}"/>
              </c:ext>
            </c:extLst>
          </c:dPt>
          <c:dPt>
            <c:idx val="17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374F-4581-ADC5-65958845CB81}"/>
              </c:ext>
            </c:extLst>
          </c:dPt>
          <c:dPt>
            <c:idx val="1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374F-4581-ADC5-65958845CB81}"/>
              </c:ext>
            </c:extLst>
          </c:dPt>
          <c:dPt>
            <c:idx val="19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374F-4581-ADC5-65958845CB81}"/>
              </c:ext>
            </c:extLst>
          </c:dPt>
          <c:cat>
            <c:strLit>
              <c:ptCount val="2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5"/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F5D05F6E-A05E-4728-AFD3-386EB277150F}">
              <c16:categoryFilterExceptions/>
            </c:ext>
            <c:ext xmlns:c16="http://schemas.microsoft.com/office/drawing/2014/chart" uri="{C5897E43-82E2-4C41-B96C-FBF1F857EA46}">
              <c16:datapointuniqueidmap xmlns:c16="http://schemas.microsoft.com/office/drawing/2014/chart"/>
            </c:ext>
            <c:ext xmlns:c16="http://schemas.microsoft.com/office/drawing/2014/chart" uri="{C3380CC4-5D6E-409C-BE32-E72D297353CC}">
              <c16:uniqueId val="{00000028-374F-4581-ADC5-65958845C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doughnutChart>
        <c:varyColors val="1"/>
        <c:ser>
          <c:idx val="1"/>
          <c:order val="1"/>
          <c:tx>
            <c:v>Collecte séparées</c:v>
          </c:tx>
          <c:spPr>
            <a:noFill/>
          </c:spPr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0081-4CDE-9AB4-42CF636B1956}"/>
              </c:ext>
            </c:extLst>
          </c:dPt>
          <c:dPt>
            <c:idx val="1"/>
            <c:bubble3D val="0"/>
            <c:spPr>
              <a:solidFill>
                <a:schemeClr val="bg2">
                  <a:lumMod val="90000"/>
                  <a:alpha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EE3E-481A-96A6-379D25782FBC}"/>
              </c:ext>
            </c:extLst>
          </c:dPt>
          <c:val>
            <c:numRef>
              <c:f>'anneau '!$B$3:$C$3</c:f>
              <c:numCache>
                <c:formatCode>General</c:formatCode>
                <c:ptCount val="2"/>
                <c:pt idx="0" formatCode="0%">
                  <c:v>0.19372573893179829</c:v>
                </c:pt>
                <c:pt idx="1">
                  <c:v>0.80627426106820166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E3E-481A-96A6-379D25782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03837196406786"/>
          <c:y val="7.9420725675622209E-2"/>
          <c:w val="0.72253521126760567"/>
          <c:h val="0.85357737104825293"/>
        </c:manualLayout>
      </c:layout>
      <c:doughnutChart>
        <c:varyColors val="1"/>
        <c:ser>
          <c:idx val="0"/>
          <c:order val="0"/>
          <c:tx>
            <c:v>Collecte OMR</c:v>
          </c:tx>
          <c:spPr>
            <a:solidFill>
              <a:schemeClr val="accent4">
                <a:lumMod val="60000"/>
                <a:lumOff val="40000"/>
              </a:schemeClr>
            </a:solidFill>
          </c:spPr>
          <c:explosion val="1"/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CC7-4C8B-8C75-ADC6B8344573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CC7-4C8B-8C75-ADC6B8344573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CC7-4C8B-8C75-ADC6B8344573}"/>
              </c:ext>
            </c:extLst>
          </c:dPt>
          <c:dPt>
            <c:idx val="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CC7-4C8B-8C75-ADC6B8344573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CC7-4C8B-8C75-ADC6B8344573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CC7-4C8B-8C75-ADC6B8344573}"/>
              </c:ext>
            </c:extLst>
          </c:dPt>
          <c:dPt>
            <c:idx val="6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CC7-4C8B-8C75-ADC6B8344573}"/>
              </c:ext>
            </c:extLst>
          </c:dPt>
          <c:dPt>
            <c:idx val="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CC7-4C8B-8C75-ADC6B8344573}"/>
              </c:ext>
            </c:extLst>
          </c:dPt>
          <c:dPt>
            <c:idx val="8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CC7-4C8B-8C75-ADC6B834457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CC7-4C8B-8C75-ADC6B8344573}"/>
              </c:ext>
            </c:extLst>
          </c:dPt>
          <c:dPt>
            <c:idx val="1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CC7-4C8B-8C75-ADC6B8344573}"/>
              </c:ext>
            </c:extLst>
          </c:dPt>
          <c:dPt>
            <c:idx val="1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CC7-4C8B-8C75-ADC6B8344573}"/>
              </c:ext>
            </c:extLst>
          </c:dPt>
          <c:dPt>
            <c:idx val="1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CC7-4C8B-8C75-ADC6B8344573}"/>
              </c:ext>
            </c:extLst>
          </c:dPt>
          <c:dPt>
            <c:idx val="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CC7-4C8B-8C75-ADC6B8344573}"/>
              </c:ext>
            </c:extLst>
          </c:dPt>
          <c:dPt>
            <c:idx val="1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4CC7-4C8B-8C75-ADC6B834457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4CC7-4C8B-8C75-ADC6B8344573}"/>
              </c:ext>
            </c:extLst>
          </c:dPt>
          <c:dPt>
            <c:idx val="16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4CC7-4C8B-8C75-ADC6B8344573}"/>
              </c:ext>
            </c:extLst>
          </c:dPt>
          <c:dPt>
            <c:idx val="1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4CC7-4C8B-8C75-ADC6B8344573}"/>
              </c:ext>
            </c:extLst>
          </c:dPt>
          <c:dPt>
            <c:idx val="18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4CC7-4C8B-8C75-ADC6B8344573}"/>
              </c:ext>
            </c:extLst>
          </c:dPt>
          <c:dPt>
            <c:idx val="1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4CC7-4C8B-8C75-ADC6B8344573}"/>
              </c:ext>
            </c:extLst>
          </c:dPt>
          <c:cat>
            <c:strLit>
              <c:ptCount val="2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5"/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F5D05F6E-A05E-4728-AFD3-386EB277150F}">
              <c16:categoryFilterExceptions/>
            </c:ext>
            <c:ext xmlns:c16="http://schemas.microsoft.com/office/drawing/2014/chart" uri="{C5897E43-82E2-4C41-B96C-FBF1F857EA46}">
              <c16:datapointuniqueidmap xmlns:c16="http://schemas.microsoft.com/office/drawing/2014/chart"/>
            </c:ext>
            <c:ext xmlns:c16="http://schemas.microsoft.com/office/drawing/2014/chart" uri="{C3380CC4-5D6E-409C-BE32-E72D297353CC}">
              <c16:uniqueId val="{00000028-4CC7-4C8B-8C75-ADC6B8344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doughnutChart>
        <c:varyColors val="1"/>
        <c:ser>
          <c:idx val="1"/>
          <c:order val="1"/>
          <c:tx>
            <c:v>Déchèterie</c:v>
          </c:tx>
          <c:spPr>
            <a:noFill/>
          </c:spPr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40DF-4E3D-82E0-25905F667770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  <a:alpha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7DFC-4E91-9AB8-EB710B96290D}"/>
              </c:ext>
            </c:extLst>
          </c:dPt>
          <c:val>
            <c:numRef>
              <c:f>'anneau '!$B$4:$C$4</c:f>
              <c:numCache>
                <c:formatCode>General</c:formatCode>
                <c:ptCount val="2"/>
                <c:pt idx="0" formatCode="0%">
                  <c:v>0.32615467237752654</c:v>
                </c:pt>
                <c:pt idx="1">
                  <c:v>0.6738453276224734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7DFC-4E91-9AB8-EB710B962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44093343"/>
        <c:axId val="244086687"/>
      </c:scatterChart>
      <c:valAx>
        <c:axId val="244093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4086687"/>
        <c:crosses val="autoZero"/>
        <c:crossBetween val="midCat"/>
      </c:valAx>
      <c:valAx>
        <c:axId val="24408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4093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3"/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3.png"/><Relationship Id="rId7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10" Type="http://schemas.openxmlformats.org/officeDocument/2006/relationships/chart" Target="../charts/chart6.xml"/><Relationship Id="rId4" Type="http://schemas.openxmlformats.org/officeDocument/2006/relationships/image" Target="../media/image4.png"/><Relationship Id="rId9" Type="http://schemas.openxmlformats.org/officeDocument/2006/relationships/chart" Target="../charts/chart5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6350</xdr:colOff>
      <xdr:row>0</xdr:row>
      <xdr:rowOff>0</xdr:rowOff>
    </xdr:from>
    <xdr:to>
      <xdr:col>18</xdr:col>
      <xdr:colOff>101600</xdr:colOff>
      <xdr:row>3</xdr:row>
      <xdr:rowOff>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D1812A2E-BF98-45A4-AE37-6FDB4A908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4100" y="0"/>
          <a:ext cx="1066800" cy="952500"/>
        </a:xfrm>
        <a:prstGeom prst="rect">
          <a:avLst/>
        </a:prstGeom>
      </xdr:spPr>
    </xdr:pic>
    <xdr:clientData/>
  </xdr:twoCellAnchor>
  <xdr:twoCellAnchor>
    <xdr:from>
      <xdr:col>0</xdr:col>
      <xdr:colOff>65107</xdr:colOff>
      <xdr:row>3</xdr:row>
      <xdr:rowOff>137712</xdr:rowOff>
    </xdr:from>
    <xdr:to>
      <xdr:col>6</xdr:col>
      <xdr:colOff>56309</xdr:colOff>
      <xdr:row>11</xdr:row>
      <xdr:rowOff>101295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E366726-4EE9-4585-AE48-94A0F279A79C}"/>
            </a:ext>
          </a:extLst>
        </xdr:cNvPr>
        <xdr:cNvSpPr/>
      </xdr:nvSpPr>
      <xdr:spPr>
        <a:xfrm>
          <a:off x="65107" y="1086387"/>
          <a:ext cx="1919154" cy="1432498"/>
        </a:xfrm>
        <a:prstGeom prst="rect">
          <a:avLst/>
        </a:prstGeom>
        <a:noFill/>
        <a:ln>
          <a:solidFill>
            <a:schemeClr val="bg2"/>
          </a:solidFill>
          <a:prstDash val="sys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0</xdr:col>
      <xdr:colOff>106955</xdr:colOff>
      <xdr:row>3</xdr:row>
      <xdr:rowOff>27542</xdr:rowOff>
    </xdr:from>
    <xdr:to>
      <xdr:col>5</xdr:col>
      <xdr:colOff>233955</xdr:colOff>
      <xdr:row>5</xdr:row>
      <xdr:rowOff>147656</xdr:rowOff>
    </xdr:to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4EC8C892-D6B8-4822-8A6A-08B7DEDAEDA0}"/>
            </a:ext>
          </a:extLst>
        </xdr:cNvPr>
        <xdr:cNvSpPr txBox="1"/>
      </xdr:nvSpPr>
      <xdr:spPr>
        <a:xfrm>
          <a:off x="106955" y="976217"/>
          <a:ext cx="1733627" cy="487343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 w="9525" cmpd="sng">
          <a:solidFill>
            <a:srgbClr val="FFFF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200" b="1" u="none">
              <a:solidFill>
                <a:schemeClr val="bg1"/>
              </a:solidFill>
            </a:rPr>
            <a:t>Tonnage par habitant</a:t>
          </a:r>
        </a:p>
      </xdr:txBody>
    </xdr:sp>
    <xdr:clientData/>
  </xdr:twoCellAnchor>
  <xdr:twoCellAnchor>
    <xdr:from>
      <xdr:col>6</xdr:col>
      <xdr:colOff>111371</xdr:colOff>
      <xdr:row>3</xdr:row>
      <xdr:rowOff>128640</xdr:rowOff>
    </xdr:from>
    <xdr:to>
      <xdr:col>12</xdr:col>
      <xdr:colOff>102572</xdr:colOff>
      <xdr:row>11</xdr:row>
      <xdr:rowOff>92223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BCB74E1-C751-4465-B19F-DA82B1DC58D1}"/>
            </a:ext>
          </a:extLst>
        </xdr:cNvPr>
        <xdr:cNvSpPr/>
      </xdr:nvSpPr>
      <xdr:spPr>
        <a:xfrm>
          <a:off x="2070800" y="1072069"/>
          <a:ext cx="1950629" cy="1415011"/>
        </a:xfrm>
        <a:prstGeom prst="rect">
          <a:avLst/>
        </a:prstGeom>
        <a:noFill/>
        <a:ln>
          <a:solidFill>
            <a:schemeClr val="bg2"/>
          </a:solidFill>
          <a:prstDash val="sys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</xdr:col>
      <xdr:colOff>161263</xdr:colOff>
      <xdr:row>3</xdr:row>
      <xdr:rowOff>119569</xdr:rowOff>
    </xdr:from>
    <xdr:to>
      <xdr:col>18</xdr:col>
      <xdr:colOff>152465</xdr:colOff>
      <xdr:row>11</xdr:row>
      <xdr:rowOff>83152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C4866552-1B95-4770-B5B5-5427AF5AA7DC}"/>
            </a:ext>
          </a:extLst>
        </xdr:cNvPr>
        <xdr:cNvSpPr/>
      </xdr:nvSpPr>
      <xdr:spPr>
        <a:xfrm>
          <a:off x="4080120" y="1062998"/>
          <a:ext cx="1950631" cy="1415011"/>
        </a:xfrm>
        <a:prstGeom prst="rect">
          <a:avLst/>
        </a:prstGeom>
        <a:noFill/>
        <a:ln>
          <a:solidFill>
            <a:schemeClr val="bg2"/>
          </a:solidFill>
          <a:prstDash val="sys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221528</xdr:colOff>
      <xdr:row>3</xdr:row>
      <xdr:rowOff>39335</xdr:rowOff>
    </xdr:from>
    <xdr:to>
      <xdr:col>12</xdr:col>
      <xdr:colOff>21957</xdr:colOff>
      <xdr:row>6</xdr:row>
      <xdr:rowOff>3421</xdr:rowOff>
    </xdr:to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B7A1D533-1E59-4D00-903A-9B045B071E87}"/>
            </a:ext>
          </a:extLst>
        </xdr:cNvPr>
        <xdr:cNvSpPr txBox="1"/>
      </xdr:nvSpPr>
      <xdr:spPr>
        <a:xfrm>
          <a:off x="2180957" y="982764"/>
          <a:ext cx="1759857" cy="508371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 w="9525" cmpd="sng">
          <a:solidFill>
            <a:srgbClr val="FFFF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200" b="1" u="none" baseline="0">
              <a:solidFill>
                <a:schemeClr val="bg1"/>
              </a:solidFill>
            </a:rPr>
            <a:t>Habitant  par départements</a:t>
          </a:r>
          <a:endParaRPr lang="fr-FR" sz="1200" b="1" u="none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247596</xdr:colOff>
      <xdr:row>3</xdr:row>
      <xdr:rowOff>27541</xdr:rowOff>
    </xdr:from>
    <xdr:to>
      <xdr:col>18</xdr:col>
      <xdr:colOff>53271</xdr:colOff>
      <xdr:row>5</xdr:row>
      <xdr:rowOff>166705</xdr:rowOff>
    </xdr:to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5FE8376D-A50B-4626-A51A-4428B61381D1}"/>
            </a:ext>
          </a:extLst>
        </xdr:cNvPr>
        <xdr:cNvSpPr txBox="1"/>
      </xdr:nvSpPr>
      <xdr:spPr>
        <a:xfrm>
          <a:off x="4166453" y="970970"/>
          <a:ext cx="1765104" cy="502021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 w="9525" cmpd="sng">
          <a:solidFill>
            <a:srgbClr val="FFFF00"/>
          </a:solidFill>
          <a:prstDash val="solid"/>
          <a:extLst>
            <a:ext uri="{C807C97D-BFC1-408E-A445-0C87EB9F89A2}">
              <ask:lineSketchStyleProps xmlns:ask="http://schemas.microsoft.com/office/drawing/2018/sketchyshapes" sd="981765707">
                <a:custGeom>
                  <a:avLst/>
                  <a:gdLst>
                    <a:gd name="connsiteX0" fmla="*/ 0 w 1428750"/>
                    <a:gd name="connsiteY0" fmla="*/ 0 h 425450"/>
                    <a:gd name="connsiteX1" fmla="*/ 1428750 w 1428750"/>
                    <a:gd name="connsiteY1" fmla="*/ 0 h 425450"/>
                    <a:gd name="connsiteX2" fmla="*/ 1428750 w 1428750"/>
                    <a:gd name="connsiteY2" fmla="*/ 425450 h 425450"/>
                    <a:gd name="connsiteX3" fmla="*/ 0 w 1428750"/>
                    <a:gd name="connsiteY3" fmla="*/ 425450 h 425450"/>
                    <a:gd name="connsiteX4" fmla="*/ 0 w 1428750"/>
                    <a:gd name="connsiteY4" fmla="*/ 0 h 42545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</a:cxnLst>
                  <a:rect l="l" t="t" r="r" b="b"/>
                  <a:pathLst>
                    <a:path w="1428750" h="425450" fill="none" extrusionOk="0">
                      <a:moveTo>
                        <a:pt x="0" y="0"/>
                      </a:moveTo>
                      <a:cubicBezTo>
                        <a:pt x="513699" y="-40663"/>
                        <a:pt x="1198227" y="27311"/>
                        <a:pt x="1428750" y="0"/>
                      </a:cubicBezTo>
                      <a:cubicBezTo>
                        <a:pt x="1401703" y="52331"/>
                        <a:pt x="1421771" y="375100"/>
                        <a:pt x="1428750" y="425450"/>
                      </a:cubicBezTo>
                      <a:cubicBezTo>
                        <a:pt x="875216" y="515008"/>
                        <a:pt x="220393" y="312582"/>
                        <a:pt x="0" y="425450"/>
                      </a:cubicBezTo>
                      <a:cubicBezTo>
                        <a:pt x="-6916" y="369478"/>
                        <a:pt x="-34519" y="121537"/>
                        <a:pt x="0" y="0"/>
                      </a:cubicBezTo>
                      <a:close/>
                    </a:path>
                    <a:path w="1428750" h="425450" stroke="0" extrusionOk="0">
                      <a:moveTo>
                        <a:pt x="0" y="0"/>
                      </a:moveTo>
                      <a:cubicBezTo>
                        <a:pt x="152195" y="94351"/>
                        <a:pt x="1252797" y="90576"/>
                        <a:pt x="1428750" y="0"/>
                      </a:cubicBezTo>
                      <a:cubicBezTo>
                        <a:pt x="1453229" y="130970"/>
                        <a:pt x="1442935" y="302397"/>
                        <a:pt x="1428750" y="425450"/>
                      </a:cubicBezTo>
                      <a:cubicBezTo>
                        <a:pt x="1008864" y="538928"/>
                        <a:pt x="703921" y="477814"/>
                        <a:pt x="0" y="425450"/>
                      </a:cubicBezTo>
                      <a:cubicBezTo>
                        <a:pt x="7779" y="354175"/>
                        <a:pt x="27183" y="63044"/>
                        <a:pt x="0" y="0"/>
                      </a:cubicBezTo>
                      <a:close/>
                    </a:path>
                  </a:pathLst>
                </a:custGeom>
                <ask:type>
                  <ask:lineSketchNone/>
                </ask:type>
              </ask:lineSketchStyleProps>
            </a:ext>
          </a:extLst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200" b="1" u="none">
              <a:solidFill>
                <a:schemeClr val="bg1"/>
              </a:solidFill>
            </a:rPr>
            <a:t>Tonnage total</a:t>
          </a:r>
          <a:r>
            <a:rPr lang="fr-FR" sz="1200" b="1" u="none" baseline="0">
              <a:solidFill>
                <a:schemeClr val="bg1"/>
              </a:solidFill>
            </a:rPr>
            <a:t> hors gravats</a:t>
          </a:r>
          <a:endParaRPr lang="fr-FR" sz="1200" b="1" u="none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17</xdr:col>
      <xdr:colOff>40549</xdr:colOff>
      <xdr:row>9</xdr:row>
      <xdr:rowOff>112847</xdr:rowOff>
    </xdr:from>
    <xdr:to>
      <xdr:col>18</xdr:col>
      <xdr:colOff>276753</xdr:colOff>
      <xdr:row>11</xdr:row>
      <xdr:rowOff>140011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8CA59993-6387-4216-9A89-7F23679ED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3079" y="2163208"/>
          <a:ext cx="557529" cy="394393"/>
        </a:xfrm>
        <a:prstGeom prst="rect">
          <a:avLst/>
        </a:prstGeom>
      </xdr:spPr>
    </xdr:pic>
    <xdr:clientData/>
  </xdr:twoCellAnchor>
  <xdr:twoCellAnchor editAs="oneCell">
    <xdr:from>
      <xdr:col>11</xdr:col>
      <xdr:colOff>35346</xdr:colOff>
      <xdr:row>9</xdr:row>
      <xdr:rowOff>51572</xdr:rowOff>
    </xdr:from>
    <xdr:to>
      <xdr:col>12</xdr:col>
      <xdr:colOff>74121</xdr:colOff>
      <xdr:row>11</xdr:row>
      <xdr:rowOff>79272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8BB969AA-11BD-4080-983D-7F93C661D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9924" y="2101933"/>
          <a:ext cx="360101" cy="394929"/>
        </a:xfrm>
        <a:prstGeom prst="rect">
          <a:avLst/>
        </a:prstGeom>
      </xdr:spPr>
    </xdr:pic>
    <xdr:clientData/>
  </xdr:twoCellAnchor>
  <xdr:twoCellAnchor editAs="oneCell">
    <xdr:from>
      <xdr:col>5</xdr:col>
      <xdr:colOff>45744</xdr:colOff>
      <xdr:row>9</xdr:row>
      <xdr:rowOff>40737</xdr:rowOff>
    </xdr:from>
    <xdr:to>
      <xdr:col>6</xdr:col>
      <xdr:colOff>71151</xdr:colOff>
      <xdr:row>11</xdr:row>
      <xdr:rowOff>67901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CE8CA512-FA7F-499D-9C89-6EA4A6B34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2371" y="2091098"/>
          <a:ext cx="346732" cy="394393"/>
        </a:xfrm>
        <a:prstGeom prst="rect">
          <a:avLst/>
        </a:prstGeom>
      </xdr:spPr>
    </xdr:pic>
    <xdr:clientData/>
  </xdr:twoCellAnchor>
  <xdr:twoCellAnchor>
    <xdr:from>
      <xdr:col>10</xdr:col>
      <xdr:colOff>65184</xdr:colOff>
      <xdr:row>13</xdr:row>
      <xdr:rowOff>119502</xdr:rowOff>
    </xdr:from>
    <xdr:to>
      <xdr:col>20</xdr:col>
      <xdr:colOff>46134</xdr:colOff>
      <xdr:row>24</xdr:row>
      <xdr:rowOff>43302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37AA0B93-67EE-45CF-87E6-9688FCEAB2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90889</xdr:colOff>
      <xdr:row>12</xdr:row>
      <xdr:rowOff>26700</xdr:rowOff>
    </xdr:from>
    <xdr:to>
      <xdr:col>18</xdr:col>
      <xdr:colOff>14595</xdr:colOff>
      <xdr:row>13</xdr:row>
      <xdr:rowOff>163087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3BC09D1E-C03D-4ADB-AAC5-968963603428}"/>
            </a:ext>
          </a:extLst>
        </xdr:cNvPr>
        <xdr:cNvSpPr txBox="1"/>
      </xdr:nvSpPr>
      <xdr:spPr>
        <a:xfrm>
          <a:off x="3946793" y="2627905"/>
          <a:ext cx="1851657" cy="320001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200" b="1">
              <a:solidFill>
                <a:schemeClr val="bg1"/>
              </a:solidFill>
            </a:rPr>
            <a:t>Tendance par habitant</a:t>
          </a:r>
        </a:p>
      </xdr:txBody>
    </xdr:sp>
    <xdr:clientData/>
  </xdr:twoCellAnchor>
  <xdr:twoCellAnchor>
    <xdr:from>
      <xdr:col>0</xdr:col>
      <xdr:colOff>107109</xdr:colOff>
      <xdr:row>13</xdr:row>
      <xdr:rowOff>119502</xdr:rowOff>
    </xdr:from>
    <xdr:to>
      <xdr:col>9</xdr:col>
      <xdr:colOff>297609</xdr:colOff>
      <xdr:row>24</xdr:row>
      <xdr:rowOff>36952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C0B0427E-37BC-48BD-B972-D85079FDB0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141306</xdr:colOff>
      <xdr:row>12</xdr:row>
      <xdr:rowOff>17749</xdr:rowOff>
    </xdr:from>
    <xdr:to>
      <xdr:col>8</xdr:col>
      <xdr:colOff>68403</xdr:colOff>
      <xdr:row>13</xdr:row>
      <xdr:rowOff>154136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42219BF5-56DB-4EE8-AB7E-0E48F70A8688}"/>
            </a:ext>
          </a:extLst>
        </xdr:cNvPr>
        <xdr:cNvSpPr txBox="1"/>
      </xdr:nvSpPr>
      <xdr:spPr>
        <a:xfrm>
          <a:off x="783957" y="2618954"/>
          <a:ext cx="1855048" cy="320001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200" b="1">
              <a:solidFill>
                <a:schemeClr val="bg1"/>
              </a:solidFill>
            </a:rPr>
            <a:t>Top recyclers</a:t>
          </a:r>
          <a:endParaRPr lang="fr-FR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174051</xdr:colOff>
      <xdr:row>13</xdr:row>
      <xdr:rowOff>119502</xdr:rowOff>
    </xdr:from>
    <xdr:to>
      <xdr:col>30</xdr:col>
      <xdr:colOff>153998</xdr:colOff>
      <xdr:row>24</xdr:row>
      <xdr:rowOff>43743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DC7F2709-254B-41C8-95B5-84CA1EB4C2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106630</xdr:colOff>
      <xdr:row>24</xdr:row>
      <xdr:rowOff>150947</xdr:rowOff>
    </xdr:from>
    <xdr:to>
      <xdr:col>5</xdr:col>
      <xdr:colOff>161663</xdr:colOff>
      <xdr:row>35</xdr:row>
      <xdr:rowOff>25973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C3542A82-93AC-45E8-876D-55481B9DF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297894</xdr:colOff>
      <xdr:row>24</xdr:row>
      <xdr:rowOff>150947</xdr:rowOff>
    </xdr:from>
    <xdr:to>
      <xdr:col>11</xdr:col>
      <xdr:colOff>31603</xdr:colOff>
      <xdr:row>35</xdr:row>
      <xdr:rowOff>20779</xdr:rowOff>
    </xdr:to>
    <xdr:graphicFrame macro="">
      <xdr:nvGraphicFramePr>
        <xdr:cNvPr id="22" name="Graphique 21">
          <a:extLst>
            <a:ext uri="{FF2B5EF4-FFF2-40B4-BE49-F238E27FC236}">
              <a16:creationId xmlns:a16="http://schemas.microsoft.com/office/drawing/2014/main" id="{8C1D37E9-E575-4B33-932E-1ACACF3780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205030</xdr:colOff>
      <xdr:row>24</xdr:row>
      <xdr:rowOff>181549</xdr:rowOff>
    </xdr:from>
    <xdr:to>
      <xdr:col>16</xdr:col>
      <xdr:colOff>260063</xdr:colOff>
      <xdr:row>35</xdr:row>
      <xdr:rowOff>38768</xdr:rowOff>
    </xdr:to>
    <xdr:graphicFrame macro="">
      <xdr:nvGraphicFramePr>
        <xdr:cNvPr id="23" name="Graphique 22">
          <a:extLst>
            <a:ext uri="{FF2B5EF4-FFF2-40B4-BE49-F238E27FC236}">
              <a16:creationId xmlns:a16="http://schemas.microsoft.com/office/drawing/2014/main" id="{4FC70656-FCCB-41C0-AAE9-0ECEBE411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153240</xdr:colOff>
      <xdr:row>27</xdr:row>
      <xdr:rowOff>123692</xdr:rowOff>
    </xdr:from>
    <xdr:to>
      <xdr:col>4</xdr:col>
      <xdr:colOff>38676</xdr:colOff>
      <xdr:row>32</xdr:row>
      <xdr:rowOff>48985</xdr:rowOff>
    </xdr:to>
    <xdr:sp macro="" textlink="'anneau '!B2">
      <xdr:nvSpPr>
        <xdr:cNvPr id="27" name="ZoneTexte 26" descr="32?62%">
          <a:extLst>
            <a:ext uri="{FF2B5EF4-FFF2-40B4-BE49-F238E27FC236}">
              <a16:creationId xmlns:a16="http://schemas.microsoft.com/office/drawing/2014/main" id="{9129C05F-8855-47AB-81D6-A7D4F66212C1}"/>
            </a:ext>
          </a:extLst>
        </xdr:cNvPr>
        <xdr:cNvSpPr txBox="1"/>
      </xdr:nvSpPr>
      <xdr:spPr>
        <a:xfrm>
          <a:off x="474565" y="5479114"/>
          <a:ext cx="849412" cy="843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7B089B3-F898-43D8-B9F9-45D31203F750}" type="TxLink">
            <a:rPr lang="en-US" sz="2800" b="1" i="0" u="none" strike="noStrike">
              <a:solidFill>
                <a:schemeClr val="accent1"/>
              </a:solidFill>
              <a:latin typeface="Calibri"/>
              <a:ea typeface="Calibri"/>
              <a:cs typeface="Calibri"/>
            </a:rPr>
            <a:pPr algn="ctr"/>
            <a:t>48%</a:t>
          </a:fld>
          <a:endParaRPr lang="fr-FR" sz="2800" b="1">
            <a:solidFill>
              <a:schemeClr val="accent1"/>
            </a:solidFill>
          </a:endParaRPr>
        </a:p>
      </xdr:txBody>
    </xdr:sp>
    <xdr:clientData/>
  </xdr:twoCellAnchor>
  <xdr:twoCellAnchor>
    <xdr:from>
      <xdr:col>7</xdr:col>
      <xdr:colOff>1242</xdr:colOff>
      <xdr:row>27</xdr:row>
      <xdr:rowOff>123692</xdr:rowOff>
    </xdr:from>
    <xdr:to>
      <xdr:col>10</xdr:col>
      <xdr:colOff>2528</xdr:colOff>
      <xdr:row>32</xdr:row>
      <xdr:rowOff>1963</xdr:rowOff>
    </xdr:to>
    <xdr:sp macro="" textlink="'anneau '!B3">
      <xdr:nvSpPr>
        <xdr:cNvPr id="28" name="ZoneTexte 27" descr="32?62%">
          <a:extLst>
            <a:ext uri="{FF2B5EF4-FFF2-40B4-BE49-F238E27FC236}">
              <a16:creationId xmlns:a16="http://schemas.microsoft.com/office/drawing/2014/main" id="{71A70B62-DC16-4094-83CE-C66E03A3DA50}"/>
            </a:ext>
          </a:extLst>
        </xdr:cNvPr>
        <xdr:cNvSpPr txBox="1"/>
      </xdr:nvSpPr>
      <xdr:spPr>
        <a:xfrm>
          <a:off x="2250519" y="5479114"/>
          <a:ext cx="965262" cy="7963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EBD0ADF-DE41-41C7-8D7B-E69B1E61471E}" type="TxLink">
            <a:rPr lang="en-US" sz="2800" b="1" i="0" u="none" strike="noStrike">
              <a:solidFill>
                <a:srgbClr val="FF0000"/>
              </a:solidFill>
              <a:latin typeface="Calibri"/>
              <a:ea typeface="Calibri"/>
              <a:cs typeface="Calibri"/>
            </a:rPr>
            <a:pPr algn="ctr"/>
            <a:t>19%</a:t>
          </a:fld>
          <a:endParaRPr lang="fr-FR" sz="2800" b="1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261012</xdr:colOff>
      <xdr:row>27</xdr:row>
      <xdr:rowOff>123692</xdr:rowOff>
    </xdr:from>
    <xdr:to>
      <xdr:col>15</xdr:col>
      <xdr:colOff>262297</xdr:colOff>
      <xdr:row>32</xdr:row>
      <xdr:rowOff>15723</xdr:rowOff>
    </xdr:to>
    <xdr:sp macro="" textlink="'anneau '!B4">
      <xdr:nvSpPr>
        <xdr:cNvPr id="32" name="ZoneTexte 31" descr="32?62%">
          <a:extLst>
            <a:ext uri="{FF2B5EF4-FFF2-40B4-BE49-F238E27FC236}">
              <a16:creationId xmlns:a16="http://schemas.microsoft.com/office/drawing/2014/main" id="{3EDB956E-8562-4250-8191-C195BFA9D56F}"/>
            </a:ext>
          </a:extLst>
        </xdr:cNvPr>
        <xdr:cNvSpPr txBox="1"/>
      </xdr:nvSpPr>
      <xdr:spPr>
        <a:xfrm>
          <a:off x="4116916" y="5479114"/>
          <a:ext cx="965261" cy="8101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4FE22AB-668D-44E1-B991-0F355C5353EE}" type="TxLink">
            <a:rPr lang="en-US" sz="2800" b="1" i="0" u="none" strike="noStrike">
              <a:solidFill>
                <a:schemeClr val="accent4"/>
              </a:solidFill>
              <a:latin typeface="Calibri"/>
              <a:ea typeface="Calibri"/>
              <a:cs typeface="Calibri"/>
            </a:rPr>
            <a:pPr algn="ctr"/>
            <a:t>33%</a:t>
          </a:fld>
          <a:endParaRPr lang="fr-FR" sz="2800" b="1">
            <a:solidFill>
              <a:schemeClr val="accent4"/>
            </a:solidFill>
          </a:endParaRPr>
        </a:p>
      </xdr:txBody>
    </xdr:sp>
    <xdr:clientData/>
  </xdr:twoCellAnchor>
  <xdr:twoCellAnchor>
    <xdr:from>
      <xdr:col>0</xdr:col>
      <xdr:colOff>113163</xdr:colOff>
      <xdr:row>24</xdr:row>
      <xdr:rowOff>153012</xdr:rowOff>
    </xdr:from>
    <xdr:to>
      <xdr:col>2</xdr:col>
      <xdr:colOff>183613</xdr:colOff>
      <xdr:row>26</xdr:row>
      <xdr:rowOff>141783</xdr:rowOff>
    </xdr:to>
    <xdr:sp macro="" textlink="'anneau '!A2">
      <xdr:nvSpPr>
        <xdr:cNvPr id="33" name="ZoneTexte 32" descr="32?62%">
          <a:extLst>
            <a:ext uri="{FF2B5EF4-FFF2-40B4-BE49-F238E27FC236}">
              <a16:creationId xmlns:a16="http://schemas.microsoft.com/office/drawing/2014/main" id="{10A8A38D-58E7-420E-A642-15ED38DE27E7}"/>
            </a:ext>
          </a:extLst>
        </xdr:cNvPr>
        <xdr:cNvSpPr txBox="1"/>
      </xdr:nvSpPr>
      <xdr:spPr>
        <a:xfrm>
          <a:off x="113163" y="4957590"/>
          <a:ext cx="713101" cy="3560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0408BCDD-35D5-4037-AF80-56257E1EE79E}" type="TxLink">
            <a:rPr lang="en-US" sz="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Collecte OMR</a:t>
          </a:fld>
          <a:endParaRPr lang="fr-FR" sz="8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308719</xdr:colOff>
      <xdr:row>24</xdr:row>
      <xdr:rowOff>153012</xdr:rowOff>
    </xdr:from>
    <xdr:to>
      <xdr:col>8</xdr:col>
      <xdr:colOff>57845</xdr:colOff>
      <xdr:row>26</xdr:row>
      <xdr:rowOff>137785</xdr:rowOff>
    </xdr:to>
    <xdr:sp macro="" textlink="'anneau '!A3">
      <xdr:nvSpPr>
        <xdr:cNvPr id="34" name="ZoneTexte 33" descr="32?62%">
          <a:extLst>
            <a:ext uri="{FF2B5EF4-FFF2-40B4-BE49-F238E27FC236}">
              <a16:creationId xmlns:a16="http://schemas.microsoft.com/office/drawing/2014/main" id="{D8860AD6-6949-4648-BAAB-9089A285FA98}"/>
            </a:ext>
          </a:extLst>
        </xdr:cNvPr>
        <xdr:cNvSpPr txBox="1"/>
      </xdr:nvSpPr>
      <xdr:spPr>
        <a:xfrm>
          <a:off x="1915346" y="4957590"/>
          <a:ext cx="713101" cy="352002"/>
        </a:xfrm>
        <a:prstGeom prst="rect">
          <a:avLst/>
        </a:prstGeom>
        <a:solidFill>
          <a:srgbClr val="FF0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85A3334D-8999-4A30-BEE0-6774B8402D36}" type="TxLink">
            <a:rPr lang="en-US" sz="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Collecte séparées</a:t>
          </a:fld>
          <a:endParaRPr lang="fr-FR" sz="800" b="1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213458</xdr:colOff>
      <xdr:row>24</xdr:row>
      <xdr:rowOff>153012</xdr:rowOff>
    </xdr:from>
    <xdr:to>
      <xdr:col>13</xdr:col>
      <xdr:colOff>283908</xdr:colOff>
      <xdr:row>26</xdr:row>
      <xdr:rowOff>137783</xdr:rowOff>
    </xdr:to>
    <xdr:sp macro="" textlink="'anneau '!A4">
      <xdr:nvSpPr>
        <xdr:cNvPr id="35" name="ZoneTexte 34" descr="32?62%">
          <a:extLst>
            <a:ext uri="{FF2B5EF4-FFF2-40B4-BE49-F238E27FC236}">
              <a16:creationId xmlns:a16="http://schemas.microsoft.com/office/drawing/2014/main" id="{8610B422-0C92-4D28-A507-75B70779C732}"/>
            </a:ext>
          </a:extLst>
        </xdr:cNvPr>
        <xdr:cNvSpPr txBox="1"/>
      </xdr:nvSpPr>
      <xdr:spPr>
        <a:xfrm>
          <a:off x="3748036" y="4957590"/>
          <a:ext cx="713101" cy="35200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AAA75440-CB95-4FEB-9020-FF836039DC95}" type="TxLink">
            <a:rPr lang="en-US" sz="8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Déchèterie</a:t>
          </a:fld>
          <a:endParaRPr lang="fr-FR" sz="8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19</xdr:col>
      <xdr:colOff>7650</xdr:colOff>
      <xdr:row>4</xdr:row>
      <xdr:rowOff>171400</xdr:rowOff>
    </xdr:from>
    <xdr:to>
      <xdr:col>31</xdr:col>
      <xdr:colOff>78804</xdr:colOff>
      <xdr:row>8</xdr:row>
      <xdr:rowOff>67616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9" name="ANNEE 1">
              <a:extLst>
                <a:ext uri="{FF2B5EF4-FFF2-40B4-BE49-F238E27FC236}">
                  <a16:creationId xmlns:a16="http://schemas.microsoft.com/office/drawing/2014/main" id="{1073E10E-1129-47D4-A435-F596C4F7C1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E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68501" y="1299538"/>
              <a:ext cx="3962218" cy="6257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8402</xdr:colOff>
      <xdr:row>0</xdr:row>
      <xdr:rowOff>18600</xdr:rowOff>
    </xdr:from>
    <xdr:to>
      <xdr:col>25</xdr:col>
      <xdr:colOff>28715</xdr:colOff>
      <xdr:row>4</xdr:row>
      <xdr:rowOff>115955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8" name="N_DEPT 1">
              <a:extLst>
                <a:ext uri="{FF2B5EF4-FFF2-40B4-BE49-F238E27FC236}">
                  <a16:creationId xmlns:a16="http://schemas.microsoft.com/office/drawing/2014/main" id="{E87D43A6-6A80-4AD2-B3DF-20475271BD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_DEPT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69253" y="18600"/>
              <a:ext cx="1965845" cy="12254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50046</xdr:colOff>
      <xdr:row>0</xdr:row>
      <xdr:rowOff>29499</xdr:rowOff>
    </xdr:from>
    <xdr:to>
      <xdr:col>31</xdr:col>
      <xdr:colOff>70959</xdr:colOff>
      <xdr:row>4</xdr:row>
      <xdr:rowOff>126591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9" name="TYP_COLLECTE 1">
              <a:extLst>
                <a:ext uri="{FF2B5EF4-FFF2-40B4-BE49-F238E27FC236}">
                  <a16:creationId xmlns:a16="http://schemas.microsoft.com/office/drawing/2014/main" id="{55BB2710-5264-42FD-B859-FD72571BC4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_COLLECT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56429" y="29499"/>
              <a:ext cx="1966445" cy="12252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22</xdr:col>
      <xdr:colOff>195303</xdr:colOff>
      <xdr:row>12</xdr:row>
      <xdr:rowOff>24788</xdr:rowOff>
    </xdr:from>
    <xdr:to>
      <xdr:col>28</xdr:col>
      <xdr:colOff>122399</xdr:colOff>
      <xdr:row>13</xdr:row>
      <xdr:rowOff>157176</xdr:rowOff>
    </xdr:to>
    <xdr:sp macro="" textlink="">
      <xdr:nvSpPr>
        <xdr:cNvPr id="30" name="ZoneTexte 29">
          <a:extLst>
            <a:ext uri="{FF2B5EF4-FFF2-40B4-BE49-F238E27FC236}">
              <a16:creationId xmlns:a16="http://schemas.microsoft.com/office/drawing/2014/main" id="{1C465783-9B33-449A-9AD1-54FD156282D9}"/>
            </a:ext>
          </a:extLst>
        </xdr:cNvPr>
        <xdr:cNvSpPr txBox="1"/>
      </xdr:nvSpPr>
      <xdr:spPr>
        <a:xfrm>
          <a:off x="7264460" y="2625993"/>
          <a:ext cx="1855047" cy="316002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200" b="1">
              <a:solidFill>
                <a:schemeClr val="bg1"/>
              </a:solidFill>
            </a:rPr>
            <a:t>Répartition des déchets</a:t>
          </a:r>
        </a:p>
      </xdr:txBody>
    </xdr:sp>
    <xdr:clientData/>
  </xdr:twoCellAnchor>
  <xdr:twoCellAnchor>
    <xdr:from>
      <xdr:col>17</xdr:col>
      <xdr:colOff>244819</xdr:colOff>
      <xdr:row>24</xdr:row>
      <xdr:rowOff>168314</xdr:rowOff>
    </xdr:from>
    <xdr:to>
      <xdr:col>30</xdr:col>
      <xdr:colOff>160663</xdr:colOff>
      <xdr:row>35</xdr:row>
      <xdr:rowOff>30603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3E3EF46E-CD57-45D0-9B3F-FCE98B9511D0}"/>
            </a:ext>
          </a:extLst>
        </xdr:cNvPr>
        <xdr:cNvSpPr txBox="1"/>
      </xdr:nvSpPr>
      <xdr:spPr>
        <a:xfrm>
          <a:off x="5707349" y="4972892"/>
          <a:ext cx="4093073" cy="18820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600" b="1" i="0">
            <a:solidFill>
              <a:schemeClr val="accent2">
                <a:lumMod val="50000"/>
              </a:schemeClr>
            </a:solidFill>
          </a:endParaRPr>
        </a:p>
        <a:p>
          <a:endParaRPr lang="fr-FR" sz="1600" b="1" i="0">
            <a:solidFill>
              <a:schemeClr val="accent2">
                <a:lumMod val="50000"/>
              </a:schemeClr>
            </a:solidFill>
          </a:endParaRPr>
        </a:p>
        <a:p>
          <a:r>
            <a:rPr lang="fr-FR" sz="1600" b="1" i="0">
              <a:solidFill>
                <a:schemeClr val="accent2">
                  <a:lumMod val="50000"/>
                </a:schemeClr>
              </a:solidFill>
            </a:rPr>
            <a:t>Source des données : ADEME &amp; INSEE (2009-2021)</a:t>
          </a:r>
        </a:p>
        <a:p>
          <a:r>
            <a:rPr lang="fr-FR" sz="1600" b="1" i="0">
              <a:solidFill>
                <a:schemeClr val="accent2">
                  <a:lumMod val="50000"/>
                </a:schemeClr>
              </a:solidFill>
            </a:rPr>
            <a:t>Réaliser par : Boustane Mohamed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9</xdr:row>
      <xdr:rowOff>95250</xdr:rowOff>
    </xdr:from>
    <xdr:to>
      <xdr:col>4</xdr:col>
      <xdr:colOff>114300</xdr:colOff>
      <xdr:row>24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F871A1D-09C4-4026-9EA5-8227B5E24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127000</xdr:colOff>
      <xdr:row>5</xdr:row>
      <xdr:rowOff>158750</xdr:rowOff>
    </xdr:from>
    <xdr:to>
      <xdr:col>6</xdr:col>
      <xdr:colOff>431800</xdr:colOff>
      <xdr:row>19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NNEE">
              <a:extLst>
                <a:ext uri="{FF2B5EF4-FFF2-40B4-BE49-F238E27FC236}">
                  <a16:creationId xmlns:a16="http://schemas.microsoft.com/office/drawing/2014/main" id="{E5125258-8B11-4188-9948-9FA71047D2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E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80000" y="10795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330200</xdr:colOff>
      <xdr:row>0</xdr:row>
      <xdr:rowOff>152400</xdr:rowOff>
    </xdr:from>
    <xdr:to>
      <xdr:col>8</xdr:col>
      <xdr:colOff>330200</xdr:colOff>
      <xdr:row>15</xdr:row>
      <xdr:rowOff>133350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E6C927E-DBFE-46E0-BA1A-AA0BAA0D3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247650</xdr:colOff>
      <xdr:row>2</xdr:row>
      <xdr:rowOff>107950</xdr:rowOff>
    </xdr:from>
    <xdr:to>
      <xdr:col>10</xdr:col>
      <xdr:colOff>552450</xdr:colOff>
      <xdr:row>16</xdr:row>
      <xdr:rowOff>53975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N_DEPT">
              <a:extLst>
                <a:ext uri="{FF2B5EF4-FFF2-40B4-BE49-F238E27FC236}">
                  <a16:creationId xmlns:a16="http://schemas.microsoft.com/office/drawing/2014/main" id="{20991171-6E01-460F-8B32-BC5B0C5DDF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_DEP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74000" y="4762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10</xdr:row>
      <xdr:rowOff>76200</xdr:rowOff>
    </xdr:from>
    <xdr:to>
      <xdr:col>6</xdr:col>
      <xdr:colOff>69850</xdr:colOff>
      <xdr:row>25</xdr:row>
      <xdr:rowOff>57150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1ACC3F4-6CBC-4E15-91EC-AE973B4B01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546100</xdr:colOff>
      <xdr:row>1</xdr:row>
      <xdr:rowOff>44450</xdr:rowOff>
    </xdr:from>
    <xdr:to>
      <xdr:col>9</xdr:col>
      <xdr:colOff>88900</xdr:colOff>
      <xdr:row>14</xdr:row>
      <xdr:rowOff>174625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YP_COLLECTE">
              <a:extLst>
                <a:ext uri="{FF2B5EF4-FFF2-40B4-BE49-F238E27FC236}">
                  <a16:creationId xmlns:a16="http://schemas.microsoft.com/office/drawing/2014/main" id="{262DE0BE-3D62-4961-A369-64FB0B68F6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_COLLEC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72400" y="2286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</xdr:colOff>
      <xdr:row>0</xdr:row>
      <xdr:rowOff>0</xdr:rowOff>
    </xdr:from>
    <xdr:to>
      <xdr:col>11</xdr:col>
      <xdr:colOff>69850</xdr:colOff>
      <xdr:row>14</xdr:row>
      <xdr:rowOff>165100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2017CDC-A895-4CCA-BB73-80528A985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552450</xdr:colOff>
      <xdr:row>6</xdr:row>
      <xdr:rowOff>165099</xdr:rowOff>
    </xdr:from>
    <xdr:to>
      <xdr:col>1</xdr:col>
      <xdr:colOff>1441450</xdr:colOff>
      <xdr:row>17</xdr:row>
      <xdr:rowOff>47624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6306E5E-17AC-4D69-8EE8-D38892A83F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12700</xdr:colOff>
      <xdr:row>8</xdr:row>
      <xdr:rowOff>12700</xdr:rowOff>
    </xdr:from>
    <xdr:to>
      <xdr:col>4</xdr:col>
      <xdr:colOff>368300</xdr:colOff>
      <xdr:row>18</xdr:row>
      <xdr:rowOff>79375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29579ECC-B76B-442C-A1B4-AEA21065B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812800</xdr:colOff>
      <xdr:row>15</xdr:row>
      <xdr:rowOff>44450</xdr:rowOff>
    </xdr:from>
    <xdr:to>
      <xdr:col>7</xdr:col>
      <xdr:colOff>717550</xdr:colOff>
      <xdr:row>25</xdr:row>
      <xdr:rowOff>98425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34C89093-E5D3-4B17-8199-292DE87D7D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622300</xdr:colOff>
      <xdr:row>4</xdr:row>
      <xdr:rowOff>50800</xdr:rowOff>
    </xdr:from>
    <xdr:to>
      <xdr:col>10</xdr:col>
      <xdr:colOff>3175</xdr:colOff>
      <xdr:row>20</xdr:row>
      <xdr:rowOff>79375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E90C9B1-D9CC-4883-AC67-952DEA64CC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USTANE Aadil" refreshedDate="45997.613152430553" createdVersion="7" refreshedVersion="7" minRefreshableVersion="3" recordCount="2122" xr:uid="{4772B284-A405-4E61-A2E7-DF98AAF10E89}">
  <cacheSource type="worksheet">
    <worksheetSource name="sinoe__r__repartition_des_tonnages_de_dma_collectes_par_type_de_collecte"/>
  </cacheSource>
  <cacheFields count="7">
    <cacheField name="ANNEE" numFmtId="0">
      <sharedItems containsSemiMixedTypes="0" containsString="0" containsNumber="1" containsInteger="1" minValue="2009" maxValue="2021" count="7">
        <n v="2009"/>
        <n v="2011"/>
        <n v="2021"/>
        <n v="2013"/>
        <n v="2019"/>
        <n v="2017"/>
        <n v="2015"/>
      </sharedItems>
    </cacheField>
    <cacheField name="C_DEPT" numFmtId="0">
      <sharedItems/>
    </cacheField>
    <cacheField name="N_DEPT" numFmtId="0">
      <sharedItems count="104">
        <s v="Ain"/>
        <s v="Allier"/>
        <s v="Ardèche"/>
        <s v="Cantal"/>
        <s v="Drôme"/>
        <s v="Isère"/>
        <s v="Loire"/>
        <s v="Haute-Loire"/>
        <s v="Puy-de-Dôme"/>
        <s v="Rhône"/>
        <s v="Savoie"/>
        <s v="Haute-Savoie"/>
        <s v="Cote-d'Or"/>
        <s v="Doubs"/>
        <s v="Jura"/>
        <s v="Nièvre"/>
        <s v="Haute-Saône"/>
        <s v="Saône-et-Loire"/>
        <s v="Yonne"/>
        <s v="Territoire-de-Belfort"/>
        <s v="Cotes-d'Armor"/>
        <s v="Finistère"/>
        <s v="Ille-et-Vilaine"/>
        <s v="Morbihan"/>
        <s v="Cher"/>
        <s v="Eure-et-Loir"/>
        <s v="Indre"/>
        <s v="Indre-et-Loire"/>
        <s v="Loir-et-Cher"/>
        <s v="Loiret"/>
        <s v="Corse-du-Sud"/>
        <s v="Haute-Corse"/>
        <s v="Ardennes"/>
        <s v="Aube"/>
        <s v="Marne"/>
        <s v="Haute-Marne"/>
        <s v="Meurthe-et-Moselle"/>
        <s v="Meuse"/>
        <s v="Moselle"/>
        <s v="Bas-Rhin"/>
        <s v="Haut-Rhin"/>
        <s v="Vosges"/>
        <s v="Aisne"/>
        <s v="Nord"/>
        <s v="Oise"/>
        <s v="Pas-de-Calais"/>
        <s v="Somme"/>
        <s v="Paris"/>
        <s v="Seine-et-Marne"/>
        <s v="Yvelines"/>
        <s v="Essonne"/>
        <s v="Hauts-de-seine"/>
        <s v="Seine-Saint-Denis"/>
        <s v="Val-de-Marne"/>
        <s v="Val-d'Oise"/>
        <s v="Calvados"/>
        <s v="Eure"/>
        <s v="Manche"/>
        <s v="Orne"/>
        <s v="Seine-Maritime"/>
        <s v="Charente"/>
        <s v="Charente-Maritime"/>
        <s v="Corrèze"/>
        <s v="Creuse"/>
        <s v="Dordogne"/>
        <s v="Gironde"/>
        <s v="Landes"/>
        <s v="Lot-et-Garonne"/>
        <s v="Pyrénées-Atlantiques"/>
        <s v="Deux-Sèvres"/>
        <s v="Vienne"/>
        <s v="Haute-Vienne"/>
        <s v="Ariège"/>
        <s v="Aude"/>
        <s v="Aveyron"/>
        <s v="Gard"/>
        <s v="Haute-Garonne"/>
        <s v="Gers"/>
        <s v="Hérault"/>
        <s v="Lot"/>
        <s v="Lozère"/>
        <s v="Hautes-Pyrénées"/>
        <s v="Pyrénées-Orientales"/>
        <s v="Tarn"/>
        <s v="Tarn-et-Garonne"/>
        <s v="Loire-Atlantique"/>
        <s v="Maine-et-Loire"/>
        <s v="Mayenne"/>
        <s v="Sarthe"/>
        <s v="Vendée"/>
        <s v="Alpes-de-Haute-Provence"/>
        <s v="Hautes-Alpes"/>
        <s v="Alpes-Maritimes"/>
        <s v="Bouches-du-Rhône"/>
        <s v="Var"/>
        <s v="Vaucluse"/>
        <s v="Guadeloupe"/>
        <s v="Martinique"/>
        <s v="Guyane"/>
        <s v="La Réunion"/>
        <s v="Saint-Barthélemy"/>
        <s v="Saint-Martin"/>
        <s v="Polynésie française"/>
        <s v="Mayotte"/>
      </sharedItems>
    </cacheField>
    <cacheField name="TYP_COLLECTE" numFmtId="0">
      <sharedItems count="3">
        <s v="Collecte OMR"/>
        <s v="Collecte séparées"/>
        <s v="Déchèterie"/>
      </sharedItems>
    </cacheField>
    <cacheField name="TONNAGE_T_HG" numFmtId="0">
      <sharedItems containsSemiMixedTypes="0" containsString="0" containsNumber="1" minValue="110.74" maxValue="841716" count="2122">
        <n v="134208.68"/>
        <n v="42906.27"/>
        <n v="109950.6"/>
        <n v="105182.37"/>
        <n v="26166.22"/>
        <n v="40975.120000000003"/>
        <n v="89088.42"/>
        <n v="23494.79"/>
        <n v="38853.4"/>
        <n v="56636.92"/>
        <n v="9947.1200000000008"/>
        <n v="14022.32"/>
        <n v="131079.43"/>
        <n v="35310.720000000001"/>
        <n v="75301.13"/>
        <n v="292381.39"/>
        <n v="101588.37"/>
        <n v="254800.21"/>
        <n v="204364.35"/>
        <n v="57491.07"/>
        <n v="100004.36"/>
        <n v="57687.519999999997"/>
        <n v="14670.59"/>
        <n v="21474.560000000001"/>
        <n v="158708.51"/>
        <n v="62423.1"/>
        <n v="116069.5"/>
        <n v="415659.05"/>
        <n v="117570.57"/>
        <n v="163717.98000000001"/>
        <n v="137352.81"/>
        <n v="42433.37"/>
        <n v="89779.56"/>
        <n v="235445.41"/>
        <n v="61882.38"/>
        <n v="141388.64000000001"/>
        <n v="138368.39000000001"/>
        <n v="52183.55"/>
        <n v="81041.73"/>
        <n v="136451.32"/>
        <n v="56517.5"/>
        <n v="83915.19"/>
        <n v="54879.96"/>
        <n v="35591.06"/>
        <n v="38743.39"/>
        <n v="52706.64"/>
        <n v="25035.360000000001"/>
        <n v="38257.56"/>
        <n v="56174.15"/>
        <n v="28978.93"/>
        <n v="45163.55"/>
        <n v="128157.24"/>
        <n v="60537.48"/>
        <n v="110457.5"/>
        <n v="106406.5"/>
        <n v="28840.61"/>
        <n v="43112.55"/>
        <n v="41201.919999999998"/>
        <n v="18706.05"/>
        <n v="8866.7800000000007"/>
        <n v="158002.93"/>
        <n v="56558.55"/>
        <n v="152261.14000000001"/>
        <n v="248509.99"/>
        <n v="123439.53"/>
        <n v="255235.19"/>
        <n v="221068.38"/>
        <n v="94941.32"/>
        <n v="169251.71"/>
        <n v="181685.29"/>
        <n v="83598.210000000006"/>
        <n v="154724.39000000001"/>
        <n v="81841.72"/>
        <n v="33046.11"/>
        <n v="49480.07"/>
        <n v="117834.14"/>
        <n v="41833.43"/>
        <n v="59597.49"/>
        <n v="49930.65"/>
        <n v="35980.93"/>
        <n v="33913.96"/>
        <n v="148239.23000000001"/>
        <n v="69361.320000000007"/>
        <n v="72086.570000000007"/>
        <n v="82919.77"/>
        <n v="26182.46"/>
        <n v="64207.4"/>
        <n v="171335.1"/>
        <n v="46182.7"/>
        <n v="120430.32"/>
        <n v="72034.679999999993"/>
        <n v="4319.51"/>
        <n v="9443.7800000000007"/>
        <n v="72086.759999999995"/>
        <n v="5838.57"/>
        <n v="16045.05"/>
        <n v="82993.929999999993"/>
        <n v="31289.9"/>
        <n v="33099.56"/>
        <n v="91337.88"/>
        <n v="35995.120000000003"/>
        <n v="32787.99"/>
        <n v="150194.32"/>
        <n v="65379.67"/>
        <n v="70401.509999999995"/>
        <n v="53191.17"/>
        <n v="16364.05"/>
        <n v="21955.87"/>
        <n v="215342.69"/>
        <n v="75435.350000000006"/>
        <n v="77714.12"/>
        <n v="51569.32"/>
        <n v="16206.73"/>
        <n v="20955.919999999998"/>
        <n v="325123.13"/>
        <n v="98815.33"/>
        <n v="130578.74"/>
        <n v="293269.03999999998"/>
        <n v="90949.05"/>
        <n v="139883.78"/>
        <n v="191958.07"/>
        <n v="87955.08"/>
        <n v="97670.97"/>
        <n v="104381.96"/>
        <n v="30588.29"/>
        <n v="53632.5"/>
        <n v="144809.76"/>
        <n v="62162.400000000001"/>
        <n v="67853.960000000006"/>
        <n v="703943.78"/>
        <n v="522630.84"/>
        <n v="227473.35"/>
        <n v="247999.08"/>
        <n v="104879.3"/>
        <n v="105907.67"/>
        <n v="452536.48"/>
        <n v="276053.26"/>
        <n v="177242.55"/>
        <n v="178898.55"/>
        <n v="68415.429999999993"/>
        <n v="88908.18"/>
        <n v="841716"/>
        <n v="232434.21"/>
        <n v="10799.08"/>
        <n v="401748.36"/>
        <n v="156022.16"/>
        <n v="121483.39"/>
        <n v="382877.98"/>
        <n v="188324.08"/>
        <n v="59356.07"/>
        <n v="341958.91"/>
        <n v="181734.95"/>
        <n v="66673.37"/>
        <n v="488118.44"/>
        <n v="130702.16"/>
        <n v="13868.77"/>
        <n v="491161.3"/>
        <n v="121130.39"/>
        <n v="39059.46"/>
        <n v="387397.51"/>
        <n v="131157.97"/>
        <n v="32096.55"/>
        <n v="362908.32"/>
        <n v="117204.91"/>
        <n v="60990.54"/>
        <n v="211650.49"/>
        <n v="94997.03"/>
        <n v="116859.01"/>
        <n v="167151.82999999999"/>
        <n v="52027.54"/>
        <n v="125644.84"/>
        <n v="137505.18"/>
        <n v="58134"/>
        <n v="118144.94"/>
        <n v="77695"/>
        <n v="22138.6"/>
        <n v="58061.72"/>
        <n v="392610.41"/>
        <n v="148926.99"/>
        <n v="207231.55"/>
        <n v="81491.899999999994"/>
        <n v="33160.9"/>
        <n v="62838.79"/>
        <n v="204587.63"/>
        <n v="66068.94"/>
        <n v="130805.44"/>
        <n v="74748.88"/>
        <n v="15002.38"/>
        <n v="35029.660000000003"/>
        <n v="30897.74"/>
        <n v="11221.12"/>
        <n v="14359.74"/>
        <n v="117414.83"/>
        <n v="34875.69"/>
        <n v="102321.97"/>
        <n v="400971.77"/>
        <n v="135958.31"/>
        <n v="260907.39"/>
        <n v="131554.13"/>
        <n v="29267.29"/>
        <n v="149470.62"/>
        <n v="95185.44"/>
        <n v="33354.730000000003"/>
        <n v="46446.07"/>
        <n v="187179.87"/>
        <n v="64965.82"/>
        <n v="101665.53"/>
        <n v="77704.42"/>
        <n v="38139.29"/>
        <n v="72181.119999999995"/>
        <n v="99488.28"/>
        <n v="38646.050000000003"/>
        <n v="79150.11"/>
        <n v="93524.67"/>
        <n v="33146.68"/>
        <n v="53496.639999999999"/>
        <n v="48291.87"/>
        <n v="26100.85"/>
        <n v="24781.040000000001"/>
        <n v="128282.99"/>
        <n v="25245.94"/>
        <n v="64955.55"/>
        <n v="67132.45"/>
        <n v="29319.13"/>
        <n v="36075.339999999997"/>
        <n v="213229.21"/>
        <n v="58326.46"/>
        <n v="126546.71"/>
        <n v="351304.41"/>
        <n v="139775.42000000001"/>
        <n v="108567.42"/>
        <n v="48686.720000000001"/>
        <n v="15833.88"/>
        <n v="25027.06"/>
        <n v="356205.55"/>
        <n v="99651.35"/>
        <n v="202665.61"/>
        <n v="43547.199999999997"/>
        <n v="21321.05"/>
        <n v="26897"/>
        <n v="22393.06"/>
        <n v="5857.55"/>
        <n v="11576"/>
        <n v="74224.490000000005"/>
        <n v="22653.43"/>
        <n v="42518.400000000001"/>
        <n v="171142.63"/>
        <n v="42805.22"/>
        <n v="61538.25"/>
        <n v="99683.91"/>
        <n v="31987.52"/>
        <n v="48489.65"/>
        <n v="66988.41"/>
        <n v="23160.69"/>
        <n v="24737.49"/>
        <n v="313925.5"/>
        <n v="118739.67"/>
        <n v="233458.46"/>
        <n v="155963.97"/>
        <n v="76899.94"/>
        <n v="125924.72"/>
        <n v="71384.66"/>
        <n v="27597.91"/>
        <n v="53001.67"/>
        <n v="133077.31"/>
        <n v="58710.05"/>
        <n v="77098.509999999995"/>
        <n v="150046.42000000001"/>
        <n v="71470.03"/>
        <n v="151104.87"/>
        <n v="61807.96"/>
        <n v="11970.17"/>
        <n v="25414.95"/>
        <n v="52641.09"/>
        <n v="11947.99"/>
        <n v="25450.93"/>
        <n v="487684"/>
        <n v="107160.31"/>
        <n v="132378.97"/>
        <n v="797275.97"/>
        <n v="120182.97"/>
        <n v="265506.34000000003"/>
        <n v="482363.44"/>
        <n v="88390.16"/>
        <n v="154242.93"/>
        <n v="202492.62"/>
        <n v="33456.81"/>
        <n v="84577.63"/>
        <n v="133143.66"/>
        <n v="44981.54"/>
        <n v="118248.82"/>
        <n v="100069.65"/>
        <n v="28309.87"/>
        <n v="44269.89"/>
        <n v="85587.86"/>
        <n v="24031.29"/>
        <n v="42843.12"/>
        <n v="55762.07"/>
        <n v="10695.43"/>
        <n v="18563.810000000001"/>
        <n v="129488.86"/>
        <n v="34889.769999999997"/>
        <n v="83014"/>
        <n v="287665.56"/>
        <n v="103598.56"/>
        <n v="248587.57"/>
        <n v="192043.84"/>
        <n v="58041.31"/>
        <n v="106248.73"/>
        <n v="54363.22"/>
        <n v="17610.43"/>
        <n v="29088.37"/>
        <n v="154252.67000000001"/>
        <n v="80773.100000000006"/>
        <n v="95824.75"/>
        <n v="412392.14"/>
        <n v="123937.78"/>
        <n v="176040.62"/>
        <n v="133910.16"/>
        <n v="44334.14"/>
        <n v="92414.12"/>
        <n v="232239.7"/>
        <n v="64315.27"/>
        <n v="152904.24"/>
        <n v="133321.85999999999"/>
        <n v="52655.02"/>
        <n v="82007.539999999994"/>
        <n v="120625.18"/>
        <n v="63541.05"/>
        <n v="83945.88"/>
        <n v="52357.27"/>
        <n v="35824.93"/>
        <n v="40240.370000000003"/>
        <n v="46139.22"/>
        <n v="26344.1"/>
        <n v="41124.01"/>
        <n v="44955.16"/>
        <n v="23484.47"/>
        <n v="50626.8"/>
        <n v="127745.92"/>
        <n v="60284.69"/>
        <n v="108815.91"/>
        <n v="97730.64"/>
        <n v="29894.34"/>
        <n v="53468.61"/>
        <n v="40247.699999999997"/>
        <n v="21426.720000000001"/>
        <n v="11911.31"/>
        <n v="149990.85"/>
        <n v="59828.08"/>
        <n v="159345.46"/>
        <n v="239257.77"/>
        <n v="127041.81"/>
        <n v="246281.14"/>
        <n v="213232.9"/>
        <n v="103320.33"/>
        <n v="160076.94"/>
        <n v="170938.72"/>
        <n v="87803.74"/>
        <n v="159285.01999999999"/>
        <n v="71088.77"/>
        <n v="35029.730000000003"/>
        <n v="50418.09"/>
        <n v="118872.79"/>
        <n v="45257.01"/>
        <n v="80409.94"/>
        <n v="62044.08"/>
        <n v="18493.37"/>
        <n v="37898.980000000003"/>
        <n v="137783.32999999999"/>
        <n v="74173.179999999993"/>
        <n v="79273.05"/>
        <n v="80535.929999999993"/>
        <n v="27129.26"/>
        <n v="63911.98"/>
        <n v="164281.28"/>
        <n v="48877.35"/>
        <n v="119471.41"/>
        <n v="69796.429999999993"/>
        <n v="5815.6"/>
        <n v="11448.49"/>
        <n v="84837.92"/>
        <n v="11035.81"/>
        <n v="19933.099999999999"/>
        <n v="77925.789999999994"/>
        <n v="30391.77"/>
        <n v="39184.33"/>
        <n v="86635.22"/>
        <n v="37550.870000000003"/>
        <n v="39399.75"/>
        <n v="145632.03"/>
        <n v="60470.67"/>
        <n v="74117.990000000005"/>
        <n v="48031.65"/>
        <n v="13973.71"/>
        <n v="21721.26"/>
        <n v="203616.53"/>
        <n v="78151.94"/>
        <n v="85222.83"/>
        <n v="48945.94"/>
        <n v="15497.71"/>
        <n v="24623.17"/>
        <n v="293176.21999999997"/>
        <n v="109203.39"/>
        <n v="147301.01999999999"/>
        <n v="276653.99"/>
        <n v="97064.54"/>
        <n v="158788.6"/>
        <n v="176887.93"/>
        <n v="103028.86"/>
        <n v="119802.55"/>
        <n v="99566.48"/>
        <n v="31930.11"/>
        <n v="59089.91"/>
        <n v="136441.35"/>
        <n v="65975.360000000001"/>
        <n v="78050.929999999993"/>
        <n v="124554.16"/>
        <n v="56469.61"/>
        <n v="152999.14000000001"/>
        <n v="115633.51"/>
        <n v="63343.21"/>
        <n v="115657.4"/>
        <n v="79474.22"/>
        <n v="37628.65"/>
        <n v="72968.160000000003"/>
        <n v="687770.86"/>
        <n v="432408.52"/>
        <n v="267488.21000000002"/>
        <n v="55036.09"/>
        <n v="14472.75"/>
        <n v="44422.43"/>
        <n v="39409.379999999997"/>
        <n v="15813.09"/>
        <n v="31911.31"/>
        <n v="411601.1"/>
        <n v="158508.68"/>
        <n v="188231.37"/>
        <n v="242394.34"/>
        <n v="107804.15"/>
        <n v="136034.87"/>
        <n v="76392.06"/>
        <n v="30735"/>
        <n v="81247.06"/>
        <n v="60757.49"/>
        <n v="31091.68"/>
        <n v="57274.6"/>
        <n v="39686.589999999997"/>
        <n v="11554.53"/>
        <n v="49936.29"/>
        <n v="440185.87"/>
        <n v="279912.13"/>
        <n v="207610.45"/>
        <n v="76612.81"/>
        <n v="38660.01"/>
        <n v="44316.9"/>
        <n v="119468.5"/>
        <n v="37838.93"/>
        <n v="81732.42"/>
        <n v="63651.34"/>
        <n v="28968.27"/>
        <n v="60210.86"/>
        <n v="166040.26999999999"/>
        <n v="67873.52"/>
        <n v="94293.17"/>
        <n v="736176.26"/>
        <n v="144760.95999999999"/>
        <n v="271354.99"/>
        <n v="172568.33"/>
        <n v="107673.39"/>
        <n v="185244.37"/>
        <n v="36074.050000000003"/>
        <n v="14728.33"/>
        <n v="29542.18"/>
        <n v="833399"/>
        <n v="248999.59"/>
        <n v="6802.43"/>
        <n v="64346.57"/>
        <n v="41692.22"/>
        <n v="83664.87"/>
        <n v="165525"/>
        <n v="101146.67"/>
        <n v="183873.36"/>
        <n v="56750.94"/>
        <n v="30191.66"/>
        <n v="71751.149999999994"/>
        <n v="401604.38"/>
        <n v="155560.79"/>
        <n v="138207.82"/>
        <n v="54784.17"/>
        <n v="24377.75"/>
        <n v="58791.07"/>
        <n v="74745.69"/>
        <n v="20700.68"/>
        <n v="30090.53"/>
        <n v="65486.28"/>
        <n v="24479.19"/>
        <n v="35531.93"/>
        <n v="378700.89"/>
        <n v="188032.62"/>
        <n v="76380.789999999994"/>
        <n v="111822.79"/>
        <n v="55334.75"/>
        <n v="111217.22"/>
        <n v="131349.07999999999"/>
        <n v="95262.46"/>
        <n v="231021.63"/>
        <n v="22443.34"/>
        <n v="13179.43"/>
        <n v="25196.02"/>
        <n v="336382.56"/>
        <n v="180032.2"/>
        <n v="95812.94"/>
        <n v="83805.960000000006"/>
        <n v="53977.99"/>
        <n v="101124.34"/>
        <n v="90418.34"/>
        <n v="57026.080000000002"/>
        <n v="108704.37"/>
        <n v="124054.67"/>
        <n v="40206.28"/>
        <n v="128747.85"/>
        <n v="467951.22"/>
        <n v="143587.91"/>
        <n v="18004.98"/>
        <n v="148390.67000000001"/>
        <n v="72074.31"/>
        <n v="172252.82"/>
        <n v="104594"/>
        <n v="63435.15"/>
        <n v="95075.74"/>
        <n v="199061.53"/>
        <n v="148845.65"/>
        <n v="303149.82"/>
        <n v="492849.65"/>
        <n v="114166.39999999999"/>
        <n v="60670.559999999998"/>
        <n v="218787.86"/>
        <n v="71637.2"/>
        <n v="169210.31"/>
        <n v="338340.68"/>
        <n v="160905.98000000001"/>
        <n v="180577.86"/>
        <n v="43536.35"/>
        <n v="19995.73"/>
        <n v="37192.33"/>
        <n v="378327.52"/>
        <n v="129534.97"/>
        <n v="43580.84"/>
        <n v="371528.79"/>
        <n v="178772.9"/>
        <n v="362378.01"/>
        <n v="341511.14"/>
        <n v="128482.37"/>
        <n v="239220.33"/>
        <n v="185319.02"/>
        <n v="120632.97"/>
        <n v="225398.92"/>
        <n v="359975.51"/>
        <n v="118073.07"/>
        <n v="77633.25"/>
        <n v="37271.81"/>
        <n v="31083.74"/>
        <n v="46258.74"/>
        <n v="125753.7"/>
        <n v="85389.35"/>
        <n v="108105.60000000001"/>
        <n v="271161.38"/>
        <n v="120304.6"/>
        <n v="271856.8"/>
        <n v="202616.48"/>
        <n v="96185.79"/>
        <n v="131228.26999999999"/>
        <n v="48962.53"/>
        <n v="38908.75"/>
        <n v="46482.1"/>
        <n v="125537.25"/>
        <n v="42012.33"/>
        <n v="209590.83"/>
        <n v="71746.19"/>
        <n v="29051.599999999999"/>
        <n v="88522.38"/>
        <n v="163120.15"/>
        <n v="63389.86"/>
        <n v="126102.21"/>
        <n v="168863.33"/>
        <n v="70566.679999999993"/>
        <n v="152620.1"/>
        <n v="47377.93"/>
        <n v="21095.41"/>
        <n v="48127.51"/>
        <n v="262449.33"/>
        <n v="146087.91"/>
        <n v="351454.57"/>
        <n v="144944.91"/>
        <n v="54797.63"/>
        <n v="121124.13"/>
        <n v="146215.43"/>
        <n v="55448.05"/>
        <n v="170385.91"/>
        <n v="37761.230000000003"/>
        <n v="25850.03"/>
        <n v="43790.2"/>
        <n v="80895.31"/>
        <n v="39225.879999999997"/>
        <n v="78813.84"/>
        <n v="74188.55"/>
        <n v="22326.799999999999"/>
        <n v="59471.09"/>
        <n v="20181.03"/>
        <n v="6947.6"/>
        <n v="17270.419999999998"/>
        <n v="121842.36"/>
        <n v="84167.31"/>
        <n v="159159.20000000001"/>
        <n v="107906.58"/>
        <n v="57481.37"/>
        <n v="173300.37"/>
        <n v="364786.39"/>
        <n v="128703.12"/>
        <n v="236400.73"/>
        <n v="133545.01"/>
        <n v="60410.8"/>
        <n v="85393.2"/>
        <n v="39273.17"/>
        <n v="14332.09"/>
        <n v="34995.75"/>
        <n v="49808.35"/>
        <n v="33708.089999999997"/>
        <n v="89643.62"/>
        <n v="77082.100000000006"/>
        <n v="33877.199999999997"/>
        <n v="64011.4"/>
        <n v="168546.01"/>
        <n v="84285.23"/>
        <n v="114879.86"/>
        <n v="35050.54"/>
        <n v="17837.310000000001"/>
        <n v="32524.87"/>
        <n v="142398.39000000001"/>
        <n v="107989.02"/>
        <n v="224959.37"/>
        <n v="192256.8"/>
        <n v="71743.289999999994"/>
        <n v="143407.06"/>
        <n v="224612.51"/>
        <n v="125917.8"/>
        <n v="205975.8"/>
        <n v="37924.050000000003"/>
        <n v="26100.639999999999"/>
        <n v="45630.47"/>
        <n v="687785.56"/>
        <n v="615053.16"/>
        <n v="427189.07"/>
        <n v="70216.41"/>
        <n v="15622.65"/>
        <n v="33380.400000000001"/>
        <n v="191780.32"/>
        <n v="146266.21"/>
        <n v="165080.64000000001"/>
        <n v="58900.7"/>
        <n v="26653.3"/>
        <n v="78084.320000000007"/>
        <n v="407194.16"/>
        <n v="270524.38"/>
        <n v="275465.28999999998"/>
        <n v="29430.13"/>
        <n v="11556.14"/>
        <n v="13924.43"/>
        <n v="131507.15"/>
        <n v="75420.259999999995"/>
        <n v="107866.48"/>
        <n v="165368.54999999999"/>
        <n v="81098.52"/>
        <n v="143200.85"/>
        <n v="52207.8"/>
        <n v="25451.26"/>
        <n v="50926.68"/>
        <n v="110203.55"/>
        <n v="33969.730000000003"/>
        <n v="69087.05"/>
        <n v="161978.54999999999"/>
        <n v="56394.52"/>
        <n v="109135.08"/>
        <n v="219854.19"/>
        <n v="127622.35"/>
        <n v="174546.52"/>
        <n v="138959.57"/>
        <n v="144483.81"/>
        <n v="93141.07"/>
        <n v="413195.98"/>
        <n v="149337.13"/>
        <n v="256113.74"/>
        <n v="413479.66"/>
        <n v="168169.04"/>
        <n v="195618.06"/>
        <n v="31842.799999999999"/>
        <n v="34938.22"/>
        <n v="60157.97"/>
        <n v="111684.02"/>
        <n v="65478.75"/>
        <n v="119780.96"/>
        <n v="151866.82"/>
        <n v="35277.120000000003"/>
        <n v="156235.75"/>
        <n v="100353.56"/>
        <n v="68708.820000000007"/>
        <n v="121010.15"/>
        <n v="114295.43"/>
        <n v="47221.29"/>
        <n v="95200.15"/>
        <n v="220921.81"/>
        <n v="78772.58"/>
        <n v="185153.76"/>
        <n v="90790.65"/>
        <n v="31276.91"/>
        <n v="50267.55"/>
        <n v="647244.43999999994"/>
        <n v="266958.46999999997"/>
        <n v="2124.6999999999998"/>
        <n v="318576.59999999998"/>
        <n v="155665.69"/>
        <n v="291230.17"/>
        <n v="402782.53"/>
        <n v="179971.05"/>
        <n v="155143.69"/>
        <n v="190092.66"/>
        <n v="63311.85"/>
        <n v="105055.46"/>
        <n v="357080.92"/>
        <n v="206038.87"/>
        <n v="117098.94"/>
        <n v="57880.86"/>
        <n v="46490.7"/>
        <n v="97631.13"/>
        <n v="145836.26"/>
        <n v="82469.009999999995"/>
        <n v="128598.86"/>
        <n v="75841.899999999994"/>
        <n v="39305.160000000003"/>
        <n v="72519.259999999995"/>
        <n v="90277.34"/>
        <n v="39586.74"/>
        <n v="85677.119999999995"/>
        <n v="64115.69"/>
        <n v="32671.9"/>
        <n v="52247.16"/>
        <n v="428995.59"/>
        <n v="116972.88"/>
        <n v="263640.44"/>
        <n v="98400.76"/>
        <n v="37141.06"/>
        <n v="83741.17"/>
        <n v="187924.41"/>
        <n v="46117.69"/>
        <n v="117772.56"/>
        <n v="111538.88"/>
        <n v="88754.58"/>
        <n v="208247.51"/>
        <n v="85252.7"/>
        <n v="42105.16"/>
        <n v="95925.88"/>
        <n v="90529.04"/>
        <n v="36552.18"/>
        <n v="54900.06"/>
        <n v="75475.05"/>
        <n v="37051.410000000003"/>
        <n v="69603.289999999994"/>
        <n v="74199.23"/>
        <n v="40712.29"/>
        <n v="84383.35"/>
        <n v="66488.570000000007"/>
        <n v="48848.95"/>
        <n v="78698.62"/>
        <n v="47020.08"/>
        <n v="22379.35"/>
        <n v="28181.71"/>
        <n v="27849.200000000001"/>
        <n v="33678.92"/>
        <n v="22720.84"/>
        <n v="312134.38"/>
        <n v="207427.37"/>
        <n v="151658.09"/>
        <n v="424846.75"/>
        <n v="157518.09"/>
        <n v="59246.52"/>
        <n v="122543.97"/>
        <n v="29040"/>
        <n v="64423.42"/>
        <n v="511866.84"/>
        <n v="127726.17"/>
        <n v="90325.92"/>
        <n v="373937.7"/>
        <n v="140273.10999999999"/>
        <n v="35410.03"/>
        <n v="354166.28"/>
        <n v="178528.59"/>
        <n v="107465.17"/>
        <n v="65080.42"/>
        <n v="26039.97"/>
        <n v="36763.019999999997"/>
        <n v="222137.07"/>
        <n v="70422.48"/>
        <n v="105595.69"/>
        <n v="352016.16"/>
        <n v="133975.25"/>
        <n v="108482.46"/>
        <n v="48682.28"/>
        <n v="15698.78"/>
        <n v="22907.77"/>
        <n v="348589.86"/>
        <n v="99609.47"/>
        <n v="210809.28"/>
        <n v="42013.36"/>
        <n v="22257.07"/>
        <n v="26291.79"/>
        <n v="21688.65"/>
        <n v="5910.79"/>
        <n v="11638.14"/>
        <n v="71777.119999999995"/>
        <n v="19676.29"/>
        <n v="41517.89"/>
        <n v="164274.19"/>
        <n v="52166.05"/>
        <n v="82166"/>
        <n v="96771.92"/>
        <n v="31384.37"/>
        <n v="50968.05"/>
        <n v="64433.7"/>
        <n v="23711.16"/>
        <n v="26686.61"/>
        <n v="298456.96999999997"/>
        <n v="132249.1"/>
        <n v="241176.01"/>
        <n v="143179.06"/>
        <n v="73860.66"/>
        <n v="127201.63"/>
        <n v="64514.22"/>
        <n v="29570.58"/>
        <n v="54077.4"/>
        <n v="124999.96"/>
        <n v="56967.55"/>
        <n v="86648.84"/>
        <n v="143705.92000000001"/>
        <n v="72712.47"/>
        <n v="160143.65"/>
        <n v="61117.39"/>
        <n v="9510.07"/>
        <n v="31412.7"/>
        <n v="49239.8"/>
        <n v="13714.56"/>
        <n v="25961.15"/>
        <n v="492445.17"/>
        <n v="104452.45"/>
        <n v="156936.9"/>
        <n v="789427.16"/>
        <n v="106682.76"/>
        <n v="285446.46000000002"/>
        <n v="490318.1"/>
        <n v="89727.99"/>
        <n v="155085.85999999999"/>
        <n v="201187.42"/>
        <n v="33155.910000000003"/>
        <n v="102270.84"/>
        <n v="125932.38"/>
        <n v="48737.35"/>
        <n v="119930.4"/>
        <n v="94243.8"/>
        <n v="26605.56"/>
        <n v="58369.79"/>
        <n v="83497.070000000007"/>
        <n v="23480.85"/>
        <n v="50986.83"/>
        <n v="39395.61"/>
        <n v="12232.36"/>
        <n v="19960.66"/>
        <n v="127278.75"/>
        <n v="33669.46"/>
        <n v="90286.73"/>
        <n v="275259.46999999997"/>
        <n v="97642.23"/>
        <n v="260143.02"/>
        <n v="176042.49"/>
        <n v="56828.160000000003"/>
        <n v="117502.31"/>
        <n v="51833.97"/>
        <n v="18956.66"/>
        <n v="32610.75"/>
        <n v="146400.01999999999"/>
        <n v="70188.92"/>
        <n v="93291.61"/>
        <n v="401225.05"/>
        <n v="123041"/>
        <n v="167613.9"/>
        <n v="130554.75"/>
        <n v="45422.400000000001"/>
        <n v="95357.2"/>
        <n v="231336"/>
        <n v="66440.47"/>
        <n v="163625.13"/>
        <n v="123566.32"/>
        <n v="56068.39"/>
        <n v="86318.86"/>
        <n v="105883.56"/>
        <n v="56479.74"/>
        <n v="95351.52"/>
        <n v="51156.13"/>
        <n v="34999.33"/>
        <n v="39904.36"/>
        <n v="43433.85"/>
        <n v="21895.53"/>
        <n v="40679.57"/>
        <n v="38244.31"/>
        <n v="24583.87"/>
        <n v="46781.33"/>
        <n v="118035.02"/>
        <n v="56098.83"/>
        <n v="109813.85"/>
        <n v="83674.880000000005"/>
        <n v="32865.199999999997"/>
        <n v="59557.79"/>
        <n v="32798.61"/>
        <n v="21456.31"/>
        <n v="17899.919999999998"/>
        <n v="134439.49"/>
        <n v="62398.29"/>
        <n v="180557.96"/>
        <n v="122243.91"/>
        <n v="54561.75"/>
        <n v="130680.29"/>
        <n v="122526.19"/>
        <n v="60257.31"/>
        <n v="103491.49"/>
        <n v="80535.179999999993"/>
        <n v="34020.800000000003"/>
        <n v="63313.8"/>
        <n v="223760.14"/>
        <n v="138239.54"/>
        <n v="254438.17"/>
        <n v="56766.5"/>
        <n v="11446.06"/>
        <n v="40850.57"/>
        <n v="41718.31"/>
        <n v="15025.81"/>
        <n v="33043.71"/>
        <n v="417814"/>
        <n v="149340.1"/>
        <n v="190679.13"/>
        <n v="201675.09"/>
        <n v="107321.17"/>
        <n v="164826.78"/>
        <n v="76434.02"/>
        <n v="29180.77"/>
        <n v="74834.59"/>
        <n v="61424.72"/>
        <n v="28506.67"/>
        <n v="50246.44"/>
        <n v="38521.440000000002"/>
        <n v="22348.48"/>
        <n v="46387.72"/>
        <n v="156787.28"/>
        <n v="87282.27"/>
        <n v="174145.15"/>
        <n v="76098.64"/>
        <n v="36507.46"/>
        <n v="44154.51"/>
        <n v="118684.94"/>
        <n v="31793.52"/>
        <n v="78872.789999999994"/>
        <n v="61950.95"/>
        <n v="26851.09"/>
        <n v="53140.21"/>
        <n v="65386.99"/>
        <n v="28659.66"/>
        <n v="57324.1"/>
        <n v="748149.22"/>
        <n v="122649.38"/>
        <n v="260932.12"/>
        <n v="184618.06"/>
        <n v="104704.72"/>
        <n v="165273.42000000001"/>
        <n v="34068.15"/>
        <n v="13093.43"/>
        <n v="23581.19"/>
        <n v="108357.68"/>
        <n v="43162.33"/>
        <n v="75805.5"/>
        <n v="64543.7"/>
        <n v="38873.17"/>
        <n v="78143.16"/>
        <n v="165080.01999999999"/>
        <n v="96426.42"/>
        <n v="171024.62"/>
        <n v="59435.51"/>
        <n v="29283.07"/>
        <n v="64561.25"/>
        <n v="57562"/>
        <n v="16956.34"/>
        <n v="42588.93"/>
        <n v="53698.07"/>
        <n v="22411.22"/>
        <n v="51045.77"/>
        <n v="72913"/>
        <n v="18476.150000000001"/>
        <n v="30042.53"/>
        <n v="65457.91"/>
        <n v="25087.63"/>
        <n v="31969.32"/>
        <n v="127148.85"/>
        <n v="72754.02"/>
        <n v="84124.49"/>
        <n v="111795.53"/>
        <n v="56369.98"/>
        <n v="87646.42"/>
        <n v="121719.63"/>
        <n v="86724.87"/>
        <n v="223121.81"/>
        <n v="23173.7"/>
        <n v="12057.72"/>
        <n v="22567.64"/>
        <n v="76600.960000000006"/>
        <n v="27148.53"/>
        <n v="69474.39"/>
        <n v="100648.55"/>
        <n v="50070.71"/>
        <n v="92697.57"/>
        <n v="90052.36"/>
        <n v="55692"/>
        <n v="99790.34"/>
        <n v="124316.25"/>
        <n v="38701.58"/>
        <n v="116251.45"/>
        <n v="151004.47"/>
        <n v="47725.71"/>
        <n v="134054.20000000001"/>
        <n v="148980.04999999999"/>
        <n v="59395.64"/>
        <n v="132346.43"/>
        <n v="104183.21"/>
        <n v="50007.67"/>
        <n v="66996.13"/>
        <n v="201840.96"/>
        <n v="140920.79999999999"/>
        <n v="282871.17"/>
        <n v="78061.56"/>
        <n v="8518.33"/>
        <n v="14421.04"/>
        <n v="210994.86"/>
        <n v="65550.83"/>
        <n v="160064.49"/>
        <n v="344470.85"/>
        <n v="149903.9"/>
        <n v="164408.9"/>
        <n v="44035.1"/>
        <n v="18578.88"/>
        <n v="34040.6"/>
        <n v="78664.47"/>
        <n v="9838.7199999999993"/>
        <n v="28093.59"/>
        <n v="394555.79"/>
        <n v="162507.20000000001"/>
        <n v="333696.37"/>
        <n v="339967.42"/>
        <n v="116350.09"/>
        <n v="229731.01"/>
        <n v="184587.19"/>
        <n v="114117.37"/>
        <n v="209849.49"/>
        <n v="37913.589999999997"/>
        <n v="27755.62"/>
        <n v="37704.080000000002"/>
        <n v="125973.99"/>
        <n v="79601.63"/>
        <n v="93348.13"/>
        <n v="266061.65999999997"/>
        <n v="106321.81"/>
        <n v="261984.21"/>
        <n v="47863.85"/>
        <n v="34042.160000000003"/>
        <n v="41642.129999999997"/>
        <n v="122333.26"/>
        <n v="42420.69"/>
        <n v="202029.33"/>
        <n v="71570.61"/>
        <n v="27892.69"/>
        <n v="85137.93"/>
        <n v="169040.52"/>
        <n v="66280.740000000005"/>
        <n v="141639.20000000001"/>
        <n v="47936.25"/>
        <n v="20253.650000000001"/>
        <n v="41820.76"/>
        <n v="265069.27"/>
        <n v="140476.75"/>
        <n v="311226.59999999998"/>
        <n v="143997.56"/>
        <n v="55269.75"/>
        <n v="163587.81"/>
        <n v="37862.94"/>
        <n v="25022.55"/>
        <n v="39883.64"/>
        <n v="81808.149999999994"/>
        <n v="33846.519999999997"/>
        <n v="76324.97"/>
        <n v="19752.060000000001"/>
        <n v="6366.18"/>
        <n v="13987.35"/>
        <n v="119451.57"/>
        <n v="79792.070000000007"/>
        <n v="141801.38"/>
        <n v="108728.09"/>
        <n v="50716.54"/>
        <n v="155714.13"/>
        <n v="70849.509999999995"/>
        <n v="30491.26"/>
        <n v="37095.82"/>
        <n v="131355.96"/>
        <n v="58930.67"/>
        <n v="87487.44"/>
        <n v="39835.19"/>
        <n v="14186.43"/>
        <n v="31256.58"/>
        <n v="50064.56"/>
        <n v="42587.27"/>
        <n v="88188.47"/>
        <n v="79932.08"/>
        <n v="33867.22"/>
        <n v="38717.21"/>
        <n v="170784.15"/>
        <n v="77879.25"/>
        <n v="99383.44"/>
        <n v="36622.300000000003"/>
        <n v="16799.62"/>
        <n v="31584.73"/>
        <n v="143355.74"/>
        <n v="101215.32"/>
        <n v="217787.04"/>
        <n v="141085.87"/>
        <n v="59722.37"/>
        <n v="73075.100000000006"/>
        <n v="216933.18"/>
        <n v="126769.36"/>
        <n v="186273.36"/>
        <n v="39174.28"/>
        <n v="25340.42"/>
        <n v="39145.53"/>
        <n v="614011.63"/>
        <n v="392344.18"/>
        <n v="324056.53999999998"/>
        <n v="44721.81"/>
        <n v="15284.15"/>
        <n v="27698.57"/>
        <n v="190978.19"/>
        <n v="127883.71"/>
        <n v="145083.92000000001"/>
        <n v="57762.49"/>
        <n v="24175.84"/>
        <n v="73450.009999999995"/>
        <n v="377902.8"/>
        <n v="215701.87"/>
        <n v="216269.29"/>
        <n v="192676.14"/>
        <n v="75621.67"/>
        <n v="80675.61"/>
        <n v="132985.04"/>
        <n v="72007.64"/>
        <n v="98093.09"/>
        <n v="164519.32999999999"/>
        <n v="76241.94"/>
        <n v="133765.29999999999"/>
        <n v="56576.93"/>
        <n v="22744.61"/>
        <n v="50185.74"/>
        <n v="46357.1"/>
        <n v="15301.12"/>
        <n v="25754.14"/>
        <n v="160149.78"/>
        <n v="49075.44"/>
        <n v="98070.81"/>
        <n v="220135.25"/>
        <n v="118893.01"/>
        <n v="167356.66"/>
        <n v="136485.76000000001"/>
        <n v="135636.59"/>
        <n v="132690.12"/>
        <n v="261883.76"/>
        <n v="119799.18"/>
        <n v="155781.81"/>
        <n v="407595.84"/>
        <n v="126121.5"/>
        <n v="190710.06"/>
        <n v="31578.3"/>
        <n v="27345.52"/>
        <n v="57757.13"/>
        <n v="108329.06"/>
        <n v="55008.46"/>
        <n v="110064.74"/>
        <n v="235667.62"/>
        <n v="105149.13"/>
        <n v="164348.4"/>
        <n v="98170.98"/>
        <n v="60210.15"/>
        <n v="112438.69"/>
        <n v="128646.84"/>
        <n v="51806.41"/>
        <n v="95544.83"/>
        <n v="222801.73"/>
        <n v="77040.77"/>
        <n v="174956.17"/>
        <n v="159735.15"/>
        <n v="111175.29"/>
        <n v="118981.75999999999"/>
        <n v="748991"/>
        <n v="274242.62"/>
        <n v="1734.57"/>
        <n v="326412"/>
        <n v="143587.23000000001"/>
        <n v="268012.94"/>
        <n v="386950.13"/>
        <n v="153040.85"/>
        <n v="133982.64000000001"/>
        <n v="89693.67"/>
        <n v="37373.660000000003"/>
        <n v="64361.09"/>
        <n v="362545.61"/>
        <n v="186177.7"/>
        <n v="111966.67"/>
        <n v="62388.62"/>
        <n v="37627.56"/>
        <n v="87043.29"/>
        <n v="145686.51999999999"/>
        <n v="64289.07"/>
        <n v="115920.89"/>
        <n v="132392.64000000001"/>
        <n v="64940.79"/>
        <n v="84326.29"/>
        <n v="91730.79"/>
        <n v="36992.74"/>
        <n v="81652.179999999993"/>
        <n v="63123.48"/>
        <n v="27428.29"/>
        <n v="47391.98"/>
        <n v="427627.15"/>
        <n v="97703.7"/>
        <n v="260466.83"/>
        <n v="650803.80000000005"/>
        <n v="427296.6"/>
        <n v="287337.56"/>
        <n v="185138.06"/>
        <n v="41302.01"/>
        <n v="114770.52"/>
        <n v="110226.69"/>
        <n v="88826.21"/>
        <n v="191712.81"/>
        <n v="84449.49"/>
        <n v="41312.03"/>
        <n v="93788.57"/>
        <n v="212453.02"/>
        <n v="110598.31"/>
        <n v="128768.26"/>
        <n v="80343.37"/>
        <n v="34071.269999999997"/>
        <n v="67910.679999999993"/>
        <n v="77904.479999999996"/>
        <n v="37796.03"/>
        <n v="69738.679999999993"/>
        <n v="63508.92"/>
        <n v="38364.81"/>
        <n v="71873.53"/>
        <n v="417564.43"/>
        <n v="267421.59999999998"/>
        <n v="198764.89"/>
        <n v="28391.279999999999"/>
        <n v="21446.53"/>
        <n v="21150.14"/>
        <n v="320811.11"/>
        <n v="171872.76"/>
        <n v="140372.63"/>
        <n v="432190.57"/>
        <n v="164329.69"/>
        <n v="33408.5"/>
        <n v="158717.10999999999"/>
        <n v="63758.05"/>
        <n v="91814.11"/>
        <n v="499912.19"/>
        <n v="113219.22"/>
        <n v="98256.28"/>
        <n v="367694.23"/>
        <n v="132484.79"/>
        <n v="45843.85"/>
        <n v="339172.04"/>
        <n v="145297.12"/>
        <n v="94685.68"/>
        <n v="803409"/>
        <n v="234696.27"/>
        <n v="5720.8"/>
        <n v="395256.66"/>
        <n v="153261.29999999999"/>
        <n v="131061.05"/>
        <n v="361262.85"/>
        <n v="181410.31"/>
        <n v="83436.039999999994"/>
        <n v="322783.15000000002"/>
        <n v="173841.54"/>
        <n v="98438.61"/>
        <n v="442632.65"/>
        <n v="152161.37"/>
        <n v="21073.919999999998"/>
        <n v="500226.49"/>
        <n v="97181.4"/>
        <n v="79295.48"/>
        <n v="370453.41"/>
        <n v="122563.49"/>
        <n v="39808"/>
        <n v="349444.99"/>
        <n v="122409.43"/>
        <n v="78791.460000000006"/>
        <n v="189068.63"/>
        <n v="89669.81"/>
        <n v="146884.68"/>
        <n v="158313.78"/>
        <n v="71752.63"/>
        <n v="130446.85"/>
        <n v="116635.24"/>
        <n v="56909.96"/>
        <n v="123670.97"/>
        <n v="72201.39"/>
        <n v="22676.01"/>
        <n v="67362.820000000007"/>
        <n v="355628.7"/>
        <n v="139889.70000000001"/>
        <n v="261169.48"/>
        <n v="74412.78"/>
        <n v="33917.660000000003"/>
        <n v="70928.94"/>
        <n v="183498.4"/>
        <n v="74151.490000000005"/>
        <n v="149661.39000000001"/>
        <n v="61135.55"/>
        <n v="17516.86"/>
        <n v="33586.400000000001"/>
        <n v="29101.67"/>
        <n v="11283.25"/>
        <n v="16506.47"/>
        <n v="104547.11"/>
        <n v="40152.35"/>
        <n v="65753.09"/>
        <n v="369169.4"/>
        <n v="157837.44"/>
        <n v="289630.55"/>
        <n v="122977.44"/>
        <n v="33693.71"/>
        <n v="143232.25"/>
        <n v="87187.68"/>
        <n v="33872.019999999997"/>
        <n v="53983.02"/>
        <n v="173909.84"/>
        <n v="70663.31"/>
        <n v="111513.81"/>
        <n v="73638.75"/>
        <n v="38235.35"/>
        <n v="76819.5"/>
        <n v="93064.8"/>
        <n v="36753.699999999997"/>
        <n v="89229.02"/>
        <n v="87903.54"/>
        <n v="32013.99"/>
        <n v="56034.62"/>
        <n v="45726"/>
        <n v="19472.689999999999"/>
        <n v="29318.12"/>
        <n v="129901.34"/>
        <n v="28903.23"/>
        <n v="62704.99"/>
        <n v="62816.37"/>
        <n v="27138.37"/>
        <n v="37637.480000000003"/>
        <n v="209073.08"/>
        <n v="54603.4"/>
        <n v="118669.65"/>
        <n v="354758.12"/>
        <n v="105931.82"/>
        <n v="118278.73"/>
        <n v="45880.3"/>
        <n v="16223.97"/>
        <n v="29816.01"/>
        <n v="339976.53"/>
        <n v="121948.03"/>
        <n v="203216.02"/>
        <n v="40946.18"/>
        <n v="23670.81"/>
        <n v="31332.17"/>
        <n v="21414.68"/>
        <n v="5078.4799999999996"/>
        <n v="11291.9"/>
        <n v="70191.27"/>
        <n v="18366.740000000002"/>
        <n v="32169.14"/>
        <n v="165511.1"/>
        <n v="47480.23"/>
        <n v="85090.58"/>
        <n v="93135.89"/>
        <n v="33290.379999999997"/>
        <n v="56131.08"/>
        <n v="64067.16"/>
        <n v="23209.31"/>
        <n v="29439.27"/>
        <n v="279162.36"/>
        <n v="125122.92"/>
        <n v="265462.18"/>
        <n v="133408.44"/>
        <n v="77409.990000000005"/>
        <n v="145586.45000000001"/>
        <n v="58812.56"/>
        <n v="26573.439999999999"/>
        <n v="59687.35"/>
        <n v="114031.79"/>
        <n v="55716.58"/>
        <n v="90537.03"/>
        <n v="130281.29"/>
        <n v="76728.320000000007"/>
        <n v="173278.37"/>
        <n v="120762.54"/>
        <n v="51588.39"/>
        <n v="124834.79"/>
        <n v="120842.12"/>
        <n v="58844.32"/>
        <n v="102221.43"/>
        <n v="87596.26"/>
        <n v="31589.47"/>
        <n v="66080.95"/>
        <n v="60178.42"/>
        <n v="9746.4500000000007"/>
        <n v="27996.35"/>
        <n v="59252.41"/>
        <n v="10488.98"/>
        <n v="35564.769999999997"/>
        <n v="44417.48"/>
        <n v="13857.4"/>
        <n v="30470.65"/>
        <n v="425769.7"/>
        <n v="141979.48000000001"/>
        <n v="183334.12"/>
        <n v="46775.040000000001"/>
        <n v="13754.7"/>
        <n v="28888.400000000001"/>
        <n v="78693.929999999993"/>
        <n v="26103.54"/>
        <n v="65170.2"/>
        <n v="65726.37"/>
        <n v="28156.18"/>
        <n v="49572.6"/>
        <n v="44743.94"/>
        <n v="22899.79"/>
        <n v="35143.82"/>
        <n v="475024.43"/>
        <n v="107117.03"/>
        <n v="153641.74"/>
        <n v="72743.66"/>
        <n v="38952.050000000003"/>
        <n v="42729.99"/>
        <n v="125614.87"/>
        <n v="28888.57"/>
        <n v="72327.89"/>
        <n v="64330.86"/>
        <n v="26910.95"/>
        <n v="48722.69"/>
        <n v="755507.02"/>
        <n v="107598.94"/>
        <n v="271508.59999999998"/>
        <n v="748121.58"/>
        <n v="108957.08"/>
        <n v="295218.33"/>
        <n v="180953.62"/>
        <n v="101403.61"/>
        <n v="166721.18"/>
        <n v="35744.36"/>
        <n v="14053.48"/>
        <n v="25028.61"/>
        <n v="459636.51"/>
        <n v="71628.75"/>
        <n v="198263.86"/>
        <n v="67958.039999999994"/>
        <n v="38165.57"/>
        <n v="79049.45"/>
        <n v="169458.32"/>
        <n v="83892.63"/>
        <n v="165941.6"/>
        <n v="61659.08"/>
        <n v="27935.25"/>
        <n v="69939.199999999997"/>
        <n v="192993.68"/>
        <n v="36588.36"/>
        <n v="84843.96"/>
        <n v="56526.74"/>
        <n v="24092.31"/>
        <n v="47898.14"/>
        <n v="73766.600000000006"/>
        <n v="15119.9"/>
        <n v="22677.69"/>
        <n v="70996.77"/>
        <n v="18060.61"/>
        <n v="27093.96"/>
        <n v="121432.88"/>
        <n v="46795.8"/>
        <n v="122141.98"/>
        <n v="116177.09"/>
        <n v="62760.24"/>
        <n v="85287.95"/>
        <n v="131133.97"/>
        <n v="76800.44"/>
        <n v="228995.87"/>
        <n v="26893.21"/>
        <n v="13028.01"/>
        <n v="20921.310000000001"/>
        <n v="91615.94"/>
        <n v="29079.52"/>
        <n v="61300.13"/>
        <n v="98846.54"/>
        <n v="42887.13"/>
        <n v="87082.16"/>
        <n v="94205.13"/>
        <n v="52415.519999999997"/>
        <n v="94830.88"/>
        <n v="126174.1"/>
        <n v="36283.35"/>
        <n v="100857.08"/>
        <n v="80283.38"/>
        <n v="24819.45"/>
        <n v="61930.96"/>
        <n v="147205.04"/>
        <n v="62407.21"/>
        <n v="124935.64"/>
        <n v="103480.5"/>
        <n v="52719.33"/>
        <n v="89284.42"/>
        <n v="210087.2"/>
        <n v="142526.09"/>
        <n v="278108.65999999997"/>
        <n v="37784.39"/>
        <n v="12347.98"/>
        <n v="23968.86"/>
        <n v="212152.36"/>
        <n v="63842.45"/>
        <n v="153234.59"/>
        <n v="348575.49"/>
        <n v="152289.60000000001"/>
        <n v="148862.56"/>
        <n v="44548.87"/>
        <n v="18872.79"/>
        <n v="31159.79"/>
        <n v="128427.93"/>
        <n v="35517.89"/>
        <n v="92115.79"/>
        <n v="393696.64"/>
        <n v="160854.79999999999"/>
        <n v="311391.34000000003"/>
        <n v="340383.83"/>
        <n v="112046.86"/>
        <n v="225505.92000000001"/>
        <n v="191200.42"/>
        <n v="110603.54"/>
        <n v="198988.29"/>
        <n v="272531.68"/>
        <n v="95767.5"/>
        <n v="273624.51"/>
        <n v="39662.49"/>
        <n v="29940.97"/>
        <n v="42488.06"/>
        <n v="128608.53"/>
        <n v="78130.14"/>
        <n v="101296.7"/>
        <n v="270874.53999999998"/>
        <n v="96873.75"/>
        <n v="272221.65999999997"/>
        <n v="172994.95"/>
        <n v="59887.94"/>
        <n v="134191.98000000001"/>
        <n v="49895.47"/>
        <n v="34545.32"/>
        <n v="43425.52"/>
        <n v="122430.93"/>
        <n v="40635.94"/>
        <n v="176727.81"/>
        <n v="73941.61"/>
        <n v="26750.89"/>
        <n v="75537.97"/>
        <n v="50287.83"/>
        <n v="19007.169999999998"/>
        <n v="36048.949999999997"/>
        <n v="171271.28"/>
        <n v="61906.7"/>
        <n v="132619.92000000001"/>
        <n v="48463.4"/>
        <n v="20011.080000000002"/>
        <n v="38244.85"/>
        <n v="272212.92"/>
        <n v="120617.98"/>
        <n v="300508.03999999998"/>
        <n v="142092.76999999999"/>
        <n v="70770.87"/>
        <n v="92835.79"/>
        <n v="145686.63"/>
        <n v="52618.33"/>
        <n v="141363.29"/>
        <n v="39342.46"/>
        <n v="24285.09"/>
        <n v="37729.360000000001"/>
        <n v="85254.71"/>
        <n v="33439.29"/>
        <n v="65706.66"/>
        <n v="401938.28"/>
        <n v="125315.11"/>
        <n v="174414.4"/>
        <n v="20258.43"/>
        <n v="5857.73"/>
        <n v="12972.29"/>
        <n v="129679.17"/>
        <n v="81429.81"/>
        <n v="164976.19"/>
        <n v="114215.03"/>
        <n v="54301.97"/>
        <n v="153189.01999999999"/>
        <n v="129566.45"/>
        <n v="47170.23"/>
        <n v="96152.38"/>
        <n v="135598.98000000001"/>
        <n v="58155.93"/>
        <n v="84430.66"/>
        <n v="40673.96"/>
        <n v="15139.1"/>
        <n v="30305.8"/>
        <n v="52727.26"/>
        <n v="32002.98"/>
        <n v="75415.240000000005"/>
        <n v="226247.32"/>
        <n v="66536.86"/>
        <n v="170397.28"/>
        <n v="177158.27"/>
        <n v="74382.02"/>
        <n v="94423.23"/>
        <n v="42177.5"/>
        <n v="17129.830000000002"/>
        <n v="30695.5"/>
        <n v="149381.4"/>
        <n v="94461.48"/>
        <n v="194401.48"/>
        <n v="118514.75"/>
        <n v="57135.48"/>
        <n v="87594.92"/>
        <n v="229928.44"/>
        <n v="124173.67"/>
        <n v="172217.39"/>
        <n v="40256.639999999999"/>
        <n v="23094.05"/>
        <n v="42126.07"/>
        <n v="625089.35"/>
        <n v="373711.44"/>
        <n v="336878.2"/>
        <n v="98935.84"/>
        <n v="52366.45"/>
        <n v="96430.48"/>
        <n v="199975.24"/>
        <n v="118131.67"/>
        <n v="150781.18"/>
        <n v="62917.55"/>
        <n v="22040.85"/>
        <n v="74703.3"/>
        <n v="397742.69"/>
        <n v="241616.68"/>
        <n v="316145.68"/>
        <n v="50215.19"/>
        <n v="34415.22"/>
        <n v="39422.879999999997"/>
        <n v="136681.57"/>
        <n v="72747.88"/>
        <n v="98134.95"/>
        <n v="168190.57"/>
        <n v="74169.55"/>
        <n v="126370.15"/>
        <n v="60171.1"/>
        <n v="21008.47"/>
        <n v="43210.15"/>
        <n v="42042.46"/>
        <n v="21142.11"/>
        <n v="40390.31"/>
        <n v="159529.79"/>
        <n v="47351.58"/>
        <n v="116530.18"/>
        <n v="220608.65"/>
        <n v="116035.52"/>
        <n v="158986.67000000001"/>
        <n v="143242.57999999999"/>
        <n v="128640.35"/>
        <n v="117789.81"/>
        <n v="37186.699999999997"/>
        <n v="38725.839999999997"/>
        <n v="47060.25"/>
        <n v="404280.06"/>
        <n v="128986.04"/>
        <n v="177525.23"/>
        <n v="32503.11"/>
        <n v="30193.43"/>
        <n v="54406.27"/>
        <n v="112208.1"/>
        <n v="53916.81"/>
        <n v="115855.32"/>
        <n v="115707.61"/>
        <n v="50915.99"/>
        <n v="110973.94"/>
        <n v="103114.66"/>
        <n v="56583.54"/>
        <n v="109021.96"/>
        <n v="127977.19"/>
        <n v="48789.65"/>
        <n v="90660.06"/>
        <n v="225440.39"/>
        <n v="70881.17"/>
        <n v="173875.14"/>
        <n v="75711.09"/>
        <n v="34073.949999999997"/>
        <n v="64201.98"/>
        <n v="776542"/>
        <n v="263851.8"/>
        <n v="3694.65"/>
        <n v="336256.09"/>
        <n v="136711.65"/>
        <n v="266808.43"/>
        <n v="395224.19"/>
        <n v="152818.54999999999"/>
        <n v="130908.79"/>
        <n v="31932.87"/>
        <n v="13409.35"/>
        <n v="17921.13"/>
        <n v="361105.03"/>
        <n v="184210.24"/>
        <n v="110301.78"/>
        <n v="68326.95"/>
        <n v="40715.72"/>
        <n v="78618.86"/>
        <n v="149716.24"/>
        <n v="74676.23"/>
        <n v="107127.67"/>
        <n v="135702.19"/>
        <n v="67420.350000000006"/>
        <n v="193622.33"/>
        <n v="93188.52"/>
        <n v="36684.6"/>
        <n v="69093.19"/>
        <n v="62888.91"/>
        <n v="27579.29"/>
        <n v="45329.59"/>
        <n v="440441.62"/>
        <n v="95290.41"/>
        <n v="233024.56"/>
        <n v="214521.09"/>
        <n v="135022.65"/>
        <n v="263106.90999999997"/>
        <n v="186021.44"/>
        <n v="40447.839999999997"/>
        <n v="103381.63"/>
        <n v="117888.81"/>
        <n v="81443.759999999995"/>
        <n v="196743.14"/>
        <n v="87734.75"/>
        <n v="38922.03"/>
        <n v="93024.05"/>
        <n v="197804.4"/>
        <n v="112230.72"/>
        <n v="180051.75"/>
        <n v="82927.320000000007"/>
        <n v="34988.81"/>
        <n v="68224.98"/>
        <n v="80631.38"/>
        <n v="37536.18"/>
        <n v="68230.95"/>
        <n v="67866.22"/>
        <n v="36071.72"/>
        <n v="71973.009999999995"/>
        <n v="153198.07999999999"/>
        <n v="93508.1"/>
        <n v="180228.82"/>
        <n v="31672.3"/>
        <n v="24877.34"/>
        <n v="18248.07"/>
        <n v="322077.83"/>
        <n v="170783.1"/>
        <n v="111010.07"/>
        <n v="428365"/>
        <n v="147004.07"/>
        <n v="22899.89"/>
        <n v="63193.69"/>
        <n v="30929.93"/>
        <n v="59151.19"/>
        <n v="491951.03"/>
        <n v="115093.88"/>
        <n v="93295.78"/>
        <n v="371126.76"/>
        <n v="131756.60999999999"/>
        <n v="42215.48"/>
        <n v="328314.49"/>
        <n v="133737.49"/>
        <n v="95071.18"/>
        <n v="104926.98"/>
        <n v="52408.59"/>
        <n v="83274"/>
        <n v="42511.31"/>
        <n v="29235.69"/>
        <n v="38236.06"/>
        <n v="128827.03"/>
        <n v="75655.05"/>
        <n v="95996.33"/>
        <n v="75424.62"/>
        <n v="26842.959999999999"/>
        <n v="68599.69"/>
        <n v="149510.57999999999"/>
        <n v="51778.07"/>
        <n v="127979.17"/>
        <n v="73728.87"/>
        <n v="10280.01"/>
        <n v="22156.639999999999"/>
        <n v="76513.740000000005"/>
        <n v="9475.2900000000009"/>
        <n v="18578.400000000001"/>
        <n v="67643.47"/>
        <n v="28737.09"/>
        <n v="46591.42"/>
        <n v="77536.100000000006"/>
        <n v="33106.400000000001"/>
        <n v="35233.760000000002"/>
        <n v="136440.60999999999"/>
        <n v="57822.79"/>
        <n v="81977.759999999995"/>
        <n v="43473.85"/>
        <n v="14892.8"/>
        <n v="28332.25"/>
        <n v="183285.53"/>
        <n v="65208.08"/>
        <n v="70588.86"/>
        <n v="43434.65"/>
        <n v="16289.12"/>
        <n v="26288.23"/>
        <n v="247206.79"/>
        <n v="125163.41"/>
        <n v="164066.79999999999"/>
        <n v="230261.12"/>
        <n v="109474.19"/>
        <n v="162541.85999999999"/>
        <n v="151330.18"/>
        <n v="116150.14"/>
        <n v="100105.73"/>
        <n v="85018.53"/>
        <n v="34996.43"/>
        <n v="64604.36"/>
        <n v="125994.6"/>
        <n v="56441.2"/>
        <n v="84531.18"/>
        <n v="652472.65"/>
        <n v="388161.36"/>
        <n v="327912.31"/>
        <n v="206567.31"/>
        <n v="109983.51"/>
        <n v="134890.82"/>
        <n v="394215.07"/>
        <n v="295317.01"/>
        <n v="182389.51"/>
        <n v="159682.88"/>
        <n v="58164.37"/>
        <n v="90451.12"/>
        <n v="787400"/>
        <n v="233881.1"/>
        <n v="4676.16"/>
        <n v="391050.6"/>
        <n v="152999.06"/>
        <n v="121552.75"/>
        <n v="357445.28"/>
        <n v="178740.45"/>
        <n v="99941.54"/>
        <n v="321402.55"/>
        <n v="167072.5"/>
        <n v="89985.99"/>
        <n v="426522.34"/>
        <n v="135390.69"/>
        <n v="18626.87"/>
        <n v="485653.4"/>
        <n v="105158.86"/>
        <n v="81613.25"/>
        <n v="367559.11"/>
        <n v="120818"/>
        <n v="47755.59"/>
        <n v="345183.84"/>
        <n v="118424.25"/>
        <n v="88236.33"/>
        <n v="187552.43"/>
        <n v="89066.76"/>
        <n v="142863.26"/>
        <n v="154420.99"/>
        <n v="64090.81"/>
        <n v="127873.05"/>
        <n v="131113.49"/>
        <n v="54294.32"/>
        <n v="135304.4"/>
        <n v="65198.98"/>
        <n v="21893.96"/>
        <n v="71012.77"/>
        <n v="342378.03"/>
        <n v="137903.84"/>
        <n v="240277.41"/>
        <n v="73169.94"/>
        <n v="34324.410000000003"/>
        <n v="73453.11"/>
        <n v="59452.2"/>
        <n v="10263.4"/>
        <n v="33509.230000000003"/>
        <n v="46329.96"/>
        <n v="13493.34"/>
        <n v="31020.07"/>
        <n v="175782.39999999999"/>
        <n v="77905.47"/>
        <n v="154998.32"/>
        <n v="452008.04"/>
        <n v="117647.78"/>
        <n v="185568.92"/>
        <n v="56804.53"/>
        <n v="19818.68"/>
        <n v="42406.47"/>
        <n v="45542.79"/>
        <n v="20766.71"/>
        <n v="32551.11"/>
        <n v="124541.75"/>
        <n v="32788.53"/>
        <n v="65150.11"/>
        <n v="28005.02"/>
        <n v="11297.48"/>
        <n v="17535.45"/>
        <n v="63029.47"/>
        <n v="25481.95"/>
        <n v="42946.83"/>
        <n v="760504.6"/>
        <n v="106037.54"/>
        <n v="254830.84"/>
        <n v="97068.56"/>
        <n v="43907.97"/>
        <n v="69283.100000000006"/>
        <n v="377077.97"/>
        <n v="152376.81"/>
        <n v="280471.78999999998"/>
        <n v="130013.52"/>
        <n v="33751.980000000003"/>
        <n v="156834.87"/>
        <n v="87166.01"/>
        <n v="30911.21"/>
        <n v="59359.97"/>
        <n v="171100.39"/>
        <n v="70680.42"/>
        <n v="122491.9"/>
        <n v="72578.78"/>
        <n v="38751.21"/>
        <n v="79883.44"/>
        <n v="214672.93"/>
        <n v="59075.57"/>
        <n v="155699.73000000001"/>
        <n v="347505.45"/>
        <n v="144083.99"/>
        <n v="145189.22"/>
        <n v="91307.57"/>
        <n v="37632.86"/>
        <n v="87581.6"/>
        <n v="46411.18"/>
        <n v="16417.740000000002"/>
        <n v="30719.38"/>
        <n v="347493.58"/>
        <n v="95719.4"/>
        <n v="221857.03"/>
        <n v="84839.64"/>
        <n v="33220.47"/>
        <n v="58673.73"/>
        <n v="277004.57"/>
        <n v="131311.57"/>
        <n v="281214.8"/>
        <n v="40294.339999999997"/>
        <n v="23439.72"/>
        <n v="34223.379999999997"/>
        <n v="20786.37"/>
        <n v="6785.43"/>
        <n v="12364.38"/>
        <n v="130293.32"/>
        <n v="76839.89"/>
        <n v="152235.06"/>
        <n v="56134.77"/>
        <n v="30987.96"/>
        <n v="65687.710000000006"/>
        <n v="65117.59"/>
        <n v="19917.64"/>
        <n v="45592.95"/>
        <n v="156852.56"/>
        <n v="47109.89"/>
        <n v="92810.44"/>
        <n v="94668.79"/>
        <n v="35600.839999999997"/>
        <n v="64380.05"/>
        <n v="104836.88"/>
        <n v="56710"/>
        <n v="91159.61"/>
        <n v="62831.01"/>
        <n v="24088.799999999999"/>
        <n v="42569.68"/>
        <n v="454035.11"/>
        <n v="90026.87"/>
        <n v="208155.35"/>
        <n v="190281.88"/>
        <n v="39652.14"/>
        <n v="95817.56"/>
        <n v="128550.64"/>
        <n v="77766.23"/>
        <n v="178500.64"/>
        <n v="171983"/>
        <n v="30118.15"/>
        <n v="2633.4"/>
        <n v="130032.95"/>
        <n v="44176.76"/>
        <n v="6052.57"/>
        <n v="75005.3"/>
        <n v="16499.16"/>
        <n v="1688.63"/>
        <n v="239385.97"/>
        <n v="193364.89"/>
        <n v="29064.89"/>
        <n v="9518"/>
        <n v="1065"/>
        <n v="3983.9"/>
        <n v="15342"/>
        <n v="18085"/>
        <n v="167805.45"/>
        <n v="55987.05"/>
        <n v="12900.62"/>
        <n v="134911.35999999999"/>
        <n v="52315.17"/>
        <n v="9578.5499999999993"/>
        <n v="92260.23"/>
        <n v="15881.5"/>
        <n v="3167.94"/>
        <n v="260899.4"/>
        <n v="215887.87"/>
        <n v="43572.22"/>
        <n v="15577"/>
        <n v="2555"/>
        <n v="79589.72"/>
        <n v="27122.07"/>
        <n v="149726.39999999999"/>
        <n v="92512.98"/>
        <n v="20121.02"/>
        <n v="127127.17"/>
        <n v="56803.14"/>
        <n v="10032.57"/>
        <n v="56067.839999999997"/>
        <n v="9948.7199999999993"/>
        <n v="3583.83"/>
        <n v="230868.97"/>
        <n v="234644.13"/>
        <n v="38967.480000000003"/>
        <n v="93270.2"/>
        <n v="30327.55"/>
        <n v="1113.21"/>
        <n v="128866.6"/>
        <n v="65402.54"/>
        <n v="18156.580000000002"/>
        <n v="124980.58"/>
        <n v="43582.12"/>
        <n v="21797.71"/>
        <n v="62894.99"/>
        <n v="42963.34"/>
        <n v="4357.22"/>
        <n v="233630.98"/>
        <n v="182094.09"/>
        <n v="58524.959999999999"/>
        <n v="52639.42"/>
        <n v="110.74"/>
        <n v="5680"/>
        <n v="990"/>
        <n v="7910"/>
        <n v="16041"/>
        <n v="2321"/>
        <n v="496.08"/>
        <n v="77031.179999999993"/>
        <n v="5322.83"/>
        <n v="488.95"/>
        <n v="129336.05"/>
        <n v="102611.85"/>
        <n v="28955.01"/>
        <n v="121600.41"/>
        <n v="47987.93"/>
        <n v="27464.959999999999"/>
        <n v="61619"/>
        <n v="40381.83"/>
        <n v="2794.49"/>
        <n v="219437.79"/>
        <n v="190356.97"/>
        <n v="137243.63"/>
        <n v="56019.66"/>
        <n v="737.4"/>
        <n v="134651.57999999999"/>
        <n v="70271.69"/>
        <n v="40674.19"/>
        <n v="128372.94"/>
        <n v="46054.95"/>
        <n v="21631.98"/>
        <n v="58308.6"/>
        <n v="45306.33"/>
        <n v="3991.34"/>
        <n v="208196.58"/>
        <n v="205385.78"/>
        <n v="74730.23"/>
        <n v="123130.22"/>
        <n v="68161.320000000007"/>
        <n v="44119.35"/>
        <n v="122078.96"/>
        <n v="36408.870000000003"/>
        <n v="15172.26"/>
        <n v="235200.01"/>
        <n v="192728.57"/>
        <n v="90458.14"/>
      </sharedItems>
    </cacheField>
    <cacheField name="hab_dpt" numFmtId="0">
      <sharedItems containsString="0" containsBlank="1" containsNumber="1" containsInteger="1" minValue="76309" maxValue="2611293"/>
    </cacheField>
    <cacheField name="Tonnage_par_habitant" numFmtId="0">
      <sharedItems containsString="0" containsBlank="1" containsNumber="1" minValue="8.010305607726527E-4" maxValue="0.52308160338796783"/>
    </cacheField>
  </cacheFields>
  <extLst>
    <ext xmlns:x14="http://schemas.microsoft.com/office/spreadsheetml/2009/9/main" uri="{725AE2AE-9491-48be-B2B4-4EB974FC3084}">
      <x14:pivotCacheDefinition pivotCacheId="178696497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USTANE Aadil" refreshedDate="46017.795003703701" createdVersion="7" refreshedVersion="7" minRefreshableVersion="3" recordCount="2122" xr:uid="{7DCE4529-81A5-42A3-BC32-1F4712C6DD4B}">
  <cacheSource type="worksheet">
    <worksheetSource name="sinoe__r__repartition_des_tonnages_de_dma_collectes_par_type_de_collecte"/>
  </cacheSource>
  <cacheFields count="7">
    <cacheField name="ANNEE" numFmtId="0">
      <sharedItems containsSemiMixedTypes="0" containsString="0" containsNumber="1" containsInteger="1" minValue="2009" maxValue="2021" count="7">
        <n v="2009"/>
        <n v="2011"/>
        <n v="2021"/>
        <n v="2013"/>
        <n v="2019"/>
        <n v="2017"/>
        <n v="2015"/>
      </sharedItems>
    </cacheField>
    <cacheField name="C_DEPT" numFmtId="0">
      <sharedItems/>
    </cacheField>
    <cacheField name="N_DEPT" numFmtId="0">
      <sharedItems count="104">
        <s v="Ain"/>
        <s v="Allier"/>
        <s v="Ardèche"/>
        <s v="Cantal"/>
        <s v="Drôme"/>
        <s v="Isère"/>
        <s v="Loire"/>
        <s v="Haute-Loire"/>
        <s v="Puy-de-Dôme"/>
        <s v="Rhône"/>
        <s v="Savoie"/>
        <s v="Haute-Savoie"/>
        <s v="Cote-d'Or"/>
        <s v="Doubs"/>
        <s v="Jura"/>
        <s v="Nièvre"/>
        <s v="Haute-Saône"/>
        <s v="Saône-et-Loire"/>
        <s v="Yonne"/>
        <s v="Territoire-de-Belfort"/>
        <s v="Cotes-d'Armor"/>
        <s v="Finistère"/>
        <s v="Ille-et-Vilaine"/>
        <s v="Morbihan"/>
        <s v="Cher"/>
        <s v="Eure-et-Loir"/>
        <s v="Indre"/>
        <s v="Indre-et-Loire"/>
        <s v="Loir-et-Cher"/>
        <s v="Loiret"/>
        <s v="Corse-du-Sud"/>
        <s v="Haute-Corse"/>
        <s v="Ardennes"/>
        <s v="Aube"/>
        <s v="Marne"/>
        <s v="Haute-Marne"/>
        <s v="Meurthe-et-Moselle"/>
        <s v="Meuse"/>
        <s v="Moselle"/>
        <s v="Bas-Rhin"/>
        <s v="Haut-Rhin"/>
        <s v="Vosges"/>
        <s v="Aisne"/>
        <s v="Nord"/>
        <s v="Oise"/>
        <s v="Pas-de-Calais"/>
        <s v="Somme"/>
        <s v="Paris"/>
        <s v="Seine-et-Marne"/>
        <s v="Yvelines"/>
        <s v="Essonne"/>
        <s v="Hauts-de-seine"/>
        <s v="Seine-Saint-Denis"/>
        <s v="Val-de-Marne"/>
        <s v="Val-d'Oise"/>
        <s v="Calvados"/>
        <s v="Eure"/>
        <s v="Manche"/>
        <s v="Orne"/>
        <s v="Seine-Maritime"/>
        <s v="Charente"/>
        <s v="Charente-Maritime"/>
        <s v="Corrèze"/>
        <s v="Creuse"/>
        <s v="Dordogne"/>
        <s v="Gironde"/>
        <s v="Landes"/>
        <s v="Lot-et-Garonne"/>
        <s v="Pyrénées-Atlantiques"/>
        <s v="Deux-Sèvres"/>
        <s v="Vienne"/>
        <s v="Haute-Vienne"/>
        <s v="Ariège"/>
        <s v="Aude"/>
        <s v="Aveyron"/>
        <s v="Gard"/>
        <s v="Haute-Garonne"/>
        <s v="Gers"/>
        <s v="Hérault"/>
        <s v="Lot"/>
        <s v="Lozère"/>
        <s v="Hautes-Pyrénées"/>
        <s v="Pyrénées-Orientales"/>
        <s v="Tarn"/>
        <s v="Tarn-et-Garonne"/>
        <s v="Loire-Atlantique"/>
        <s v="Maine-et-Loire"/>
        <s v="Mayenne"/>
        <s v="Sarthe"/>
        <s v="Vendée"/>
        <s v="Alpes-de-Haute-Provence"/>
        <s v="Hautes-Alpes"/>
        <s v="Alpes-Maritimes"/>
        <s v="Bouches-du-Rhône"/>
        <s v="Var"/>
        <s v="Vaucluse"/>
        <s v="Guadeloupe"/>
        <s v="Martinique"/>
        <s v="Guyane"/>
        <s v="La Réunion"/>
        <s v="Saint-Barthélemy"/>
        <s v="Saint-Martin"/>
        <s v="Polynésie française"/>
        <s v="Mayotte"/>
      </sharedItems>
    </cacheField>
    <cacheField name="TYP_COLLECTE" numFmtId="0">
      <sharedItems count="3">
        <s v="Collecte OMR"/>
        <s v="Collecte séparées"/>
        <s v="Déchèterie"/>
      </sharedItems>
    </cacheField>
    <cacheField name="TONNAGE_T_HG" numFmtId="0">
      <sharedItems containsSemiMixedTypes="0" containsString="0" containsNumber="1" minValue="110.74" maxValue="841716"/>
    </cacheField>
    <cacheField name="hab_dpt" numFmtId="0">
      <sharedItems containsString="0" containsBlank="1" containsNumber="1" containsInteger="1" minValue="76309" maxValue="2611293"/>
    </cacheField>
    <cacheField name="Tonnage_par_habitant" numFmtId="0">
      <sharedItems containsString="0" containsBlank="1" containsNumber="1" minValue="8.010305607726527E-4" maxValue="0.52308160338796783" count="2017">
        <n v="0.22791542201534201"/>
        <n v="7.2864144362005459E-2"/>
        <n v="0.18671994538535086"/>
        <n v="0.30661301982824457"/>
        <n v="7.6276126233799549E-2"/>
        <n v="0.11944497239437277"/>
        <n v="0.28410290262709753"/>
        <n v="7.4924867178182142E-2"/>
        <n v="0.12390346261536204"/>
        <n v="0.38170184661005524"/>
        <n v="6.7038145302601437E-2"/>
        <n v="9.4502763175630139E-2"/>
        <n v="0.27139497374654231"/>
        <n v="7.3109502592218378E-2"/>
        <n v="0.1559081253209216"/>
        <n v="0.24425405876839332"/>
        <n v="8.4866453696540958E-2"/>
        <n v="0.21285891508874405"/>
        <n v="0.27390462596248566"/>
        <n v="7.7053899197844833E-2"/>
        <n v="0.13403343988527239"/>
        <n v="0.25854698326476094"/>
        <n v="6.5751427470173263E-2"/>
        <n v="9.6245820672098678E-2"/>
        <n v="0.25215201075282484"/>
        <n v="9.9176220496460202E-2"/>
        <n v="0.18440824510339743"/>
        <n v="0.24326453132288192"/>
        <n v="6.880819654573643E-2"/>
        <n v="9.5815976276298953E-2"/>
        <n v="0.33418606009143398"/>
        <n v="0.1032424508585012"/>
        <n v="0.21843803146905039"/>
        <n v="0.32439701898885909"/>
        <n v="8.5261630710642411E-2"/>
        <n v="0.19480546821825478"/>
        <n v="0.2639892663084954"/>
        <n v="9.955956759974359E-2"/>
        <n v="0.154617299826002"/>
        <n v="0.25977071101668459"/>
        <n v="0.10759581629467176"/>
        <n v="0.15975447193475431"/>
        <n v="0.2100451245230158"/>
        <n v="0.13621964428556665"/>
        <n v="0.14828473229560965"/>
        <n v="0.23935912515497346"/>
        <n v="0.11369424929268526"/>
        <n v="0.17374084350973437"/>
        <n v="0.23484765504151442"/>
        <n v="0.12115241184979557"/>
        <n v="0.18881556393555024"/>
        <n v="0.23103050187481974"/>
        <n v="0.10913159792327662"/>
        <n v="0.19912298096336892"/>
        <n v="0.30988243242849695"/>
        <n v="8.3991094336545544E-2"/>
        <n v="0.12555456539022708"/>
        <n v="0.28921543439959008"/>
        <n v="0.13130646282140374"/>
        <n v="6.2240051663262227E-2"/>
        <n v="0.26893246005661092"/>
        <n v="9.626675903247385E-2"/>
        <n v="0.25915951654329478"/>
        <n v="0.27800212324675527"/>
        <n v="0.13808882062480282"/>
        <n v="0.28552544204476044"/>
        <n v="0.22616871059257312"/>
        <n v="9.7131737819569117E-2"/>
        <n v="0.17315656366726037"/>
        <n v="0.25368592061794348"/>
        <n v="0.11672760555277849"/>
        <n v="0.2160406014113731"/>
        <n v="0.26313804168193888"/>
        <n v="0.10625007234214943"/>
        <n v="0.15908864967751477"/>
        <n v="0.27692969715771021"/>
        <n v="9.8315472077687066E-2"/>
        <n v="0.14006394799554409"/>
        <n v="0.21496999156147209"/>
        <n v="0.15491126629583069"/>
        <n v="0.14601219281175193"/>
        <n v="0.25192758573807827"/>
        <n v="0.11787723054960743"/>
        <n v="0.12250870126780192"/>
        <n v="0.25290595605548577"/>
        <n v="7.9856710627447633E-2"/>
        <n v="0.19583307916600584"/>
        <n v="0.26217670731893927"/>
        <n v="7.0668696729965869E-2"/>
        <n v="0.18428229101314442"/>
        <n v="0.50969136064529819"/>
        <n v="3.0563291587065736E-2"/>
        <n v="6.6820774074860256E-2"/>
        <n v="0.43863335442729878"/>
        <n v="3.5526517548556687E-2"/>
        <n v="9.7630883999415857E-2"/>
        <n v="0.29295835451259455"/>
        <n v="0.11044949452163109"/>
        <n v="0.11683737151248164"/>
        <n v="0.30114896900078475"/>
        <n v="0.11867905492288114"/>
        <n v="0.10810486716035055"/>
        <n v="0.2652930256383082"/>
        <n v="0.11548219978980649"/>
        <n v="0.12435243621333757"/>
        <n v="0.28718763160452232"/>
        <n v="8.8352122409753042E-2"/>
        <n v="0.11854325266988457"/>
        <n v="0.29457878659788594"/>
        <n v="0.10319205109579915"/>
        <n v="0.10630930249418961"/>
        <n v="0.2658171265392803"/>
        <n v="8.3538553527522763E-2"/>
        <n v="0.1080185357958382"/>
        <n v="0.31115298335339908"/>
        <n v="9.4569355094947072E-2"/>
        <n v="0.12496792988406524"/>
        <n v="0.26796289240423632"/>
        <n v="8.3101068218511959E-2"/>
        <n v="0.12781322668508707"/>
        <n v="0.25641795371179271"/>
        <n v="0.11749056255961016"/>
        <n v="0.13046906683551202"/>
        <n v="0.27455064809359481"/>
        <n v="8.0454849128861208E-2"/>
        <n v="0.14106688199646494"/>
        <n v="0.26823079630281366"/>
        <n v="0.11514327523292645"/>
        <n v="0.12568573915942727"/>
        <n v="0.27370147826154578"/>
        <n v="0.20320491146760811"/>
        <n v="8.8444267751191713E-2"/>
        <n v="0.30941405743145456"/>
        <n v="0.13085181506951862"/>
        <n v="0.13213485262853208"/>
        <n v="0.30968986290570377"/>
        <n v="0.18891492735364143"/>
        <n v="0.12129457720305188"/>
        <n v="0.31398104514940106"/>
        <n v="0.12007446799175112"/>
        <n v="0.15604085823351321"/>
        <n v="0.37675758301422718"/>
        <n v="0.10403907157452313"/>
        <n v="4.8337387902538153E-3"/>
        <n v="0.30588097888403809"/>
        <n v="0.11879130266618142"/>
        <n v="9.2494362021418988E-2"/>
        <n v="0.2720153883315809"/>
        <n v="0.13379470857370199"/>
        <n v="4.2169477677683365E-2"/>
        <n v="0.28307763053764723"/>
        <n v="0.15044234125052566"/>
        <n v="5.5193004327800235E-2"/>
        <n v="0.31254682422546576"/>
        <n v="8.3689821321662625E-2"/>
        <n v="8.8803037627781748E-3"/>
        <n v="0.32398865950343769"/>
        <n v="7.9902208665928315E-2"/>
        <n v="2.57651042261028E-2"/>
        <n v="0.29380859998619685"/>
        <n v="9.9472347002776559E-2"/>
        <n v="2.4342547839006412E-2"/>
        <n v="0.31047207098688329"/>
        <n v="0.10027009338758414"/>
        <n v="5.2178079754160347E-2"/>
        <n v="0.3108356635551352"/>
        <n v="0.13951522085215623"/>
        <n v="0.17162231902107186"/>
        <n v="0.28679739268593152"/>
        <n v="8.9268318629015381E-2"/>
        <n v="0.21558012566443957"/>
        <n v="0.27624684085968793"/>
        <n v="0.11679075542126559"/>
        <n v="0.23735226875494714"/>
        <n v="0.26588754662742548"/>
        <n v="7.5762636460080079E-2"/>
        <n v="0.19869860716607921"/>
        <n v="0.31405817841487216"/>
        <n v="0.1191301555050715"/>
        <n v="0.16576932614469009"/>
        <n v="0.23179885255274302"/>
        <n v="9.4324203627799294E-2"/>
        <n v="0.17874119290141455"/>
        <n v="0.33179582781252892"/>
        <n v="0.10714918902964125"/>
        <n v="0.21213745546190685"/>
        <n v="0.30716361484598442"/>
        <n v="6.1648887208652484E-2"/>
        <n v="0.14394646438081463"/>
        <n v="0.25001407949249094"/>
        <n v="9.0797514241325747E-2"/>
        <n v="0.11619416752977732"/>
        <n v="0.28493074193971102"/>
        <n v="8.4632888599841791E-2"/>
        <n v="0.24830487621395742"/>
        <n v="0.27948886182868288"/>
        <n v="9.4766854330047307E-2"/>
        <n v="0.18185995855466902"/>
        <n v="0.3467964970830994"/>
        <n v="7.7152983727042421E-2"/>
        <n v="0.39402706272193094"/>
        <n v="0.2887058116998335"/>
        <n v="0.10116782985589801"/>
        <n v="0.14087501554457577"/>
        <n v="0.28781139868010752"/>
        <n v="9.9892704918536926E-2"/>
        <n v="0.15632289084747431"/>
        <n v="0.21211069528496829"/>
        <n v="0.10410928129410191"/>
        <n v="0.19703367645814396"/>
        <n v="0.23350438664432271"/>
        <n v="9.0704374439640814E-2"/>
        <n v="0.18576959907619947"/>
        <n v="0.24949958516629361"/>
        <n v="8.8426753172610839E-2"/>
        <n v="0.14271517330978606"/>
        <n v="0.31956609779177725"/>
        <n v="0.17271948225547093"/>
        <n v="0.16398578584805151"/>
        <n v="0.36240180236171537"/>
        <n v="7.132024408158652E-2"/>
        <n v="0.18350062150403978"/>
        <n v="0.24231342583234672"/>
        <n v="0.10582689642228062"/>
        <n v="0.130213320435448"/>
        <n v="0.30379594604798804"/>
        <n v="8.3099975352017352E-2"/>
        <n v="0.18029601799730155"/>
        <n v="0.28542305942379875"/>
        <n v="0.11356284428267335"/>
        <n v="8.8207390195154445E-2"/>
        <n v="0.26010503202782337"/>
        <n v="8.459127796090414E-2"/>
        <n v="0.13370513032839873"/>
        <n v="0.34516911278772527"/>
        <n v="9.6563818468294746E-2"/>
        <n v="0.1963863527569493"/>
        <n v="0.25090284739747176"/>
        <n v="0.1228439981101854"/>
        <n v="0.15497055807146726"/>
        <n v="0.29020463175356065"/>
        <n v="7.5911382398299712E-2"/>
        <n v="0.15002008734756295"/>
        <n v="0.32317886532851486"/>
        <n v="9.8634693255540556E-2"/>
        <n v="0.18512822745678584"/>
        <n v="0.38382253470586919"/>
        <n v="9.5999506604767998E-2"/>
        <n v="0.13801217789140818"/>
        <n v="0.26652169146939453"/>
        <n v="8.5524012213315945E-2"/>
        <n v="0.12964523097818823"/>
        <n v="0.27994538031100208"/>
        <n v="9.6788805262212119E-2"/>
        <n v="0.10337827164414876"/>
        <n v="0.2478963294739718"/>
        <n v="9.3764693712204611E-2"/>
        <n v="0.18435423474246618"/>
        <n v="0.19993278911704154"/>
        <n v="9.8579303201458315E-2"/>
        <n v="0.16142497839970671"/>
        <n v="0.23393531642126583"/>
        <n v="9.0441361048937075E-2"/>
        <n v="0.17369225324188015"/>
        <n v="0.23719331610373406"/>
        <n v="0.10464316905801622"/>
        <n v="0.13741825149273681"/>
        <n v="0.23953350116776367"/>
        <n v="0.11409446832830203"/>
        <n v="0.24122320648903037"/>
        <n v="0.38763223581059891"/>
        <n v="7.5071621197867672E-2"/>
        <n v="0.15939134524929446"/>
        <n v="0.38753415883859949"/>
        <n v="8.7958935775493977E-2"/>
        <n v="0.18736513148208134"/>
        <n v="0.45193587248633121"/>
        <n v="9.9305263645630609E-2"/>
        <n v="0.12267534982856083"/>
        <n v="0.40526425825459167"/>
        <n v="6.1090342647457253E-2"/>
        <n v="0.1349598307120575"/>
        <n v="0.47886627956037059"/>
        <n v="8.774932666734836E-2"/>
        <n v="0.15312466060361182"/>
        <n v="0.37494120152203902"/>
        <n v="6.1949598659420624E-2"/>
        <n v="0.1566063899715775"/>
        <n v="0.22049967954397534"/>
        <n v="7.4494085226397624E-2"/>
        <n v="0.19583228308770559"/>
        <n v="0.29197893962868621"/>
        <n v="8.2601326412413301E-2"/>
        <n v="0.12916878933501397"/>
        <n v="0.26975753048597911"/>
        <n v="7.5742300891649891E-2"/>
        <n v="0.1350338032696981"/>
        <n v="0.37785068133923305"/>
        <n v="7.247355617745313E-2"/>
        <n v="0.12579067198818245"/>
        <n v="0.26534983083773744"/>
        <n v="7.1496455891785327E-2"/>
        <n v="0.1701130958845721"/>
        <n v="0.23672047346471234"/>
        <n v="8.525142938022337E-2"/>
        <n v="0.20456312972551291"/>
        <n v="0.25638217856413364"/>
        <n v="7.7486252641668876E-2"/>
        <n v="0.14184407511885005"/>
        <n v="0.24171421965523529"/>
        <n v="7.8300942167206886E-2"/>
        <n v="0.12933510295366529"/>
        <n v="0.24273830824162942"/>
        <n v="0.12710785262538379"/>
        <n v="0.15079374446275112"/>
        <n v="0.23643138887168938"/>
        <n v="7.1055625500219002E-2"/>
        <n v="0.10092706491552748"/>
        <n v="0.31963355921603825"/>
        <n v="0.10582228385793975"/>
        <n v="0.22058560827212859"/>
        <n v="0.31089901659183344"/>
        <n v="8.6098777232481119E-2"/>
        <n v="0.20469272845565023"/>
        <n v="0.25349686555840972"/>
        <n v="0.10011773407538251"/>
        <n v="0.15592832519855265"/>
        <n v="0.22798052553094575"/>
        <n v="0.12009202367024946"/>
        <n v="0.15865697227193951"/>
        <n v="0.20037685518993928"/>
        <n v="0.13710582715255612"/>
        <n v="0.15400418685465417"/>
        <n v="0.21131725145529243"/>
        <n v="0.12065576323274144"/>
        <n v="0.18834763054121764"/>
        <n v="0.18755151338158912"/>
        <n v="9.7976470097415475E-2"/>
        <n v="0.21121341705083546"/>
        <n v="0.22975926215694631"/>
        <n v="0.10842589644945405"/>
        <n v="0.19571242034607977"/>
        <n v="0.28537576322113628"/>
        <n v="8.7292174629084021E-2"/>
        <n v="0.15612959648195571"/>
        <n v="0.28076917710745875"/>
        <n v="0.14947344922845104"/>
        <n v="8.3093660183609114E-2"/>
        <n v="0.25235053627760251"/>
        <n v="0.10065712723449001"/>
        <n v="0.26808910199789693"/>
        <n v="0.26588037160923245"/>
        <n v="0.14117795903852778"/>
        <n v="0.27368524342405015"/>
        <n v="0.21399493596697841"/>
        <n v="0.10368956855361944"/>
        <n v="0.16064901112862906"/>
        <n v="0.23510207225309904"/>
        <n v="0.12076164619445098"/>
        <n v="0.2190740534436921"/>
        <n v="0.2280723080970439"/>
        <n v="0.1123849993904278"/>
        <n v="0.16175508671966735"/>
        <n v="0.27618115962231887"/>
        <n v="0.10514713672354188"/>
        <n v="0.18681912382439314"/>
        <n v="0.26955177582274359"/>
        <n v="8.0344824589985875E-2"/>
        <n v="0.16465289453676552"/>
        <n v="0.23208232339480833"/>
        <n v="0.12493734871977132"/>
        <n v="0.13352757279558283"/>
        <n v="0.24310531876358366"/>
        <n v="8.1892236174836985E-2"/>
        <n v="0.19292435402076794"/>
        <n v="0.24906688579368605"/>
        <n v="7.4102961398572129E-2"/>
        <n v="0.18113063174380331"/>
        <n v="0.47856252485498396"/>
        <n v="3.9874936576937317E-2"/>
        <n v="7.8497113393579523E-2"/>
        <n v="0.5030711574952561"/>
        <n v="6.5440049810246675E-2"/>
        <n v="0.11819912239089184"/>
        <n v="0.27524916110345798"/>
        <n v="0.10734968740065699"/>
        <n v="0.13840673236551165"/>
        <n v="0.28498708868837525"/>
        <n v="0.12352381766925333"/>
        <n v="0.12960571979328744"/>
        <n v="0.25704109458479169"/>
        <n v="0.10673096575716018"/>
        <n v="0.13081853818850595"/>
        <n v="0.2633675119945168"/>
        <n v="7.6620753941055511E-2"/>
        <n v="0.1191021795750514"/>
        <n v="0.27773818617314394"/>
        <n v="0.10660125708611368"/>
        <n v="0.11624613298705266"/>
        <n v="0.25287610368005292"/>
        <n v="8.0067938643397035E-2"/>
        <n v="0.12721405064141311"/>
        <n v="0.28051221551821465"/>
        <n v="0.10448625359519148"/>
        <n v="0.14093822298511402"/>
        <n v="0.25167087400809085"/>
        <n v="8.8299169720969115E-2"/>
        <n v="0.14444926583029269"/>
        <n v="0.23489346077848128"/>
        <n v="0.13681434050057367"/>
        <n v="0.15908850072238984"/>
        <n v="0.26282628091756194"/>
        <n v="8.4286117783702458E-2"/>
        <n v="0.15598001742206269"/>
        <n v="0.25206141857964687"/>
        <n v="0.12188271981259999"/>
        <n v="0.14419109849954367"/>
        <n v="0.18780727440508321"/>
        <n v="8.5146923561750423E-2"/>
        <n v="0.23069764566451853"/>
        <n v="0.2192237443788059"/>
        <n v="0.1200891997239643"/>
        <n v="0.21926903622589425"/>
        <n v="0.23732715783941327"/>
        <n v="0.11236726271530616"/>
        <n v="0.21789865978642586"/>
        <n v="0.26665971104307989"/>
        <n v="0.16765166671319259"/>
        <n v="0.10370943716055472"/>
        <n v="0.33138899426169788"/>
        <n v="8.7144818367383803E-2"/>
        <n v="0.26748092752157132"/>
        <n v="0.27954673135852909"/>
        <n v="0.11216866700715016"/>
        <n v="0.22635987685847236"/>
        <n v="0.37284700903399726"/>
        <n v="0.14358437633895288"/>
        <n v="0.17050854167025231"/>
        <n v="0.30087103204649213"/>
        <n v="0.13381148202303256"/>
        <n v="0.16885275345624978"/>
        <n v="0.23050272317185402"/>
        <n v="9.2738711283436179E-2"/>
        <n v="0.24515202993226015"/>
        <n v="0.22598272700560515"/>
        <n v="0.11564306941556726"/>
        <n v="0.21302839034586901"/>
        <n v="0.25671162255168306"/>
        <n v="7.47401614530777E-2"/>
        <n v="0.32301152681828765"/>
        <n v="0.30091862426143706"/>
        <n v="0.19135274168089161"/>
        <n v="0.14192607090340695"/>
        <n v="0.246083114647206"/>
        <n v="0.12417734936353504"/>
        <n v="0.14234748449389553"/>
        <n v="0.31771171295754569"/>
        <n v="0.10062795855627772"/>
        <n v="0.2173572712670333"/>
        <n v="0.22761154161109104"/>
        <n v="0.10358796205243001"/>
        <n v="0.21530869053706611"/>
        <n v="0.29068114934761408"/>
        <n v="0.11882390220076294"/>
        <n v="0.16507590014898171"/>
        <n v="0.35789823052947994"/>
        <n v="7.0376748407709883E-2"/>
        <n v="0.13192149223386354"/>
        <n v="0.24630345701672629"/>
        <n v="0.1536801578001607"/>
        <n v="0.2643957250086707"/>
        <n v="0.25012168402368506"/>
        <n v="0.102119798094657"/>
        <n v="0.20483255446313425"/>
        <n v="0.3704036711519017"/>
        <n v="0.11066771408571206"/>
        <n v="3.0233358148423874E-3"/>
        <n v="0.18339305206816259"/>
        <n v="0.11882627890340215"/>
        <n v="0.23845180652497955"/>
        <n v="0.25026307672768838"/>
        <n v="0.15292721241480245"/>
        <n v="0.27800460837854019"/>
        <n v="0.18943943546314254"/>
        <n v="0.10078231349287152"/>
        <n v="0.239511404565832"/>
        <n v="0.30005699227526045"/>
        <n v="0.11622657791571749"/>
        <n v="0.10326138071034133"/>
        <n v="0.22847300070063056"/>
        <n v="0.10166545724485371"/>
        <n v="0.24518345677776665"/>
        <n v="0.45872574290238244"/>
        <n v="0.12704324238072442"/>
        <n v="0.18467018939254459"/>
        <n v="0.3546412498984593"/>
        <n v="0.13256716579567301"/>
        <n v="0.19242332999377218"/>
        <n v="0.26789156323945007"/>
        <n v="0.13301355724780442"/>
        <n v="5.403147913004417E-2"/>
        <n v="0.20881823257759527"/>
        <n v="0.10333228758755787"/>
        <n v="0.20768738923964947"/>
        <n v="0.21677734739246463"/>
        <n v="0.15722031235301206"/>
        <n v="0.38127603285598521"/>
        <n v="0.19397538504088088"/>
        <n v="0.11390840262052515"/>
        <n v="0.21776650360408636"/>
        <n v="0.2745551999647402"/>
        <n v="0.14694215024432927"/>
        <n v="7.8202451699367695E-2"/>
        <n v="0.20256196069900662"/>
        <n v="0.13046670533923088"/>
        <n v="0.24442109588378894"/>
        <n v="0.16526960533434717"/>
        <n v="0.10423413806717652"/>
        <n v="0.19869341029727872"/>
        <n v="0.23881559240593078"/>
        <n v="7.740044430926081E-2"/>
        <n v="0.24785035556291365"/>
        <n v="0.29586680306620772"/>
        <n v="9.0784881147779384E-2"/>
        <n v="1.138382729693708E-2"/>
        <n v="0.24775796665408878"/>
        <n v="0.12033764989130688"/>
        <n v="0.28759900089158408"/>
        <n v="0.24252162763142945"/>
        <n v="0.14708679108786232"/>
        <n v="0.22045168186571509"/>
        <n v="0.21598667806665958"/>
        <n v="0.16150120763249778"/>
        <n v="0.32892504432325925"/>
        <n v="0.32213911373607124"/>
        <n v="7.4622073718501783E-2"/>
        <n v="3.9655826940875646E-2"/>
        <n v="0.28919421632346076"/>
        <n v="9.4690189453871088E-2"/>
        <n v="0.22366251488679428"/>
        <n v="0.2358815282281313"/>
        <n v="0.11217908666331561"/>
        <n v="0.12589376359048973"/>
        <n v="0.22623689830957663"/>
        <n v="0.10390792830900503"/>
        <n v="0.19327016114364703"/>
        <n v="0.28366720601753614"/>
        <n v="9.7124372610973064E-2"/>
        <n v="3.2676594921504203E-2"/>
        <n v="0.22449276421929096"/>
        <n v="0.10802183725384749"/>
        <n v="0.2189634917853496"/>
        <n v="0.2841467430690009"/>
        <n v="0.10690089634348768"/>
        <n v="0.19903795128144752"/>
        <n v="0.16872876425466049"/>
        <n v="0.10983358295586461"/>
        <n v="0.20522060410170032"/>
        <n v="0.30496965769062961"/>
        <n v="0.10003098194202641"/>
        <n v="6.5770545551587858E-2"/>
        <n v="0.17157921630729003"/>
        <n v="0.14309269523265877"/>
        <n v="0.2129501721693336"/>
        <n v="0.20542619576581286"/>
        <n v="0.13948861408782018"/>
        <n v="0.17659696811291167"/>
        <n v="0.21102906888060841"/>
        <n v="9.3626045567602734E-2"/>
        <n v="0.21157027366087966"/>
        <n v="0.29567739054551401"/>
        <n v="0.14036352519182443"/>
        <n v="0.19150087119962875"/>
        <n v="0.18936988261685134"/>
        <n v="0.15048538995571542"/>
        <n v="0.17977644988493743"/>
        <n v="0.29679520823876532"/>
        <n v="9.9325564571039499E-2"/>
        <n v="0.49551471005447112"/>
        <n v="0.21840278961595597"/>
        <n v="8.8436061661349624E-2"/>
        <n v="0.26947123931519862"/>
        <n v="0.27736286177269254"/>
        <n v="0.10778553708398585"/>
        <n v="0.21441906374816999"/>
        <n v="0.21957992481427877"/>
        <n v="9.1760752845471361E-2"/>
        <n v="0.1984581855820782"/>
        <n v="0.20845255275338342"/>
        <n v="9.2815200366061848E-2"/>
        <n v="0.21175054117315781"/>
        <n v="0.18003035383308891"/>
        <n v="0.10021080308353787"/>
        <n v="0.24108459561834703"/>
        <n v="0.29016199194844766"/>
        <n v="0.10969815687114513"/>
        <n v="0.24247570220867173"/>
        <n v="0.21359006721095708"/>
        <n v="8.0997968040832008E-2"/>
        <n v="0.24889806752064461"/>
        <n v="0.21584999599867385"/>
        <n v="0.14776343016542626"/>
        <n v="0.25031267505801919"/>
        <n v="0.24422773972085776"/>
        <n v="0.11842525865790736"/>
        <n v="0.23794365831494221"/>
        <n v="0.25503900086286618"/>
        <n v="7.6753148086396619E-2"/>
        <n v="0.20444458577267774"/>
        <n v="0.26373880996876592"/>
        <n v="9.0795750075144746E-2"/>
        <n v="0.22570106770867365"/>
        <n v="0.14773373038631429"/>
        <n v="0.10205277280316413"/>
        <n v="0.19298035872993163"/>
        <n v="0.21776960210531415"/>
        <n v="0.11600492827562825"/>
        <n v="0.34974282958095532"/>
        <n v="0.29153011871025075"/>
        <n v="0.10285700585479532"/>
        <n v="0.18892682065273855"/>
        <n v="0.23624075698930819"/>
        <n v="0.10686653977059644"/>
        <n v="0.15106033695859838"/>
        <n v="0.22961126506939816"/>
        <n v="8.3792811122414379E-2"/>
        <n v="0.20460325534079349"/>
        <n v="0.16280803313143727"/>
        <n v="0.11018128152242483"/>
        <n v="0.29301716388882532"/>
        <n v="0.21854552671496011"/>
        <n v="9.6049673239676212E-2"/>
        <n v="0.18148707843665388"/>
        <n v="0.23010133982082936"/>
        <n v="0.11506735964919465"/>
        <n v="0.15683557091876157"/>
        <n v="0.19267113385627671"/>
        <n v="9.8050835811542503E-2"/>
        <n v="0.17878764724960008"/>
        <n v="0.1852488594187231"/>
        <n v="0.14048503487115041"/>
        <n v="0.29265405815370887"/>
        <n v="0.30727558088613705"/>
        <n v="0.11466414248771739"/>
        <n v="0.22920119165966096"/>
        <n v="0.21392849319295734"/>
        <n v="0.11992833889872012"/>
        <n v="0.19617826508511899"/>
        <n v="0.18735605211024767"/>
        <n v="0.12894490087295038"/>
        <n v="0.22542805199168053"/>
        <n v="0.26338888818681017"/>
        <n v="0.2355358667143059"/>
        <n v="0.16359292886704019"/>
        <n v="0.28960714197332277"/>
        <n v="6.4435521789700315E-2"/>
        <n v="0.13767725011754808"/>
        <n v="0.23138456489687972"/>
        <n v="0.17647140937070935"/>
        <n v="0.19917117699719367"/>
        <n v="0.21265863459615197"/>
        <n v="9.6230679524719018E-2"/>
        <n v="0.28192033158466712"/>
        <n v="0.27862511042183707"/>
        <n v="0.18510797220004091"/>
        <n v="0.18848882028080502"/>
        <n v="0.24012834530026111"/>
        <n v="9.4289654046997379E-2"/>
        <n v="0.11361316906005223"/>
        <n v="0.19856579871203484"/>
        <n v="0.11387885879945944"/>
        <n v="0.16287018428622119"/>
        <n v="0.23861775948123232"/>
        <n v="0.11702072213636698"/>
        <n v="0.20663098263126833"/>
        <n v="0.22605084951246127"/>
        <n v="0.11019960511958987"/>
        <n v="0.22050381890922946"/>
        <n v="0.26544326634037307"/>
        <n v="8.1821648103900121E-2"/>
        <n v="0.16640745433174042"/>
        <n v="0.33239528674942076"/>
        <n v="0.11572688264276934"/>
        <n v="0.22395549417512986"/>
        <n v="0.19073604404413436"/>
        <n v="0.11071966456775707"/>
        <n v="0.15142905726049785"/>
        <n v="0.18115323895849603"/>
        <n v="0.188354858600699"/>
        <n v="0.12142241452359133"/>
        <n v="0.28230286773858992"/>
        <n v="0.10202979239742509"/>
        <n v="0.17498147796417479"/>
        <n v="0.21834578167938606"/>
        <n v="8.8804853165139849E-2"/>
        <n v="0.10329982911687856"/>
        <n v="0.13590842353262539"/>
        <n v="0.14912000204869055"/>
        <n v="0.25676055075630827"/>
        <n v="0.20332506808814321"/>
        <n v="0.11920659107790449"/>
        <n v="0.21806585980396442"/>
        <n v="0.39148096687795964"/>
        <n v="9.0937052914321956E-2"/>
        <n v="0.40274315660855464"/>
        <n v="0.17728494253239066"/>
        <n v="0.12138123655173146"/>
        <n v="0.21377694511869808"/>
        <n v="0.25831343735592177"/>
        <n v="0.106722497446143"/>
        <n v="0.21515714130739397"/>
        <n v="0.26253896102352753"/>
        <n v="9.3611723126579061E-2"/>
        <n v="0.22003294188110978"/>
        <n v="0.27440308161007776"/>
        <n v="9.4530444349071832E-2"/>
        <n v="0.15192721524726022"/>
        <n v="0.3034274540799799"/>
        <n v="0.12514982577090455"/>
        <n v="9.9605693280846604E-4"/>
        <n v="0.25366035043689156"/>
        <n v="0.12394574327304808"/>
        <n v="0.23188629353190254"/>
        <n v="0.28007963980251721"/>
        <n v="0.12514501773172937"/>
        <n v="0.10788101661915027"/>
        <n v="0.28950707271309517"/>
        <n v="9.6422599176373122E-2"/>
        <n v="0.15999722817876116"/>
        <n v="0.24518641961321508"/>
        <n v="0.14147474705860139"/>
        <n v="8.0404939695749356E-2"/>
        <n v="0.15451913707630002"/>
        <n v="0.12411188855993401"/>
        <n v="0.26063672791634523"/>
        <n v="0.25754656937194043"/>
        <n v="0.14564012135939475"/>
        <n v="0.22710535238727633"/>
        <n v="0.20445922375377082"/>
        <n v="0.10596124969334582"/>
        <n v="0.195501848012746"/>
        <n v="0.22937947821491364"/>
        <n v="0.10058322238370615"/>
        <n v="0.21769109591129449"/>
        <n v="0.24343693640674774"/>
        <n v="0.12404993602326703"/>
        <n v="0.19837404177281998"/>
        <n v="0.39165625738927839"/>
        <n v="0.10679168146424343"/>
        <n v="0.24069344868291676"/>
        <n v="0.22966845374106948"/>
        <n v="8.6687641645291011E-2"/>
        <n v="0.19545280979911167"/>
        <n v="0.3328652628744912"/>
        <n v="8.16869772533238E-2"/>
        <n v="0.20860724875391007"/>
        <n v="0.15946450042103968"/>
        <n v="0.12689032523707608"/>
        <n v="0.29772654294247414"/>
        <n v="0.19402733365954686"/>
        <n v="9.58274861454078E-2"/>
        <n v="0.21831851337665148"/>
        <n v="0.24073158927612229"/>
        <n v="9.7198251333570893E-2"/>
        <n v="0.14598827840386322"/>
        <n v="0.20305858898924106"/>
        <n v="9.968336602177616E-2"/>
        <n v="0.18726116586088981"/>
        <n v="0.2057243819193563"/>
        <n v="0.11287867403437463"/>
        <n v="0.23396081769358951"/>
        <n v="0.19943479760637103"/>
        <n v="0.14652413875849243"/>
        <n v="0.23605927081302397"/>
        <n v="0.30876167211693789"/>
        <n v="0.14695605636762407"/>
        <n v="0.18505778600790618"/>
        <n v="0.19941569879845905"/>
        <n v="0.24115972331619573"/>
        <n v="0.16269380039239836"/>
        <n v="0.23758713867288594"/>
        <n v="0.15788736671923809"/>
        <n v="0.11543749733590709"/>
        <n v="0.25979886760215765"/>
        <n v="9.6324195510156904E-2"/>
        <n v="3.6229955402432956E-2"/>
        <n v="0.3404311228529282"/>
        <n v="8.0674061788997331E-2"/>
        <n v="0.17897035005986658"/>
        <n v="0.30675138883062558"/>
        <n v="7.6543696476834844E-2"/>
        <n v="5.4130487154440361E-2"/>
        <n v="0.26419840225185415"/>
        <n v="9.9107235084610557E-2"/>
        <n v="2.5018267346914261E-2"/>
        <n v="0.28184331298488713"/>
        <n v="0.14207193657205475"/>
        <n v="8.5520110901817353E-2"/>
        <n v="0.23595849361705212"/>
        <n v="9.4411684728421069E-2"/>
        <n v="0.13328965639763171"/>
        <n v="0.30922935253641298"/>
        <n v="9.8032705186975266E-2"/>
        <n v="0.14699611752930647"/>
        <n v="0.27932780310833133"/>
        <n v="0.10631049510167224"/>
        <n v="8.6081750416195202E-2"/>
        <n v="0.25772410835764165"/>
        <n v="8.3109379384095766E-2"/>
        <n v="0.12127378992339578"/>
        <n v="0.32822791317808436"/>
        <n v="9.3791048514362985E-2"/>
        <n v="0.19849541823441014"/>
        <n v="0.24041429666845968"/>
        <n v="0.12736229213637457"/>
        <n v="0.15045029012211453"/>
        <n v="0.28110127533827572"/>
        <n v="7.6608300067395926E-2"/>
        <n v="0.15083907926797657"/>
        <n v="0.31312544715305285"/>
        <n v="8.5837201389010076E-2"/>
        <n v="0.18112050011342418"/>
        <n v="0.36301281682982345"/>
        <n v="0.11527644576050207"/>
        <n v="0.18157028263319558"/>
        <n v="0.25623067452174486"/>
        <n v="8.309888131329847E-2"/>
        <n v="0.13495214139140796"/>
        <n v="0.2634840213457646"/>
        <n v="9.6960314052628352E-2"/>
        <n v="0.1091276043264021"/>
        <n v="0.23022620961396642"/>
        <n v="0.10201540616678649"/>
        <n v="0.18604034823552645"/>
        <n v="0.18116066062456426"/>
        <n v="9.3453930761707257E-2"/>
        <n v="0.16094484293528252"/>
        <n v="0.21012282147405312"/>
        <n v="9.6311382238275622E-2"/>
        <n v="0.17613009761229323"/>
        <n v="0.22095807451769256"/>
        <n v="0.10069955348778013"/>
        <n v="0.15316613577789639"/>
        <n v="0.22396065187475553"/>
        <n v="0.11331984222099969"/>
        <n v="0.24957827936109167"/>
        <n v="0.37970781379108964"/>
        <n v="5.9083803950074239E-2"/>
        <n v="0.19515963692617375"/>
        <n v="0.35525269651166985"/>
        <n v="9.8947079831174914E-2"/>
        <n v="0.18730312759279968"/>
        <n v="0.45544314696775196"/>
        <n v="9.660395803352434E-2"/>
        <n v="0.14514475918479083"/>
        <n v="0.39952869989108741"/>
        <n v="5.3992092701235284E-2"/>
        <n v="0.1444643139112585"/>
        <n v="0.4841524189447387"/>
        <n v="8.8599673162278389E-2"/>
        <n v="0.15313567715147594"/>
        <n v="0.36805045460366248"/>
        <n v="6.0655123209483568E-2"/>
        <n v="0.18709335382251249"/>
        <n v="0.20328166238093162"/>
        <n v="7.8672455233842933E-2"/>
        <n v="0.19359318931326544"/>
        <n v="0.27441844213248079"/>
        <n v="7.7469884780348899E-2"/>
        <n v="0.16996074902964498"/>
        <n v="0.26061967232558941"/>
        <n v="7.3290852396692668E-2"/>
        <n v="0.15914535596902418"/>
        <n v="0.26793355323562418"/>
        <n v="8.3193525351106884E-2"/>
        <n v="0.13575448022579659"/>
        <n v="0.25727847717459856"/>
        <n v="6.8058708905383333E-2"/>
        <n v="0.18250361826678957"/>
        <n v="0.22281234139585407"/>
        <n v="7.903776711265377E-2"/>
        <n v="0.21057613525154464"/>
        <n v="0.23264041283706546"/>
        <n v="7.5098498113556622E-2"/>
        <n v="0.15527947774261114"/>
        <n v="0.22914802190952374"/>
        <n v="8.3803751497548665E-2"/>
        <n v="0.1441658598692325"/>
        <n v="0.22839352323482562"/>
        <n v="0.10949926598949453"/>
        <n v="0.14554096028230934"/>
        <n v="0.22542696133652088"/>
        <n v="6.9130177065980458E-2"/>
        <n v="9.4173312844657825E-2"/>
        <n v="0.30811925468770279"/>
        <n v="0.10720035873169466"/>
        <n v="0.22505032864071367"/>
        <n v="0.30056244372639435"/>
        <n v="8.6322535297274058E-2"/>
        <n v="0.21258934592043158"/>
        <n v="0.23324918217837856"/>
        <n v="0.10583714165444418"/>
        <n v="0.16293924996366285"/>
        <n v="0.19853663841596039"/>
        <n v="0.10590216005400134"/>
        <n v="0.17878856971424287"/>
        <n v="0.19637519097742051"/>
        <n v="0.13435340227714182"/>
        <n v="0.15318254754282118"/>
        <n v="0.20181046459220986"/>
        <n v="0.10173510019932999"/>
        <n v="0.18901301452925132"/>
        <n v="0.16004749828420295"/>
        <n v="0.10288032106329198"/>
        <n v="0.19577382446977687"/>
        <n v="0.21220847071852605"/>
        <n v="0.10085690605549583"/>
        <n v="0.19742809525692981"/>
        <n v="0.24503380841798861"/>
        <n v="9.624256551570648E-2"/>
        <n v="0.17440923852724732"/>
        <n v="0.22726624537479734"/>
        <n v="0.14867383140010257"/>
        <n v="0.12403109799193447"/>
        <n v="0.22515971762814338"/>
        <n v="0.10450486949094351"/>
        <n v="0.30239908890693956"/>
        <n v="0.18736651482453345"/>
        <n v="8.3628255511685512E-2"/>
        <n v="0.20029718039581135"/>
        <n v="0.23059629807375623"/>
        <n v="0.1134052451796855"/>
        <n v="0.19477268065004846"/>
        <n v="0.23970587097254259"/>
        <n v="0.10125991517225985"/>
        <n v="0.18844794999627951"/>
        <n v="0.24754391147013954"/>
        <n v="0.15293320987121664"/>
        <n v="0.28148275125812988"/>
        <n v="0.34548835114540982"/>
        <n v="6.9662219733670913E-2"/>
        <n v="0.24862191737468656"/>
        <n v="0.29541360997025917"/>
        <n v="0.10640001416229995"/>
        <n v="0.2339874663645376"/>
        <n v="0.38181530737478331"/>
        <n v="0.13647301475029769"/>
        <n v="0.17425028991586272"/>
        <n v="0.19773560357007341"/>
        <n v="0.10522477677236419"/>
        <n v="0.16160708210325681"/>
        <n v="0.23283320843918875"/>
        <n v="8.8890422142208741E-2"/>
        <n v="0.22796102693448844"/>
        <n v="0.22700963109149908"/>
        <n v="0.10535316465988129"/>
        <n v="0.18569764433702168"/>
        <n v="0.25130271973487645"/>
        <n v="0.14579501197100864"/>
        <n v="0.30262005258110602"/>
        <n v="0.2125128155081881"/>
        <n v="0.118304245992697"/>
        <n v="0.23604004185540908"/>
        <n v="0.24528800097988021"/>
        <n v="0.11767413825336349"/>
        <n v="0.14232279962094108"/>
        <n v="0.31728002780228298"/>
        <n v="8.4993503889646327E-2"/>
        <n v="0.21085034886518564"/>
        <n v="0.22157388365314115"/>
        <n v="9.6035658720649508E-2"/>
        <n v="0.19006137448809884"/>
        <n v="0.20980904861222524"/>
        <n v="9.1961046045243064E-2"/>
        <n v="0.1839374298090807"/>
        <n v="0.36618156633759319"/>
        <n v="6.0030727665177107E-2"/>
        <n v="0.12771320193234822"/>
        <n v="0.26567381152819453"/>
        <n v="0.15067486922672885"/>
        <n v="0.23783599197012542"/>
        <n v="0.2354528930417715"/>
        <n v="9.0491734166367188E-2"/>
        <n v="0.1629750780969231"/>
        <n v="0.25026775712698657"/>
        <n v="9.9689653022054805E-2"/>
        <n v="0.17508378236678546"/>
        <n v="0.18335497066886353"/>
        <n v="0.1104304362030027"/>
        <n v="0.22198815391389573"/>
        <n v="0.25343976737830809"/>
        <n v="0.14803905072172291"/>
        <n v="0.26256623853549044"/>
        <n v="0.19660711332226288"/>
        <n v="9.6865659298856127E-2"/>
        <n v="0.21356258228417563"/>
        <n v="0.2523641879776054"/>
        <n v="7.4340241394881865E-2"/>
        <n v="0.18671902880867725"/>
        <n v="0.22367392418139481"/>
        <n v="9.3351688861304696E-2"/>
        <n v="0.21262603458114823"/>
        <n v="0.45999861204867926"/>
        <n v="0.11656362179588284"/>
        <n v="0.18953440542058078"/>
        <n v="0.3597912967960733"/>
        <n v="0.1378948843805137"/>
        <n v="0.17572029263520086"/>
        <n v="0.21182578317106815"/>
        <n v="0.121205793566702"/>
        <n v="0.14014862091255006"/>
        <n v="0.20930632212744607"/>
        <n v="0.10553725352165415"/>
        <n v="0.16409376848821622"/>
        <n v="0.20266946062319552"/>
        <n v="0.14440138066075905"/>
        <n v="0.37150931929361852"/>
        <n v="0.19871631065796583"/>
        <n v="0.10339590282720358"/>
        <n v="0.19351929821552602"/>
        <n v="0.23072508817744528"/>
        <n v="8.1772434420378251E-2"/>
        <n v="0.20925958054343211"/>
        <n v="0.2435695738136551"/>
        <n v="0.12117115939819419"/>
        <n v="0.22432819567158654"/>
        <n v="0.16554533856397549"/>
        <n v="0.10237989315665823"/>
        <n v="0.18344689268237085"/>
        <n v="0.24056770815191519"/>
        <n v="7.489246500323167E-2"/>
        <n v="0.22496129746382279"/>
        <n v="0.22687412764972872"/>
        <n v="7.1704690746664218E-2"/>
        <n v="0.20140747941290923"/>
        <n v="0.248504271009346"/>
        <n v="9.9074139251084645E-2"/>
        <n v="0.22075877345885869"/>
        <n v="0.24140232867983549"/>
        <n v="0.11587249029716735"/>
        <n v="0.15523635521056597"/>
        <n v="0.22056951775235223"/>
        <n v="0.15399665606661639"/>
        <n v="0.30911841458217221"/>
        <n v="0.52308160338796783"/>
        <n v="5.7080357023198469E-2"/>
        <n v="9.6633742980822071E-2"/>
        <n v="0.2819139887525603"/>
        <n v="8.7583630953573924E-2"/>
        <n v="0.21386501469061522"/>
        <n v="0.24604375306687884"/>
        <n v="0.10707123158712006"/>
        <n v="0.11743165726097629"/>
        <n v="0.23009609305193413"/>
        <n v="9.7080004389242178E-2"/>
        <n v="0.17787194908479076"/>
        <n v="0.4600960964825061"/>
        <n v="5.7545123819996019E-2"/>
        <n v="0.16431498356475255"/>
        <n v="0.24299062847767727"/>
        <n v="0.10008147811022518"/>
        <n v="0.20550982325470254"/>
        <n v="0.28918064719727327"/>
        <n v="9.8968878628607981E-2"/>
        <n v="0.19541214317855299"/>
        <n v="0.17099354514783724"/>
        <n v="0.10571336862134066"/>
        <n v="0.19439544121434221"/>
        <n v="0.17287197468492949"/>
        <n v="0.12655538127633187"/>
        <n v="0.17191668642506702"/>
        <n v="0.20648799581693519"/>
        <n v="0.13047757749406225"/>
        <n v="0.15300990527456282"/>
        <n v="0.2093052048276936"/>
        <n v="8.364116881666124E-2"/>
        <n v="0.20609755924875273"/>
        <n v="0.1846606275487174"/>
        <n v="0.13133600052469341"/>
        <n v="0.16065698555935787"/>
        <n v="0.2957123933380067"/>
        <n v="0.10254221760255264"/>
        <n v="0.48835923034156009"/>
        <n v="0.2172295201384041"/>
        <n v="8.4659270950314142E-2"/>
        <n v="0.25840874738215919"/>
        <n v="0.2207850226087138"/>
        <n v="8.6569744812795682E-2"/>
        <n v="0.18499596412907474"/>
        <n v="0.21064397767719822"/>
        <n v="8.8999648459814562E-2"/>
        <n v="0.18377097156918751"/>
        <n v="0.18545754062207895"/>
        <n v="9.8285525778158397E-2"/>
        <n v="0.21775183450036101"/>
        <n v="0.21162605043251806"/>
        <n v="8.1227202050456027E-2"/>
        <n v="0.24041686629415931"/>
        <n v="0.21748561122152402"/>
        <n v="0.1437301113191724"/>
        <n v="0.22909255919216057"/>
        <n v="0.2469523441532763"/>
        <n v="0.10217169628491476"/>
        <n v="0.23040039725783423"/>
        <n v="0.25784632656258161"/>
        <n v="8.3105059788000632E-2"/>
        <n v="0.18259294553809202"/>
        <n v="0.14598009466278369"/>
        <n v="9.7512773854202706E-2"/>
        <n v="0.17329348518159587"/>
        <n v="0.21963274045793815"/>
        <n v="0.10244834307992202"/>
        <n v="0.31454540496318517"/>
        <n v="0.25221696148547385"/>
        <n v="0.10854574645701245"/>
        <n v="0.13205730010288103"/>
        <n v="0.23172761993807939"/>
        <n v="0.10396074833952244"/>
        <n v="0.15433830521032715"/>
        <n v="0.23091257419773698"/>
        <n v="8.2234453255425707E-2"/>
        <n v="0.18118496104618811"/>
        <n v="0.16304381525555098"/>
        <n v="0.13869273957702352"/>
        <n v="0.28720085845855237"/>
        <n v="0.26072091877839787"/>
        <n v="0.11046744579735861"/>
        <n v="0.12628704975194158"/>
        <n v="0.23275205789358919"/>
        <n v="0.10613722470562582"/>
        <n v="0.13544406890536415"/>
        <n v="0.19894449786237731"/>
        <n v="9.1261115909671175E-2"/>
        <n v="0.1715787443707458"/>
        <n v="0.18870443500192183"/>
        <n v="0.13323344969750581"/>
        <n v="0.28668109371791428"/>
        <n v="0.2475195044201832"/>
        <n v="0.10477627153731849"/>
        <n v="0.12820215474062235"/>
        <n v="0.20728549137493632"/>
        <n v="0.12113153496798507"/>
        <n v="0.17798920827906736"/>
        <n v="0.19160624498659831"/>
        <n v="0.12394312601490813"/>
        <n v="0.19146562518341712"/>
        <n v="0.23540267663875883"/>
        <n v="0.15041876346159597"/>
        <n v="0.12423832574359382"/>
        <n v="0.24637265109822004"/>
        <n v="8.4200450636565463E-2"/>
        <n v="0.1525915458817437"/>
        <n v="0.23025538358778858"/>
        <n v="0.15418468831796717"/>
        <n v="0.1749223492589391"/>
        <n v="0.2063373484507505"/>
        <n v="8.636017460759729E-2"/>
        <n v="0.26237581356138057"/>
        <n v="0.25790518932243572"/>
        <n v="0.14720883682140862"/>
        <n v="0.14759608074372235"/>
        <n v="0.26357740860515128"/>
        <n v="0.10344905089438634"/>
        <n v="0.11036274767306335"/>
        <n v="0.20083763244693062"/>
        <n v="0.10874790078410999"/>
        <n v="0.14814285843733765"/>
        <n v="0.24101123463825458"/>
        <n v="0.11169000074712029"/>
        <n v="0.19595837221532883"/>
        <n v="0.24645062225842565"/>
        <n v="9.9076130280048968E-2"/>
        <n v="0.21861042745690801"/>
        <n v="0.24132508042937312"/>
        <n v="7.9654335898049919E-2"/>
        <n v="0.13407050714754234"/>
        <n v="0.33365997262380231"/>
        <n v="0.10224497321757828"/>
        <n v="0.20432312663679036"/>
        <n v="0.19309144191913211"/>
        <n v="0.10428689969010321"/>
        <n v="0.14679674788190417"/>
        <n v="0.17792758569443323"/>
        <n v="0.17682057813595867"/>
        <n v="0.17297945732290773"/>
        <n v="0.25015809940651829"/>
        <n v="0.11443525623451936"/>
        <n v="0.14880678936222444"/>
        <n v="0.21729787652599206"/>
        <n v="6.723801237586946E-2"/>
        <n v="0.1016715260640161"/>
        <n v="0.13419700569029336"/>
        <n v="0.11620913421697909"/>
        <n v="0.24544810528955049"/>
        <n v="0.19642871260378644"/>
        <n v="9.974462051195572E-2"/>
        <n v="0.19957595110001397"/>
        <n v="0.21241650893227335"/>
        <n v="9.4775052728354334E-2"/>
        <n v="0.14813368665837434"/>
        <n v="0.17332079828817185"/>
        <n v="0.10630097879282219"/>
        <n v="0.19851043056997381"/>
        <n v="0.29476814363683856"/>
        <n v="0.11870388191570777"/>
        <n v="0.2189216009751761"/>
        <n v="0.26970505777792841"/>
        <n v="9.3259084317281082E-2"/>
        <n v="0.21178724212983027"/>
        <n v="0.21053157740044784"/>
        <n v="0.14652948440998889"/>
        <n v="0.15681844362171701"/>
        <n v="0.34588669280782552"/>
        <n v="0.12664621184867805"/>
        <n v="8.010305607726527E-4"/>
        <n v="0.25995812470682117"/>
        <n v="0.11435445707463886"/>
        <n v="0.21344846782459526"/>
        <n v="0.27227057895562684"/>
        <n v="0.10768447301816708"/>
        <n v="9.4274502408884908E-2"/>
        <n v="0.23903905912703277"/>
        <n v="9.9603065885626271E-2"/>
        <n v="0.17152620021000675"/>
        <n v="0.25034101478586968"/>
        <n v="0.12855738164502728"/>
        <n v="7.7313995858326878E-2"/>
        <n v="0.16642379654180828"/>
        <n v="0.10037281462235713"/>
        <n v="0.23219097946531936"/>
        <n v="0.25533997360483313"/>
        <n v="0.11267733924098998"/>
        <n v="0.20317073256227663"/>
        <n v="0.24514113989560557"/>
        <n v="0.12024580283557411"/>
        <n v="0.15614042331784758"/>
        <n v="0.23530127435589618"/>
        <n v="9.4891135941556098E-2"/>
        <n v="0.20944834343994007"/>
        <n v="0.24215952031119928"/>
        <n v="0.10522267703486031"/>
        <n v="0.18180903751500946"/>
        <n v="0.39716056583428611"/>
        <n v="9.0742734122712596E-2"/>
        <n v="0.24190969535929324"/>
        <n v="0.25073965454534247"/>
        <n v="0.16462749890581366"/>
        <n v="0.11070451729430839"/>
        <n v="0.32973870329439381"/>
        <n v="7.356062400595581E-2"/>
        <n v="0.20441114291260962"/>
        <n v="0.1608111116622559"/>
        <n v="0.12958968081909192"/>
        <n v="0.2796922423779109"/>
        <n v="0.19261575832221425"/>
        <n v="9.4226122458289138E-2"/>
        <n v="0.21391670373031352"/>
        <n v="0.26055067451557518"/>
        <n v="0.1356368776060829"/>
        <n v="0.1579203581064508"/>
        <n v="0.21576857280205392"/>
        <n v="9.150113197210219E-2"/>
        <n v="0.18237958529268794"/>
        <n v="0.21373029829985815"/>
        <n v="0.10369309655170521"/>
        <n v="0.19132749335389121"/>
        <n v="0.18917961198306857"/>
        <n v="0.11428063757979427"/>
        <n v="0.21409601229643707"/>
        <n v="0.28498703594377578"/>
        <n v="0.18251480168304093"/>
        <n v="0.13565671015318675"/>
        <n v="0.20090349424701737"/>
        <n v="0.15176078065073098"/>
        <n v="0.14966345405397755"/>
        <n v="0.24646325189623394"/>
        <n v="0.13204131035855013"/>
        <n v="0.1078413240334066"/>
        <n v="0.26606870903378999"/>
        <n v="0.10116599368242327"/>
        <n v="2.0567215211926934E-2"/>
        <n v="0.27763521231468924"/>
        <n v="0.11152849083832597"/>
        <n v="0.16060543140770542"/>
        <n v="0.30391590871923757"/>
        <n v="6.8830332244515333E-2"/>
        <n v="5.973378369423607E-2"/>
        <n v="0.26130904596894089"/>
        <n v="9.4152889155468891E-2"/>
        <n v="3.2579822389498012E-2"/>
        <n v="0.27140841531471405"/>
        <n v="0.11626801869927676"/>
        <n v="7.5768304373780682E-2"/>
        <n v="0.36033433484883753"/>
        <n v="0.10526285409044855"/>
        <n v="2.5658172397909781E-3"/>
        <n v="0.28952289774392026"/>
        <n v="0.11226289188397304"/>
        <n v="9.6001355112803985E-2"/>
        <n v="0.25468235806678113"/>
        <n v="0.12789027581558904"/>
        <n v="5.8820571821747721E-2"/>
        <n v="0.25741699503401705"/>
        <n v="0.13863724559006835"/>
        <n v="7.8504008593774294E-2"/>
        <n v="0.27813988662833994"/>
        <n v="9.5614605477053888E-2"/>
        <n v="1.3242352816979733E-2"/>
        <n v="0.32221081468255347"/>
        <n v="6.2597440743274321E-2"/>
        <n v="5.1076585751074731E-2"/>
        <n v="0.27359825849978398"/>
        <n v="9.0519229988072422E-2"/>
        <n v="2.9400186853076615E-2"/>
        <n v="0.29250066754221421"/>
        <n v="0.10246202124249067"/>
        <n v="6.595188171570486E-2"/>
        <n v="0.27403435056417541"/>
        <n v="0.1299666060338143"/>
        <n v="0.21289331758328561"/>
        <n v="0.26605435237453429"/>
        <n v="0.12058394099249971"/>
        <n v="0.21922256038639226"/>
        <n v="0.23330827594070241"/>
        <n v="0.11383836181461397"/>
        <n v="0.24738201588657363"/>
        <n v="0.24996326787791504"/>
        <n v="7.8504992245056221E-2"/>
        <n v="0.23321200077549439"/>
        <n v="0.28345779442041308"/>
        <n v="0.11150063485914737"/>
        <n v="0.20816802685139355"/>
        <n v="0.21051363294312014"/>
        <n v="9.5953004679163303E-2"/>
        <n v="0.20065785527975966"/>
        <n v="0.28969604541715804"/>
        <n v="0.11706583498706224"/>
        <n v="0.2362762445592714"/>
        <n v="0.25390520846744552"/>
        <n v="7.2750175470655903E-2"/>
        <n v="0.13948941153994709"/>
        <n v="0.24076436230061551"/>
        <n v="9.3348749089946392E-2"/>
        <n v="0.13656156926335297"/>
        <n v="0.25076721778613559"/>
        <n v="9.6309626321331512E-2"/>
        <n v="0.15771568855553608"/>
        <n v="0.24521104710209185"/>
        <n v="0.10483936083086408"/>
        <n v="0.19237946167329892"/>
        <n v="0.30959061088649786"/>
        <n v="8.4822519170447044E-2"/>
        <n v="0.36058125601043234"/>
        <n v="0.26168341437061043"/>
        <n v="0.10166282489945373"/>
        <n v="0.16202359085179183"/>
        <n v="0.26188992812363998"/>
        <n v="0.10641151286711834"/>
        <n v="0.16792806942777502"/>
        <n v="0.19814964803892021"/>
        <n v="0.10288497761226159"/>
        <n v="0.20670851810393076"/>
        <n v="0.21580343561013618"/>
        <n v="8.5226366267205866E-2"/>
        <n v="0.20690883204096019"/>
        <n v="0.23387558000936526"/>
        <n v="8.5176211102124227E-2"/>
        <n v="0.14908534119450004"/>
        <n v="0.29948128160121557"/>
        <n v="0.12753589112153205"/>
        <n v="0.19201828613345209"/>
        <n v="0.35601405405109116"/>
        <n v="7.9213625413495511E-2"/>
        <n v="0.1718524050570466"/>
        <n v="0.22616969107798662"/>
        <n v="9.7711420753222436E-2"/>
        <n v="0.13551335781666307"/>
        <n v="0.28515111135964077"/>
        <n v="7.4472620741106471E-2"/>
        <n v="0.1618514568310736"/>
        <n v="0.27319305508708863"/>
        <n v="8.1576251268711084E-2"/>
        <n v="9.1084391811865742E-2"/>
        <n v="0.24112499737223825"/>
        <n v="8.5265456494776001E-2"/>
        <n v="0.15669874287876556"/>
        <n v="0.3112394777773404"/>
        <n v="0.11164018049474014"/>
        <n v="0.18603886550871485"/>
        <n v="0.23565061752552402"/>
        <n v="0.13622860530162642"/>
        <n v="0.18032073343385627"/>
        <n v="0.27953946767266702"/>
        <n v="6.629263644314487E-2"/>
        <n v="0.14740036811257456"/>
        <n v="0.30668887743153261"/>
        <n v="8.0250362654455856E-2"/>
        <n v="0.14055761399584041"/>
        <n v="0.35770328827222531"/>
        <n v="0.1026144735846814"/>
        <n v="0.18389812083292811"/>
        <n v="0.24385783147041187"/>
        <n v="8.7164248665320854E-2"/>
        <n v="0.14696808552419705"/>
        <n v="0.25591854343258424"/>
        <n v="9.271041215617036E-2"/>
        <n v="0.11759620838692669"/>
        <n v="0.21011452484532822"/>
        <n v="9.4175098974876192E-2"/>
        <n v="0.19980293838719873"/>
        <n v="0.1667207454220305"/>
        <n v="9.673939097040582E-2"/>
        <n v="0.18193962441467101"/>
        <n v="0.19126035772357722"/>
        <n v="8.6417691056910564E-2"/>
        <n v="0.19410520325203251"/>
        <n v="0.20039503721212226"/>
        <n v="9.7914152907993365E-2"/>
        <n v="0.15910625884172327"/>
        <n v="0.19874919527815152"/>
        <n v="0.1170520483412814"/>
        <n v="0.26434291982071867"/>
        <n v="0.18770892982047097"/>
        <n v="8.0187129867101886E-2"/>
        <n v="0.19403868811688815"/>
        <n v="0.22608864525061273"/>
        <n v="0.11009433291548953"/>
        <n v="0.19125040692997061"/>
        <n v="0.25916973383670422"/>
        <n v="9.3463288637466418E-2"/>
        <n v="0.19551271051043231"/>
        <n v="0.37166444329158327"/>
        <n v="6.0194483559376469E-2"/>
        <n v="0.17290663059858197"/>
        <n v="0.36148253668059666"/>
        <n v="6.3990360857761636E-2"/>
        <n v="0.21697080804075281"/>
        <n v="0.31438436057869257"/>
        <n v="9.8081877636533504E-2"/>
        <n v="0.21566950256221512"/>
        <n v="0.39302664980476504"/>
        <n v="0.13106080438655604"/>
        <n v="0.16923514044917889"/>
        <n v="0.33583698906511389"/>
        <n v="9.8756452875164241E-2"/>
        <n v="0.20741389584933839"/>
        <n v="0.24160586653239668"/>
        <n v="8.0143009775507201E-2"/>
        <n v="0.2000853514761507"/>
        <n v="0.24024640049126575"/>
        <n v="0.10291791402117853"/>
        <n v="0.18120031142741219"/>
        <n v="0.29215190038719452"/>
        <n v="0.14952230775760189"/>
        <n v="0.22946870123340712"/>
        <n v="0.43952366412496263"/>
        <n v="9.9111680457747292E-2"/>
        <n v="0.14215938436542061"/>
        <n v="0.23464182955938329"/>
        <n v="0.12564366815044192"/>
        <n v="0.13782978517514999"/>
        <n v="0.33926124885215792"/>
        <n v="7.8022389672122286E-2"/>
        <n v="0.19534351536757955"/>
        <n v="0.23040643825705751"/>
        <n v="9.6383852782533336E-2"/>
        <n v="0.17450445191005926"/>
        <n v="0.37904662756995489"/>
        <n v="5.3983635171387191E-2"/>
        <n v="0.1362190111565606"/>
        <n v="0.36959570429639521"/>
        <n v="5.3828241020234549E-2"/>
        <n v="0.14584718515612882"/>
        <n v="0.26073933504514396"/>
        <n v="0.14611429073691432"/>
        <n v="0.24023155552865841"/>
        <n v="0.24626995445870625"/>
        <n v="9.6825062180056903E-2"/>
        <n v="0.17244104090448731"/>
        <n v="0.44686380194889475"/>
        <n v="6.9638279069360473E-2"/>
        <n v="0.19275436206898228"/>
        <n v="0.19287904976797648"/>
        <n v="0.10832182440007379"/>
        <n v="0.22435877786765435"/>
        <n v="0.2630102917416185"/>
        <n v="0.13020679711253869"/>
        <n v="0.25755211445546583"/>
        <n v="0.20265526398822045"/>
        <n v="9.1814951882625159E-2"/>
        <n v="0.2298695835086243"/>
        <n v="0.35093014079487367"/>
        <n v="6.6530460097209018E-2"/>
        <n v="0.15427605105200665"/>
        <n v="0.23410007288871218"/>
        <n v="9.9775991452141943E-2"/>
        <n v="0.19836555345724413"/>
        <n v="0.4691069577548983"/>
        <n v="9.6152598744666098E-2"/>
        <n v="0.14421516194061645"/>
        <n v="0.39955635970712877"/>
        <n v="0.10164168856822876"/>
        <n v="0.15247966953497402"/>
        <n v="0.19217803464914851"/>
        <n v="7.4058400606447139E-2"/>
        <n v="0.19330024672523291"/>
        <n v="0.2176338609154039"/>
        <n v="0.11756838928550688"/>
        <n v="0.15976941622534979"/>
        <n v="0.21898948588376357"/>
        <n v="0.12825424923264989"/>
        <n v="0.38241569168389516"/>
        <n v="0.22668293464151451"/>
        <n v="0.10981312901431245"/>
        <n v="0.17634577454104083"/>
        <n v="0.26818633951284054"/>
        <n v="8.5124160965771203E-2"/>
        <n v="0.17944320034659103"/>
        <n v="0.23898720037910473"/>
        <n v="0.10369078301572027"/>
        <n v="0.21054375420085783"/>
        <n v="0.17475588377697021"/>
        <n v="9.7233776135433991E-2"/>
        <n v="0.17591668568100069"/>
        <n v="0.2466491253105739"/>
        <n v="7.092784129894654E-2"/>
        <n v="0.19715861308603411"/>
        <n v="0.24762847422495984"/>
        <n v="7.6553858776283207E-2"/>
        <n v="0.19102171747237121"/>
        <n v="0.24459043305313846"/>
        <n v="0.10369350478447037"/>
        <n v="0.20758842422359319"/>
        <n v="0.23885645830303787"/>
        <n v="0.12168816779885189"/>
        <n v="0.2060886866882255"/>
        <n v="0.23111191294437577"/>
        <n v="0.15678954883677951"/>
        <n v="0.30594069709623906"/>
        <n v="0.25840957741469989"/>
        <n v="8.4448532680431398E-2"/>
        <n v="0.16392438739151546"/>
        <n v="0.28508281620795023"/>
        <n v="8.5789219783438911E-2"/>
        <n v="0.20591120672742275"/>
        <n v="0.25580292983197717"/>
        <n v="0.11175807531085985"/>
        <n v="0.10924313407775312"/>
        <n v="0.23312908509558275"/>
        <n v="9.8763364051682193E-2"/>
        <n v="0.16306257228231577"/>
        <n v="0.25449566718254901"/>
        <n v="7.0383047616405459E-2"/>
        <n v="0.18253871594829549"/>
        <n v="0.24864255291199103"/>
        <n v="0.10158925440701687"/>
        <n v="0.19666192155535234"/>
        <n v="0.29730649703203449"/>
        <n v="9.7866750750289111E-2"/>
        <n v="0.19696698029159082"/>
        <n v="0.18034389770222384"/>
        <n v="0.10432337702638844"/>
        <n v="0.18768956582679291"/>
        <n v="0.21784061515834571"/>
        <n v="7.6549086374754202E-2"/>
        <n v="0.21871413841062778"/>
        <n v="0.1784733521725044"/>
        <n v="0.13472843694877426"/>
        <n v="0.19118785773425967"/>
        <n v="0.21204649214935919"/>
        <n v="0.12881899916077366"/>
        <n v="0.1670154374776385"/>
        <n v="0.21519806597485383"/>
        <n v="7.6961990018447279E-2"/>
        <n v="0.21626829434934797"/>
        <n v="0.22780148035780362"/>
        <n v="7.886103835735854E-2"/>
        <n v="0.17670534137640884"/>
        <n v="0.19176699155994897"/>
        <n v="0.13277061201900164"/>
        <n v="0.16690054883392008"/>
        <n v="0.30048529368453086"/>
        <n v="9.973380390924888E-2"/>
        <n v="0.43374748431686316"/>
        <n v="0.22277272795745898"/>
        <n v="8.0595604296280668E-2"/>
        <n v="0.22758227256978444"/>
        <n v="0.22149911467004943"/>
        <n v="8.3719486949091315E-2"/>
        <n v="0.15878216478589108"/>
        <n v="0.22448823696720979"/>
        <n v="8.1142185306596448E-2"/>
        <n v="0.17382722910421647"/>
        <n v="0.21322932203464404"/>
        <n v="8.8044772376288605E-2"/>
        <n v="0.1682697342080138"/>
        <n v="0.19514743972545878"/>
        <n v="8.6470142496750682E-2"/>
        <n v="0.21543200309124105"/>
        <n v="0.21944795452053353"/>
        <n v="0.10929847212591176"/>
        <n v="0.14337551602236906"/>
        <n v="0.21484376313402792"/>
        <n v="7.7596139240973014E-2"/>
        <n v="0.20846814283923581"/>
        <n v="0.22632982028211795"/>
        <n v="0.13970758450882481"/>
        <n v="0.21704995742918287"/>
        <n v="0.25614168284050692"/>
        <n v="0.1004659568203532"/>
        <n v="0.19741096376058312"/>
        <n v="0.22060339353291311"/>
        <n v="6.877906360884635E-2"/>
        <n v="9.5727156221614221E-2"/>
        <n v="0.26446691296458269"/>
        <n v="7.6470672706622625E-2"/>
        <n v="0.16934883356614144"/>
        <n v="0.15941030838618156"/>
        <n v="0.10009896827630969"/>
        <n v="0.20279976594758653"/>
        <n v="0.22986302610473694"/>
        <n v="0.10928522408695809"/>
        <n v="0.3082999820883387"/>
        <n v="0.30258112955507188"/>
        <n v="0.1101583123931584"/>
        <n v="0.22454806587514364"/>
        <n v="0.23835502157691668"/>
        <n v="0.10222612257094894"/>
        <n v="0.14841167526520713"/>
        <n v="0.23157572306991572"/>
        <n v="8.6193919380551126E-2"/>
        <n v="0.17254497836483718"/>
        <n v="0.17150143928182277"/>
        <n v="0.10409335003008668"/>
        <n v="0.24529668721234693"/>
        <n v="0.28496849879965441"/>
        <n v="8.3806115842798803E-2"/>
        <n v="0.21462290506311577"/>
        <n v="0.24153082356598193"/>
        <n v="0.10140960706548637"/>
        <n v="0.12873302784939214"/>
        <n v="0.22532280553670928"/>
        <n v="9.1511857126830395E-2"/>
        <n v="0.16398307574778162"/>
        <n v="0.19894627914812688"/>
        <n v="0.12580388166682871"/>
        <n v="0.25890406106040653"/>
        <n v="0.22229281980391899"/>
        <n v="0.10716646628415803"/>
        <n v="0.16429787657062686"/>
        <n v="0.22033885246310092"/>
        <n v="0.11899477921883775"/>
        <n v="0.1650347477101585"/>
        <n v="0.19430568292612294"/>
        <n v="0.11146745373632844"/>
        <n v="0.20332881234856309"/>
        <n v="0.24001639941620995"/>
        <n v="0.14349448482756422"/>
        <n v="0.1293515760679875"/>
        <n v="0.18425213098206752"/>
        <n v="9.7524112641747318E-2"/>
        <n v="0.17958629988509364"/>
        <n v="0.24254034248510919"/>
        <n v="0.14327621609624222"/>
        <n v="0.18287523514165502"/>
        <n v="0.22203164038790002"/>
        <n v="7.7780620527080999E-2"/>
        <n v="0.26362272913343593"/>
        <n v="0.27093856478599038"/>
        <n v="0.16458700097682724"/>
        <n v="0.21535545204486592"/>
        <n v="0.19270028819549709"/>
        <n v="0.13206806172218877"/>
        <n v="0.15128490676818107"/>
        <n v="0.20907570570653256"/>
        <n v="0.11127918964973951"/>
        <n v="0.15011265912240609"/>
        <n v="0.24832177041793332"/>
        <n v="0.1095062224184235"/>
        <n v="0.18657680615494551"/>
        <n v="0.26329628495164747"/>
        <n v="9.1928718330197348E-2"/>
        <n v="0.18907867676016279"/>
        <n v="0.19855043991178151"/>
        <n v="9.9846089909184074E-2"/>
        <n v="0.19074796809399897"/>
        <n v="0.33624010437304513"/>
        <n v="9.9802677615438443E-2"/>
        <n v="0.24561005117482906"/>
        <n v="0.19599918795904966"/>
        <n v="0.10309145944370753"/>
        <n v="0.14125129824380597"/>
        <n v="0.18748292606311268"/>
        <n v="0.16837081004672591"/>
        <n v="0.15416909021897046"/>
        <n v="0.15643988792878596"/>
        <n v="0.16291486121511445"/>
        <n v="0.19797670231294121"/>
        <n v="0.21932181027809078"/>
        <n v="6.9974887689000106E-2"/>
        <n v="9.6307383583633652E-2"/>
        <n v="0.13734153359897575"/>
        <n v="0.12758200617766491"/>
        <n v="0.22989309512843373"/>
        <n v="0.20268987256026519"/>
        <n v="9.7393961289390249E-2"/>
        <n v="0.20927811848011635"/>
        <n v="0.20832903019041857"/>
        <n v="9.1673130383429835E-2"/>
        <n v="0.19980616051623312"/>
        <n v="0.1820186547009211"/>
        <n v="9.9881625260809237E-2"/>
        <n v="0.19244625829205694"/>
        <n v="0.29681100901260282"/>
        <n v="0.11315536187246912"/>
        <n v="0.21026328118114729"/>
        <n v="0.27923155717399922"/>
        <n v="8.7793759908838684E-2"/>
        <n v="0.21536258917954818"/>
        <n v="0.22208983200499849"/>
        <n v="9.9952039143099344E-2"/>
        <n v="0.1883291728145543"/>
        <n v="0.35498640930439229"/>
        <n v="0.12061653210064703"/>
        <n v="1.6889627826137839E-3"/>
        <n v="0.26806599764983124"/>
        <n v="0.10898760182337382"/>
        <n v="0.21270177729520129"/>
        <n v="0.28149931232046793"/>
        <n v="0.10884535365816309"/>
        <n v="9.3240078148315128E-2"/>
        <n v="0.22101472145511927"/>
        <n v="9.2809188624267222E-2"/>
        <n v="0.12403625340005399"/>
        <n v="0.25106971172231007"/>
        <n v="0.12807800504218272"/>
        <n v="7.6690806846577753E-2"/>
        <n v="0.18252108315457952"/>
        <n v="0.10876348667427094"/>
        <n v="0.21001375714236103"/>
        <n v="0.2615391226724757"/>
        <n v="0.13045181791025481"/>
        <n v="0.1871412000845499"/>
        <n v="0.2267913469717911"/>
        <n v="0.11267579388224756"/>
        <n v="0.32358998056344285"/>
        <n v="0.24024470855139346"/>
        <n v="9.4574750573616223E-2"/>
        <n v="0.17812573152182321"/>
        <n v="0.243426179315577"/>
        <n v="0.10675206793910563"/>
        <n v="0.17545873992157893"/>
        <n v="0.41600545931956856"/>
        <n v="9.0003598617224248E-2"/>
        <n v="0.22009611424901299"/>
        <n v="0.23630979867723584"/>
        <n v="0.14873677566325474"/>
        <n v="0.28983043547228671"/>
        <n v="0.33249047774804774"/>
        <n v="7.2295546392268512E-2"/>
        <n v="0.18478196679410666"/>
        <n v="0.17458620327080313"/>
        <n v="0.12061328669360989"/>
        <n v="0.29136470062066178"/>
        <n v="0.20082300240800594"/>
        <n v="8.909171023356742E-2"/>
        <n v="0.21293009915857131"/>
        <n v="0.18967056738812754"/>
        <n v="0.10761572715661569"/>
        <n v="0.17264791673858262"/>
        <n v="0.22147852980295174"/>
        <n v="9.3446528820113978E-2"/>
        <n v="0.18221218611955364"/>
        <n v="0.21930187965937126"/>
        <n v="0.1020912060445015"/>
        <n v="0.18557508982166218"/>
        <n v="0.20061491437844933"/>
        <n v="0.10662926297182013"/>
        <n v="0.21275472891682012"/>
        <n v="0.20568663543735138"/>
        <n v="0.12554574101150223"/>
        <n v="0.2419786174516288"/>
        <n v="0.22207162990282003"/>
        <n v="0.1744284892933769"/>
        <n v="0.12794709091164055"/>
        <n v="0.2484919182489411"/>
        <n v="0.13176386627884548"/>
        <n v="8.5647327042812069E-2"/>
        <n v="0.26617995583189274"/>
        <n v="9.1346251116941099E-2"/>
        <n v="1.4229667943821746E-2"/>
        <n v="0.20451561852734051"/>
        <n v="0.10009945241300745"/>
        <n v="0.19143275554059652"/>
        <n v="0.30309142751173518"/>
        <n v="7.0909432564994018E-2"/>
        <n v="5.7479605522974091E-2"/>
        <n v="0.26739664794808948"/>
        <n v="9.4930572667418861E-2"/>
        <n v="3.0416232565713158E-2"/>
        <n v="0.26722259481791738"/>
        <n v="0.10885197026252259"/>
        <n v="7.7380585340602201E-2"/>
        <n v="0.24174773923761908"/>
        <n v="0.12074738212356145"/>
        <n v="0.19186010344787863"/>
        <n v="0.18961333630686886"/>
        <n v="0.13040004460303301"/>
        <n v="0.17054442462087421"/>
        <n v="0.21294920706287626"/>
        <n v="0.12505669740117628"/>
        <n v="0.15868053741863181"/>
        <n v="0.22646635640294249"/>
        <n v="8.0597387779612673E-2"/>
        <n v="0.20597414802582195"/>
        <n v="0.22204024955854987"/>
        <n v="7.6896334590234774E-2"/>
        <n v="0.190063651984335"/>
        <n v="0.48273993321547826"/>
        <n v="6.7308387350225887E-2"/>
        <n v="0.14507064754796045"/>
        <n v="0.43834101963300548"/>
        <n v="5.4283169008839727E-2"/>
        <n v="0.10643414894043644"/>
        <n v="0.2435390924277773"/>
        <n v="0.10346312537803508"/>
        <n v="0.16774467870618393"/>
        <n v="0.25088042296541729"/>
        <n v="0.10712103955270243"/>
        <n v="0.11400445226755022"/>
        <n v="0.23841041214902153"/>
        <n v="0.10103703871967681"/>
        <n v="0.14324438705348483"/>
        <n v="0.24266189981803363"/>
        <n v="8.3128481641492794E-2"/>
        <n v="0.15814466883240116"/>
        <n v="0.24957078062044954"/>
        <n v="8.8790595898981903E-2"/>
        <n v="9.6117336121992969E-2"/>
        <n v="0.22785270634645852"/>
        <n v="8.54506730456496E-2"/>
        <n v="0.13790474541772896"/>
        <n v="0.23667793536725243"/>
        <n v="0.11983253964150789"/>
        <n v="0.1570789843042415"/>
        <n v="0.20620558846128356"/>
        <n v="9.8037348946588845E-2"/>
        <n v="0.14556100435406363"/>
        <n v="0.19843796345955386"/>
        <n v="0.15230667958725791"/>
        <n v="0.13126778275048614"/>
        <n v="0.22853460603844997"/>
        <n v="9.4072378607371721E-2"/>
        <n v="0.17366016515418692"/>
        <n v="0.23390419541862292"/>
        <n v="0.10478094675852441"/>
        <n v="0.15692892906272798"/>
        <n v="0.25044646592748915"/>
        <n v="0.14899266784838852"/>
        <n v="0.12586654654968182"/>
        <n v="0.25143546604475431"/>
        <n v="0.13387285284437259"/>
        <n v="0.16419023993612092"/>
        <n v="0.26769130844573857"/>
        <n v="0.20053468989194975"/>
        <n v="0.12385139558129303"/>
        <n v="0.27922494094030381"/>
        <n v="0.10170747658158458"/>
        <n v="0.15816478660695707"/>
        <n v="0.35685668809438348"/>
        <n v="0.10599699613140882"/>
        <n v="2.1192773312159411E-3"/>
        <n v="0.28130687904146473"/>
        <n v="0.11006168527775639"/>
        <n v="8.7440409863601798E-2"/>
        <n v="0.25043616193193963"/>
        <n v="0.12523055915016632"/>
        <n v="7.0021838573913794E-2"/>
        <n v="0.25183689028570799"/>
        <n v="0.13091065659640519"/>
        <n v="7.050906064958358E-2"/>
        <n v="0.26631530705202211"/>
        <n v="8.4536282857622741E-2"/>
        <n v="1.1630388700080983E-2"/>
        <n v="0.3049316773228235"/>
        <n v="6.6027062850081905E-2"/>
        <n v="5.1243263640832995E-2"/>
        <n v="0.2678242903433356"/>
        <n v="8.8034806457935766E-2"/>
        <n v="3.4797415310090653E-2"/>
        <n v="0.28401076197763681"/>
        <n v="9.7437242366647747E-2"/>
        <n v="7.2599190383333748E-2"/>
        <n v="0.27041249807159673"/>
        <n v="0.12841617176990652"/>
        <n v="0.20597979465929622"/>
        <n v="0.25653543163196818"/>
        <n v="0.10647233648089204"/>
        <n v="0.21243205393156883"/>
        <n v="0.26260144966722543"/>
        <n v="0.10874370852836145"/>
        <n v="0.27099523921111501"/>
        <n v="0.22747692050045706"/>
        <n v="7.6387247137304701E-2"/>
        <n v="0.24776102687200385"/>
        <n v="0.27222573127592536"/>
        <n v="0.10964772970321197"/>
        <n v="0.1910452421445831"/>
        <n v="0.20692095596032953"/>
        <n v="9.7067726582450317E-2"/>
        <n v="0.20772174665524176"/>
        <n v="0.3674447926130569"/>
        <n v="6.3433024925988415E-2"/>
        <n v="0.2071040612117504"/>
        <n v="0.32877714383036705"/>
        <n v="9.5754492037809766E-2"/>
        <n v="0.22013163870674729"/>
        <n v="0.27468661026536945"/>
        <n v="0.1217390903493776"/>
        <n v="0.24220833893283414"/>
        <n v="0.41758253575255899"/>
        <n v="0.10868757621669561"/>
        <n v="0.17143575625438826"/>
        <n v="0.23485465392709337"/>
        <n v="8.1939050154834603E-2"/>
        <n v="0.17532680643814266"/>
        <n v="0.29864320421773261"/>
        <n v="0.13617604049862622"/>
        <n v="0.21345130132000867"/>
        <n v="0.33939058254781895"/>
        <n v="8.9352512692222788E-2"/>
        <n v="0.17754153756434679"/>
        <n v="0.23266746977942093"/>
        <n v="9.3860175300128773E-2"/>
        <n v="0.14568562289702155"/>
        <n v="0.22577531889285701"/>
        <n v="9.127786394621179E-2"/>
        <n v="0.1538381052337473"/>
        <n v="0.37711807170605099"/>
        <n v="5.2581762967973171E-2"/>
        <n v="0.12636519883250308"/>
        <n v="0.2336653531270988"/>
        <n v="0.10569613183861036"/>
        <n v="0.16677964551282207"/>
        <n v="0.24351522591861169"/>
        <n v="9.8404245975725835E-2"/>
        <n v="0.18112739735404698"/>
        <n v="0.32242697788380942"/>
        <n v="8.3703209550781935E-2"/>
        <n v="0.3889425742868905"/>
        <n v="0.26143241046497329"/>
        <n v="9.2710359699715375E-2"/>
        <n v="0.17803522315898709"/>
        <n v="0.25536152004680374"/>
        <n v="0.1054881259402536"/>
        <n v="0.18281499988060271"/>
        <n v="0.19383545875786184"/>
        <n v="0.10349248868294897"/>
        <n v="0.21334394487694794"/>
        <n v="0.29081025320073856"/>
        <n v="8.0027702932446834E-2"/>
        <n v="0.21092122749052072"/>
        <n v="0.26028362605731542"/>
        <n v="0.10791975600384389"/>
        <n v="0.10874757977474397"/>
        <n v="0.20995700032422218"/>
        <n v="8.6534800994281277E-2"/>
        <n v="0.20138932642272592"/>
        <n v="0.24307701171097565"/>
        <n v="8.598736723021809E-2"/>
        <n v="0.16089173108750759"/>
        <n v="0.31020950017407761"/>
        <n v="8.5449254144386214E-2"/>
        <n v="0.19805303564573867"/>
        <n v="0.22576042789286713"/>
        <n v="8.8400510916856273E-2"/>
        <n v="0.15613227956731729"/>
        <n v="0.20290000857000337"/>
        <n v="9.6182957119951479E-2"/>
        <n v="0.20598391329793506"/>
        <n v="0.23237797001153401"/>
        <n v="0.13517716262975779"/>
        <n v="0.19736666666666666"/>
        <n v="0.27239735810979043"/>
        <n v="8.892044188758863E-2"/>
        <n v="0.16203042891402061"/>
        <n v="0.16081902180486951"/>
        <n v="9.4842283130046681E-2"/>
        <n v="0.18790137079633565"/>
        <n v="0.18229125803727997"/>
        <n v="0.10062986296031694"/>
        <n v="0.21331334026108983"/>
        <n v="0.28487628072201659"/>
        <n v="8.7135644976419832E-2"/>
        <n v="0.19945993122818068"/>
        <n v="0.3329934315278173"/>
        <n v="0.10001292889321031"/>
        <n v="0.19703386987886329"/>
        <n v="0.24491140701034553"/>
        <n v="9.2100594241779049E-2"/>
        <n v="0.16655339768149988"/>
        <n v="0.18442748199034209"/>
        <n v="9.9763389597938235E-2"/>
        <n v="0.16036663177616128"/>
        <n v="0.24613164677953886"/>
        <n v="9.436448678674679E-2"/>
        <n v="0.1667607355233984"/>
        <n v="0.43297024179613447"/>
        <n v="8.5850091355378133E-2"/>
        <n v="0.19849802413002599"/>
        <n v="0.34128340519560646"/>
        <n v="7.1118791565927958E-2"/>
        <n v="0.17185526627303838"/>
        <n v="0.19281227032880666"/>
        <n v="0.11664106348449259"/>
        <n v="0.26773195103147679"/>
        <m/>
      </sharedItems>
    </cacheField>
  </cacheFields>
  <extLst>
    <ext xmlns:x14="http://schemas.microsoft.com/office/spreadsheetml/2009/9/main" uri="{725AE2AE-9491-48be-B2B4-4EB974FC3084}">
      <x14:pivotCacheDefinition pivotCacheId="1999866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2">
  <r>
    <x v="0"/>
    <s v="01"/>
    <x v="0"/>
    <x v="0"/>
    <x v="0"/>
    <n v="588853"/>
    <n v="0.22791542201534201"/>
  </r>
  <r>
    <x v="0"/>
    <s v="01"/>
    <x v="0"/>
    <x v="1"/>
    <x v="1"/>
    <n v="588853"/>
    <n v="7.2864144362005459E-2"/>
  </r>
  <r>
    <x v="0"/>
    <s v="01"/>
    <x v="0"/>
    <x v="2"/>
    <x v="2"/>
    <n v="588853"/>
    <n v="0.18671994538535086"/>
  </r>
  <r>
    <x v="0"/>
    <s v="03"/>
    <x v="1"/>
    <x v="0"/>
    <x v="3"/>
    <n v="343046"/>
    <n v="0.30661301982824457"/>
  </r>
  <r>
    <x v="0"/>
    <s v="03"/>
    <x v="1"/>
    <x v="1"/>
    <x v="4"/>
    <n v="343046"/>
    <n v="7.6276126233799549E-2"/>
  </r>
  <r>
    <x v="0"/>
    <s v="03"/>
    <x v="1"/>
    <x v="2"/>
    <x v="5"/>
    <n v="343046"/>
    <n v="0.11944497239437277"/>
  </r>
  <r>
    <x v="0"/>
    <s v="07"/>
    <x v="2"/>
    <x v="0"/>
    <x v="6"/>
    <n v="313578"/>
    <n v="0.28410290262709753"/>
  </r>
  <r>
    <x v="0"/>
    <s v="07"/>
    <x v="2"/>
    <x v="1"/>
    <x v="7"/>
    <n v="313578"/>
    <n v="7.4924867178182142E-2"/>
  </r>
  <r>
    <x v="0"/>
    <s v="07"/>
    <x v="2"/>
    <x v="2"/>
    <x v="8"/>
    <n v="313578"/>
    <n v="0.12390346261536204"/>
  </r>
  <r>
    <x v="0"/>
    <s v="15"/>
    <x v="3"/>
    <x v="0"/>
    <x v="9"/>
    <n v="148380"/>
    <n v="0.38170184661005524"/>
  </r>
  <r>
    <x v="0"/>
    <s v="15"/>
    <x v="3"/>
    <x v="1"/>
    <x v="10"/>
    <n v="148380"/>
    <n v="6.7038145302601437E-2"/>
  </r>
  <r>
    <x v="0"/>
    <s v="15"/>
    <x v="3"/>
    <x v="2"/>
    <x v="11"/>
    <n v="148380"/>
    <n v="9.4502763175630139E-2"/>
  </r>
  <r>
    <x v="0"/>
    <s v="26"/>
    <x v="4"/>
    <x v="0"/>
    <x v="12"/>
    <n v="482984"/>
    <n v="0.27139497374654231"/>
  </r>
  <r>
    <x v="0"/>
    <s v="26"/>
    <x v="4"/>
    <x v="1"/>
    <x v="13"/>
    <n v="482984"/>
    <n v="7.3109502592218378E-2"/>
  </r>
  <r>
    <x v="0"/>
    <s v="26"/>
    <x v="4"/>
    <x v="2"/>
    <x v="14"/>
    <n v="482984"/>
    <n v="0.1559081253209216"/>
  </r>
  <r>
    <x v="0"/>
    <s v="38"/>
    <x v="5"/>
    <x v="0"/>
    <x v="15"/>
    <n v="1197038"/>
    <n v="0.24425405876839332"/>
  </r>
  <r>
    <x v="0"/>
    <s v="38"/>
    <x v="5"/>
    <x v="1"/>
    <x v="16"/>
    <n v="1197038"/>
    <n v="8.4866453696540958E-2"/>
  </r>
  <r>
    <x v="0"/>
    <s v="38"/>
    <x v="5"/>
    <x v="2"/>
    <x v="17"/>
    <n v="1197038"/>
    <n v="0.21285891508874405"/>
  </r>
  <r>
    <x v="0"/>
    <s v="42"/>
    <x v="6"/>
    <x v="0"/>
    <x v="18"/>
    <n v="746115"/>
    <n v="0.27390462596248566"/>
  </r>
  <r>
    <x v="0"/>
    <s v="42"/>
    <x v="6"/>
    <x v="1"/>
    <x v="19"/>
    <n v="746115"/>
    <n v="7.7053899197844833E-2"/>
  </r>
  <r>
    <x v="0"/>
    <s v="42"/>
    <x v="6"/>
    <x v="2"/>
    <x v="20"/>
    <n v="746115"/>
    <n v="0.13403343988527239"/>
  </r>
  <r>
    <x v="0"/>
    <s v="43"/>
    <x v="7"/>
    <x v="0"/>
    <x v="21"/>
    <n v="223122"/>
    <n v="0.25854698326476094"/>
  </r>
  <r>
    <x v="0"/>
    <s v="43"/>
    <x v="7"/>
    <x v="1"/>
    <x v="22"/>
    <n v="223122"/>
    <n v="6.5751427470173263E-2"/>
  </r>
  <r>
    <x v="0"/>
    <s v="43"/>
    <x v="7"/>
    <x v="2"/>
    <x v="23"/>
    <n v="223122"/>
    <n v="9.6245820672098678E-2"/>
  </r>
  <r>
    <x v="0"/>
    <s v="63"/>
    <x v="8"/>
    <x v="0"/>
    <x v="24"/>
    <n v="629416"/>
    <n v="0.25215201075282484"/>
  </r>
  <r>
    <x v="0"/>
    <s v="63"/>
    <x v="8"/>
    <x v="1"/>
    <x v="25"/>
    <n v="629416"/>
    <n v="9.9176220496460202E-2"/>
  </r>
  <r>
    <x v="0"/>
    <s v="63"/>
    <x v="8"/>
    <x v="2"/>
    <x v="26"/>
    <n v="629416"/>
    <n v="0.18440824510339743"/>
  </r>
  <r>
    <x v="0"/>
    <s v="69"/>
    <x v="9"/>
    <x v="0"/>
    <x v="27"/>
    <n v="1708671"/>
    <n v="0.24326453132288192"/>
  </r>
  <r>
    <x v="0"/>
    <s v="69"/>
    <x v="9"/>
    <x v="1"/>
    <x v="28"/>
    <n v="1708671"/>
    <n v="6.880819654573643E-2"/>
  </r>
  <r>
    <x v="0"/>
    <s v="69"/>
    <x v="9"/>
    <x v="2"/>
    <x v="29"/>
    <n v="1708671"/>
    <n v="9.5815976276298953E-2"/>
  </r>
  <r>
    <x v="0"/>
    <s v="73"/>
    <x v="10"/>
    <x v="0"/>
    <x v="30"/>
    <n v="411007"/>
    <n v="0.33418606009143398"/>
  </r>
  <r>
    <x v="0"/>
    <s v="73"/>
    <x v="10"/>
    <x v="1"/>
    <x v="31"/>
    <n v="411007"/>
    <n v="0.1032424508585012"/>
  </r>
  <r>
    <x v="0"/>
    <s v="73"/>
    <x v="10"/>
    <x v="2"/>
    <x v="32"/>
    <n v="411007"/>
    <n v="0.21843803146905039"/>
  </r>
  <r>
    <x v="0"/>
    <s v="74"/>
    <x v="11"/>
    <x v="0"/>
    <x v="33"/>
    <n v="725794"/>
    <n v="0.32439701898885909"/>
  </r>
  <r>
    <x v="0"/>
    <s v="74"/>
    <x v="11"/>
    <x v="1"/>
    <x v="34"/>
    <n v="725794"/>
    <n v="8.5261630710642411E-2"/>
  </r>
  <r>
    <x v="0"/>
    <s v="74"/>
    <x v="11"/>
    <x v="2"/>
    <x v="35"/>
    <n v="725794"/>
    <n v="0.19480546821825478"/>
  </r>
  <r>
    <x v="0"/>
    <s v="21"/>
    <x v="12"/>
    <x v="0"/>
    <x v="36"/>
    <n v="524144"/>
    <n v="0.2639892663084954"/>
  </r>
  <r>
    <x v="0"/>
    <s v="21"/>
    <x v="12"/>
    <x v="1"/>
    <x v="37"/>
    <n v="524144"/>
    <n v="9.955956759974359E-2"/>
  </r>
  <r>
    <x v="0"/>
    <s v="21"/>
    <x v="12"/>
    <x v="2"/>
    <x v="38"/>
    <n v="524144"/>
    <n v="0.154617299826002"/>
  </r>
  <r>
    <x v="0"/>
    <s v="25"/>
    <x v="13"/>
    <x v="0"/>
    <x v="39"/>
    <n v="525276"/>
    <n v="0.25977071101668459"/>
  </r>
  <r>
    <x v="0"/>
    <s v="25"/>
    <x v="13"/>
    <x v="1"/>
    <x v="40"/>
    <n v="525276"/>
    <n v="0.10759581629467176"/>
  </r>
  <r>
    <x v="0"/>
    <s v="25"/>
    <x v="13"/>
    <x v="2"/>
    <x v="41"/>
    <n v="525276"/>
    <n v="0.15975447193475431"/>
  </r>
  <r>
    <x v="0"/>
    <s v="39"/>
    <x v="14"/>
    <x v="0"/>
    <x v="42"/>
    <n v="261277"/>
    <n v="0.2100451245230158"/>
  </r>
  <r>
    <x v="0"/>
    <s v="39"/>
    <x v="14"/>
    <x v="1"/>
    <x v="43"/>
    <n v="261277"/>
    <n v="0.13621964428556665"/>
  </r>
  <r>
    <x v="0"/>
    <s v="39"/>
    <x v="14"/>
    <x v="2"/>
    <x v="44"/>
    <n v="261277"/>
    <n v="0.14828473229560965"/>
  </r>
  <r>
    <x v="0"/>
    <s v="58"/>
    <x v="15"/>
    <x v="0"/>
    <x v="45"/>
    <n v="220199"/>
    <n v="0.23935912515497346"/>
  </r>
  <r>
    <x v="0"/>
    <s v="58"/>
    <x v="15"/>
    <x v="1"/>
    <x v="46"/>
    <n v="220199"/>
    <n v="0.11369424929268526"/>
  </r>
  <r>
    <x v="0"/>
    <s v="58"/>
    <x v="15"/>
    <x v="2"/>
    <x v="47"/>
    <n v="220199"/>
    <n v="0.17374084350973437"/>
  </r>
  <r>
    <x v="0"/>
    <s v="70"/>
    <x v="16"/>
    <x v="0"/>
    <x v="48"/>
    <n v="239194"/>
    <n v="0.23484765504151442"/>
  </r>
  <r>
    <x v="0"/>
    <s v="70"/>
    <x v="16"/>
    <x v="1"/>
    <x v="49"/>
    <n v="239194"/>
    <n v="0.12115241184979557"/>
  </r>
  <r>
    <x v="0"/>
    <s v="70"/>
    <x v="16"/>
    <x v="2"/>
    <x v="50"/>
    <n v="239194"/>
    <n v="0.18881556393555024"/>
  </r>
  <r>
    <x v="0"/>
    <s v="71"/>
    <x v="17"/>
    <x v="0"/>
    <x v="51"/>
    <n v="554720"/>
    <n v="0.23103050187481974"/>
  </r>
  <r>
    <x v="0"/>
    <s v="71"/>
    <x v="17"/>
    <x v="1"/>
    <x v="52"/>
    <n v="554720"/>
    <n v="0.10913159792327662"/>
  </r>
  <r>
    <x v="0"/>
    <s v="71"/>
    <x v="17"/>
    <x v="2"/>
    <x v="53"/>
    <n v="554720"/>
    <n v="0.19912298096336892"/>
  </r>
  <r>
    <x v="0"/>
    <s v="89"/>
    <x v="18"/>
    <x v="0"/>
    <x v="54"/>
    <n v="343377"/>
    <n v="0.30988243242849695"/>
  </r>
  <r>
    <x v="0"/>
    <s v="89"/>
    <x v="18"/>
    <x v="1"/>
    <x v="55"/>
    <n v="343377"/>
    <n v="8.3991094336545544E-2"/>
  </r>
  <r>
    <x v="0"/>
    <s v="89"/>
    <x v="18"/>
    <x v="2"/>
    <x v="56"/>
    <n v="343377"/>
    <n v="0.12555456539022708"/>
  </r>
  <r>
    <x v="0"/>
    <s v="90"/>
    <x v="19"/>
    <x v="0"/>
    <x v="57"/>
    <n v="142461"/>
    <n v="0.28921543439959008"/>
  </r>
  <r>
    <x v="0"/>
    <s v="90"/>
    <x v="19"/>
    <x v="1"/>
    <x v="58"/>
    <n v="142461"/>
    <n v="0.13130646282140374"/>
  </r>
  <r>
    <x v="0"/>
    <s v="90"/>
    <x v="19"/>
    <x v="2"/>
    <x v="59"/>
    <n v="142461"/>
    <n v="6.2240051663262227E-2"/>
  </r>
  <r>
    <x v="0"/>
    <s v="22"/>
    <x v="20"/>
    <x v="0"/>
    <x v="60"/>
    <n v="587519"/>
    <n v="0.26893246005661092"/>
  </r>
  <r>
    <x v="0"/>
    <s v="22"/>
    <x v="20"/>
    <x v="1"/>
    <x v="61"/>
    <n v="587519"/>
    <n v="9.626675903247385E-2"/>
  </r>
  <r>
    <x v="0"/>
    <s v="22"/>
    <x v="20"/>
    <x v="2"/>
    <x v="62"/>
    <n v="587519"/>
    <n v="0.25915951654329478"/>
  </r>
  <r>
    <x v="0"/>
    <s v="29"/>
    <x v="21"/>
    <x v="0"/>
    <x v="63"/>
    <n v="893914"/>
    <n v="0.27800212324675527"/>
  </r>
  <r>
    <x v="0"/>
    <s v="29"/>
    <x v="21"/>
    <x v="1"/>
    <x v="64"/>
    <n v="893914"/>
    <n v="0.13808882062480282"/>
  </r>
  <r>
    <x v="0"/>
    <s v="29"/>
    <x v="21"/>
    <x v="2"/>
    <x v="65"/>
    <n v="893914"/>
    <n v="0.28552544204476044"/>
  </r>
  <r>
    <x v="0"/>
    <s v="35"/>
    <x v="22"/>
    <x v="0"/>
    <x v="66"/>
    <n v="977449"/>
    <n v="0.22616871059257312"/>
  </r>
  <r>
    <x v="0"/>
    <s v="35"/>
    <x v="22"/>
    <x v="1"/>
    <x v="67"/>
    <n v="977449"/>
    <n v="9.7131737819569117E-2"/>
  </r>
  <r>
    <x v="0"/>
    <s v="35"/>
    <x v="22"/>
    <x v="2"/>
    <x v="68"/>
    <n v="977449"/>
    <n v="0.17315656366726037"/>
  </r>
  <r>
    <x v="0"/>
    <s v="56"/>
    <x v="23"/>
    <x v="0"/>
    <x v="69"/>
    <n v="716182"/>
    <n v="0.25368592061794348"/>
  </r>
  <r>
    <x v="0"/>
    <s v="56"/>
    <x v="23"/>
    <x v="1"/>
    <x v="70"/>
    <n v="716182"/>
    <n v="0.11672760555277849"/>
  </r>
  <r>
    <x v="0"/>
    <s v="56"/>
    <x v="23"/>
    <x v="2"/>
    <x v="71"/>
    <n v="716182"/>
    <n v="0.2160406014113731"/>
  </r>
  <r>
    <x v="0"/>
    <s v="18"/>
    <x v="24"/>
    <x v="0"/>
    <x v="72"/>
    <n v="311022"/>
    <n v="0.26313804168193888"/>
  </r>
  <r>
    <x v="0"/>
    <s v="18"/>
    <x v="24"/>
    <x v="1"/>
    <x v="73"/>
    <n v="311022"/>
    <n v="0.10625007234214943"/>
  </r>
  <r>
    <x v="0"/>
    <s v="18"/>
    <x v="24"/>
    <x v="2"/>
    <x v="74"/>
    <n v="311022"/>
    <n v="0.15908864967751477"/>
  </r>
  <r>
    <x v="0"/>
    <s v="28"/>
    <x v="25"/>
    <x v="0"/>
    <x v="75"/>
    <n v="425502"/>
    <n v="0.27692969715771021"/>
  </r>
  <r>
    <x v="0"/>
    <s v="28"/>
    <x v="25"/>
    <x v="1"/>
    <x v="76"/>
    <n v="425502"/>
    <n v="9.8315472077687066E-2"/>
  </r>
  <r>
    <x v="0"/>
    <s v="28"/>
    <x v="25"/>
    <x v="2"/>
    <x v="77"/>
    <n v="425502"/>
    <n v="0.14006394799554409"/>
  </r>
  <r>
    <x v="0"/>
    <s v="36"/>
    <x v="26"/>
    <x v="0"/>
    <x v="78"/>
    <n v="232268"/>
    <n v="0.21496999156147209"/>
  </r>
  <r>
    <x v="0"/>
    <s v="36"/>
    <x v="26"/>
    <x v="1"/>
    <x v="79"/>
    <n v="232268"/>
    <n v="0.15491126629583069"/>
  </r>
  <r>
    <x v="0"/>
    <s v="36"/>
    <x v="26"/>
    <x v="2"/>
    <x v="80"/>
    <n v="232268"/>
    <n v="0.14601219281175193"/>
  </r>
  <r>
    <x v="0"/>
    <s v="37"/>
    <x v="27"/>
    <x v="0"/>
    <x v="81"/>
    <n v="588420"/>
    <n v="0.25192758573807827"/>
  </r>
  <r>
    <x v="0"/>
    <s v="37"/>
    <x v="27"/>
    <x v="1"/>
    <x v="82"/>
    <n v="588420"/>
    <n v="0.11787723054960743"/>
  </r>
  <r>
    <x v="0"/>
    <s v="37"/>
    <x v="27"/>
    <x v="2"/>
    <x v="83"/>
    <n v="588420"/>
    <n v="0.12250870126780192"/>
  </r>
  <r>
    <x v="0"/>
    <s v="41"/>
    <x v="28"/>
    <x v="0"/>
    <x v="84"/>
    <n v="327868"/>
    <n v="0.25290595605548577"/>
  </r>
  <r>
    <x v="0"/>
    <s v="41"/>
    <x v="28"/>
    <x v="1"/>
    <x v="85"/>
    <n v="327868"/>
    <n v="7.9856710627447633E-2"/>
  </r>
  <r>
    <x v="0"/>
    <s v="41"/>
    <x v="28"/>
    <x v="2"/>
    <x v="86"/>
    <n v="327868"/>
    <n v="0.19583307916600584"/>
  </r>
  <r>
    <x v="0"/>
    <s v="45"/>
    <x v="29"/>
    <x v="0"/>
    <x v="87"/>
    <n v="653510"/>
    <n v="0.26217670731893927"/>
  </r>
  <r>
    <x v="0"/>
    <s v="45"/>
    <x v="29"/>
    <x v="1"/>
    <x v="88"/>
    <n v="653510"/>
    <n v="7.0668696729965869E-2"/>
  </r>
  <r>
    <x v="0"/>
    <s v="45"/>
    <x v="29"/>
    <x v="2"/>
    <x v="89"/>
    <n v="653510"/>
    <n v="0.18428229101314442"/>
  </r>
  <r>
    <x v="0"/>
    <s v="2A"/>
    <x v="30"/>
    <x v="0"/>
    <x v="90"/>
    <n v="141330"/>
    <n v="0.50969136064529819"/>
  </r>
  <r>
    <x v="0"/>
    <s v="2A"/>
    <x v="30"/>
    <x v="1"/>
    <x v="91"/>
    <n v="141330"/>
    <n v="3.0563291587065736E-2"/>
  </r>
  <r>
    <x v="0"/>
    <s v="2A"/>
    <x v="30"/>
    <x v="2"/>
    <x v="92"/>
    <n v="141330"/>
    <n v="6.6820774074860256E-2"/>
  </r>
  <r>
    <x v="0"/>
    <s v="2B"/>
    <x v="31"/>
    <x v="0"/>
    <x v="93"/>
    <n v="164344"/>
    <n v="0.43863335442729878"/>
  </r>
  <r>
    <x v="0"/>
    <s v="2B"/>
    <x v="31"/>
    <x v="1"/>
    <x v="94"/>
    <n v="164344"/>
    <n v="3.5526517548556687E-2"/>
  </r>
  <r>
    <x v="0"/>
    <s v="2B"/>
    <x v="31"/>
    <x v="2"/>
    <x v="95"/>
    <n v="164344"/>
    <n v="9.7630883999415857E-2"/>
  </r>
  <r>
    <x v="0"/>
    <s v="08"/>
    <x v="32"/>
    <x v="0"/>
    <x v="96"/>
    <n v="283296"/>
    <n v="0.29295835451259455"/>
  </r>
  <r>
    <x v="0"/>
    <s v="08"/>
    <x v="32"/>
    <x v="1"/>
    <x v="97"/>
    <n v="283296"/>
    <n v="0.11044949452163109"/>
  </r>
  <r>
    <x v="0"/>
    <s v="08"/>
    <x v="32"/>
    <x v="2"/>
    <x v="98"/>
    <n v="283296"/>
    <n v="0.11683737151248164"/>
  </r>
  <r>
    <x v="0"/>
    <s v="10"/>
    <x v="33"/>
    <x v="0"/>
    <x v="99"/>
    <n v="303298"/>
    <n v="0.30114896900078475"/>
  </r>
  <r>
    <x v="0"/>
    <s v="10"/>
    <x v="33"/>
    <x v="1"/>
    <x v="100"/>
    <n v="303298"/>
    <n v="0.11867905492288114"/>
  </r>
  <r>
    <x v="0"/>
    <s v="10"/>
    <x v="33"/>
    <x v="2"/>
    <x v="101"/>
    <n v="303298"/>
    <n v="0.10810486716035055"/>
  </r>
  <r>
    <x v="0"/>
    <s v="51"/>
    <x v="34"/>
    <x v="0"/>
    <x v="102"/>
    <n v="566145"/>
    <n v="0.2652930256383082"/>
  </r>
  <r>
    <x v="0"/>
    <s v="51"/>
    <x v="34"/>
    <x v="1"/>
    <x v="103"/>
    <n v="566145"/>
    <n v="0.11548219978980649"/>
  </r>
  <r>
    <x v="0"/>
    <s v="51"/>
    <x v="34"/>
    <x v="2"/>
    <x v="104"/>
    <n v="566145"/>
    <n v="0.12435243621333757"/>
  </r>
  <r>
    <x v="0"/>
    <s v="52"/>
    <x v="35"/>
    <x v="0"/>
    <x v="105"/>
    <n v="185214"/>
    <n v="0.28718763160452232"/>
  </r>
  <r>
    <x v="0"/>
    <s v="52"/>
    <x v="35"/>
    <x v="1"/>
    <x v="106"/>
    <n v="185214"/>
    <n v="8.8352122409753042E-2"/>
  </r>
  <r>
    <x v="0"/>
    <s v="52"/>
    <x v="35"/>
    <x v="2"/>
    <x v="107"/>
    <n v="185214"/>
    <n v="0.11854325266988457"/>
  </r>
  <r>
    <x v="0"/>
    <s v="54"/>
    <x v="36"/>
    <x v="0"/>
    <x v="108"/>
    <n v="731019"/>
    <n v="0.29457878659788594"/>
  </r>
  <r>
    <x v="0"/>
    <s v="54"/>
    <x v="36"/>
    <x v="1"/>
    <x v="109"/>
    <n v="731019"/>
    <n v="0.10319205109579915"/>
  </r>
  <r>
    <x v="0"/>
    <s v="54"/>
    <x v="36"/>
    <x v="2"/>
    <x v="110"/>
    <n v="731019"/>
    <n v="0.10630930249418961"/>
  </r>
  <r>
    <x v="0"/>
    <s v="55"/>
    <x v="37"/>
    <x v="0"/>
    <x v="111"/>
    <n v="194003"/>
    <n v="0.2658171265392803"/>
  </r>
  <r>
    <x v="0"/>
    <s v="55"/>
    <x v="37"/>
    <x v="1"/>
    <x v="112"/>
    <n v="194003"/>
    <n v="8.3538553527522763E-2"/>
  </r>
  <r>
    <x v="0"/>
    <s v="55"/>
    <x v="37"/>
    <x v="2"/>
    <x v="113"/>
    <n v="194003"/>
    <n v="0.1080185357958382"/>
  </r>
  <r>
    <x v="0"/>
    <s v="57"/>
    <x v="38"/>
    <x v="0"/>
    <x v="114"/>
    <n v="1044898"/>
    <n v="0.31115298335339908"/>
  </r>
  <r>
    <x v="0"/>
    <s v="57"/>
    <x v="38"/>
    <x v="1"/>
    <x v="115"/>
    <n v="1044898"/>
    <n v="9.4569355094947072E-2"/>
  </r>
  <r>
    <x v="0"/>
    <s v="57"/>
    <x v="38"/>
    <x v="2"/>
    <x v="116"/>
    <n v="1044898"/>
    <n v="0.12496792988406524"/>
  </r>
  <r>
    <x v="0"/>
    <s v="67"/>
    <x v="39"/>
    <x v="0"/>
    <x v="117"/>
    <n v="1094439"/>
    <n v="0.26796289240423632"/>
  </r>
  <r>
    <x v="0"/>
    <s v="67"/>
    <x v="39"/>
    <x v="1"/>
    <x v="118"/>
    <n v="1094439"/>
    <n v="8.3101068218511959E-2"/>
  </r>
  <r>
    <x v="0"/>
    <s v="67"/>
    <x v="39"/>
    <x v="2"/>
    <x v="119"/>
    <n v="1094439"/>
    <n v="0.12781322668508707"/>
  </r>
  <r>
    <x v="0"/>
    <s v="68"/>
    <x v="40"/>
    <x v="0"/>
    <x v="120"/>
    <n v="748614"/>
    <n v="0.25641795371179271"/>
  </r>
  <r>
    <x v="0"/>
    <s v="68"/>
    <x v="40"/>
    <x v="1"/>
    <x v="121"/>
    <n v="748614"/>
    <n v="0.11749056255961016"/>
  </r>
  <r>
    <x v="0"/>
    <s v="68"/>
    <x v="40"/>
    <x v="2"/>
    <x v="122"/>
    <n v="748614"/>
    <n v="0.13046906683551202"/>
  </r>
  <r>
    <x v="0"/>
    <s v="88"/>
    <x v="41"/>
    <x v="0"/>
    <x v="123"/>
    <n v="380192"/>
    <n v="0.27455064809359481"/>
  </r>
  <r>
    <x v="0"/>
    <s v="88"/>
    <x v="41"/>
    <x v="1"/>
    <x v="124"/>
    <n v="380192"/>
    <n v="8.0454849128861208E-2"/>
  </r>
  <r>
    <x v="0"/>
    <s v="88"/>
    <x v="41"/>
    <x v="2"/>
    <x v="125"/>
    <n v="380192"/>
    <n v="0.14106688199646494"/>
  </r>
  <r>
    <x v="0"/>
    <s v="02"/>
    <x v="42"/>
    <x v="0"/>
    <x v="126"/>
    <n v="539870"/>
    <n v="0.26823079630281366"/>
  </r>
  <r>
    <x v="0"/>
    <s v="02"/>
    <x v="42"/>
    <x v="1"/>
    <x v="127"/>
    <n v="539870"/>
    <n v="0.11514327523292645"/>
  </r>
  <r>
    <x v="0"/>
    <s v="02"/>
    <x v="42"/>
    <x v="2"/>
    <x v="128"/>
    <n v="539870"/>
    <n v="0.12568573915942727"/>
  </r>
  <r>
    <x v="0"/>
    <s v="59"/>
    <x v="43"/>
    <x v="0"/>
    <x v="129"/>
    <n v="2571940"/>
    <n v="0.27370147826154578"/>
  </r>
  <r>
    <x v="0"/>
    <s v="59"/>
    <x v="43"/>
    <x v="1"/>
    <x v="130"/>
    <n v="2571940"/>
    <n v="0.20320491146760811"/>
  </r>
  <r>
    <x v="0"/>
    <s v="59"/>
    <x v="43"/>
    <x v="2"/>
    <x v="131"/>
    <n v="2571940"/>
    <n v="8.8444267751191713E-2"/>
  </r>
  <r>
    <x v="0"/>
    <s v="60"/>
    <x v="44"/>
    <x v="0"/>
    <x v="132"/>
    <n v="801512"/>
    <n v="0.30941405743145456"/>
  </r>
  <r>
    <x v="0"/>
    <s v="60"/>
    <x v="44"/>
    <x v="1"/>
    <x v="133"/>
    <n v="801512"/>
    <n v="0.13085181506951862"/>
  </r>
  <r>
    <x v="0"/>
    <s v="60"/>
    <x v="44"/>
    <x v="2"/>
    <x v="134"/>
    <n v="801512"/>
    <n v="0.13213485262853208"/>
  </r>
  <r>
    <x v="0"/>
    <s v="62"/>
    <x v="45"/>
    <x v="0"/>
    <x v="135"/>
    <n v="1461257"/>
    <n v="0.30968986290570377"/>
  </r>
  <r>
    <x v="0"/>
    <s v="62"/>
    <x v="45"/>
    <x v="1"/>
    <x v="136"/>
    <n v="1461257"/>
    <n v="0.18891492735364143"/>
  </r>
  <r>
    <x v="0"/>
    <s v="62"/>
    <x v="45"/>
    <x v="2"/>
    <x v="137"/>
    <n v="1461257"/>
    <n v="0.12129457720305188"/>
  </r>
  <r>
    <x v="0"/>
    <s v="80"/>
    <x v="46"/>
    <x v="0"/>
    <x v="138"/>
    <n v="569775"/>
    <n v="0.31398104514940106"/>
  </r>
  <r>
    <x v="0"/>
    <s v="80"/>
    <x v="46"/>
    <x v="1"/>
    <x v="139"/>
    <n v="569775"/>
    <n v="0.12007446799175112"/>
  </r>
  <r>
    <x v="0"/>
    <s v="80"/>
    <x v="46"/>
    <x v="2"/>
    <x v="140"/>
    <n v="569775"/>
    <n v="0.15604085823351321"/>
  </r>
  <r>
    <x v="0"/>
    <s v="75"/>
    <x v="47"/>
    <x v="0"/>
    <x v="141"/>
    <n v="2234105"/>
    <n v="0.37675758301422718"/>
  </r>
  <r>
    <x v="0"/>
    <s v="75"/>
    <x v="47"/>
    <x v="1"/>
    <x v="142"/>
    <n v="2234105"/>
    <n v="0.10403907157452313"/>
  </r>
  <r>
    <x v="0"/>
    <s v="75"/>
    <x v="47"/>
    <x v="2"/>
    <x v="143"/>
    <n v="2234105"/>
    <n v="4.8337387902538153E-3"/>
  </r>
  <r>
    <x v="0"/>
    <s v="77"/>
    <x v="48"/>
    <x v="0"/>
    <x v="144"/>
    <n v="1313414"/>
    <n v="0.30588097888403809"/>
  </r>
  <r>
    <x v="0"/>
    <s v="77"/>
    <x v="48"/>
    <x v="1"/>
    <x v="145"/>
    <n v="1313414"/>
    <n v="0.11879130266618142"/>
  </r>
  <r>
    <x v="0"/>
    <s v="77"/>
    <x v="48"/>
    <x v="2"/>
    <x v="146"/>
    <n v="1313414"/>
    <n v="9.2494362021418988E-2"/>
  </r>
  <r>
    <x v="0"/>
    <s v="78"/>
    <x v="49"/>
    <x v="0"/>
    <x v="147"/>
    <n v="1407560"/>
    <n v="0.2720153883315809"/>
  </r>
  <r>
    <x v="0"/>
    <s v="78"/>
    <x v="49"/>
    <x v="1"/>
    <x v="148"/>
    <n v="1407560"/>
    <n v="0.13379470857370199"/>
  </r>
  <r>
    <x v="0"/>
    <s v="78"/>
    <x v="49"/>
    <x v="2"/>
    <x v="149"/>
    <n v="1407560"/>
    <n v="4.2169477677683365E-2"/>
  </r>
  <r>
    <x v="0"/>
    <s v="91"/>
    <x v="50"/>
    <x v="0"/>
    <x v="150"/>
    <n v="1208004"/>
    <n v="0.28307763053764723"/>
  </r>
  <r>
    <x v="0"/>
    <s v="91"/>
    <x v="50"/>
    <x v="1"/>
    <x v="151"/>
    <n v="1208004"/>
    <n v="0.15044234125052566"/>
  </r>
  <r>
    <x v="0"/>
    <s v="91"/>
    <x v="50"/>
    <x v="2"/>
    <x v="152"/>
    <n v="1208004"/>
    <n v="5.5193004327800235E-2"/>
  </r>
  <r>
    <x v="0"/>
    <s v="92"/>
    <x v="51"/>
    <x v="0"/>
    <x v="153"/>
    <n v="1561745"/>
    <n v="0.31254682422546576"/>
  </r>
  <r>
    <x v="0"/>
    <s v="92"/>
    <x v="51"/>
    <x v="1"/>
    <x v="154"/>
    <n v="1561745"/>
    <n v="8.3689821321662625E-2"/>
  </r>
  <r>
    <x v="0"/>
    <s v="92"/>
    <x v="51"/>
    <x v="2"/>
    <x v="155"/>
    <n v="1561745"/>
    <n v="8.8803037627781748E-3"/>
  </r>
  <r>
    <x v="0"/>
    <s v="93"/>
    <x v="52"/>
    <x v="0"/>
    <x v="156"/>
    <n v="1515983"/>
    <n v="0.32398865950343769"/>
  </r>
  <r>
    <x v="0"/>
    <s v="93"/>
    <x v="52"/>
    <x v="1"/>
    <x v="157"/>
    <n v="1515983"/>
    <n v="7.9902208665928315E-2"/>
  </r>
  <r>
    <x v="0"/>
    <s v="93"/>
    <x v="52"/>
    <x v="2"/>
    <x v="158"/>
    <n v="1515983"/>
    <n v="2.57651042261028E-2"/>
  </r>
  <r>
    <x v="0"/>
    <s v="94"/>
    <x v="53"/>
    <x v="0"/>
    <x v="159"/>
    <n v="1318537"/>
    <n v="0.29380859998619685"/>
  </r>
  <r>
    <x v="0"/>
    <s v="94"/>
    <x v="53"/>
    <x v="1"/>
    <x v="160"/>
    <n v="1318537"/>
    <n v="9.9472347002776559E-2"/>
  </r>
  <r>
    <x v="0"/>
    <s v="94"/>
    <x v="53"/>
    <x v="2"/>
    <x v="161"/>
    <n v="1318537"/>
    <n v="2.4342547839006412E-2"/>
  </r>
  <r>
    <x v="0"/>
    <s v="95"/>
    <x v="54"/>
    <x v="0"/>
    <x v="162"/>
    <n v="1168892"/>
    <n v="0.31047207098688329"/>
  </r>
  <r>
    <x v="0"/>
    <s v="95"/>
    <x v="54"/>
    <x v="1"/>
    <x v="163"/>
    <n v="1168892"/>
    <n v="0.10027009338758414"/>
  </r>
  <r>
    <x v="0"/>
    <s v="95"/>
    <x v="54"/>
    <x v="2"/>
    <x v="164"/>
    <n v="1168892"/>
    <n v="5.2178079754160347E-2"/>
  </r>
  <r>
    <x v="0"/>
    <s v="14"/>
    <x v="55"/>
    <x v="0"/>
    <x v="165"/>
    <n v="680908"/>
    <n v="0.3108356635551352"/>
  </r>
  <r>
    <x v="0"/>
    <s v="14"/>
    <x v="55"/>
    <x v="1"/>
    <x v="166"/>
    <n v="680908"/>
    <n v="0.13951522085215623"/>
  </r>
  <r>
    <x v="0"/>
    <s v="14"/>
    <x v="55"/>
    <x v="2"/>
    <x v="167"/>
    <n v="680908"/>
    <n v="0.17162231902107186"/>
  </r>
  <r>
    <x v="0"/>
    <s v="27"/>
    <x v="56"/>
    <x v="0"/>
    <x v="168"/>
    <n v="582822"/>
    <n v="0.28679739268593152"/>
  </r>
  <r>
    <x v="0"/>
    <s v="27"/>
    <x v="56"/>
    <x v="1"/>
    <x v="169"/>
    <n v="582822"/>
    <n v="8.9268318629015381E-2"/>
  </r>
  <r>
    <x v="0"/>
    <s v="27"/>
    <x v="56"/>
    <x v="2"/>
    <x v="170"/>
    <n v="582822"/>
    <n v="0.21558012566443957"/>
  </r>
  <r>
    <x v="0"/>
    <s v="50"/>
    <x v="57"/>
    <x v="0"/>
    <x v="171"/>
    <n v="497762"/>
    <n v="0.27624684085968793"/>
  </r>
  <r>
    <x v="0"/>
    <s v="50"/>
    <x v="57"/>
    <x v="1"/>
    <x v="172"/>
    <n v="497762"/>
    <n v="0.11679075542126559"/>
  </r>
  <r>
    <x v="0"/>
    <s v="50"/>
    <x v="57"/>
    <x v="2"/>
    <x v="173"/>
    <n v="497762"/>
    <n v="0.23735226875494714"/>
  </r>
  <r>
    <x v="0"/>
    <s v="61"/>
    <x v="58"/>
    <x v="0"/>
    <x v="174"/>
    <n v="292210"/>
    <n v="0.26588754662742548"/>
  </r>
  <r>
    <x v="0"/>
    <s v="61"/>
    <x v="58"/>
    <x v="1"/>
    <x v="175"/>
    <n v="292210"/>
    <n v="7.5762636460080079E-2"/>
  </r>
  <r>
    <x v="0"/>
    <s v="61"/>
    <x v="58"/>
    <x v="2"/>
    <x v="176"/>
    <n v="292210"/>
    <n v="0.19869860716607921"/>
  </r>
  <r>
    <x v="0"/>
    <s v="76"/>
    <x v="59"/>
    <x v="0"/>
    <x v="177"/>
    <n v="1250120"/>
    <n v="0.31405817841487216"/>
  </r>
  <r>
    <x v="0"/>
    <s v="76"/>
    <x v="59"/>
    <x v="1"/>
    <x v="178"/>
    <n v="1250120"/>
    <n v="0.1191301555050715"/>
  </r>
  <r>
    <x v="0"/>
    <s v="76"/>
    <x v="59"/>
    <x v="2"/>
    <x v="179"/>
    <n v="1250120"/>
    <n v="0.16576932614469009"/>
  </r>
  <r>
    <x v="0"/>
    <s v="16"/>
    <x v="60"/>
    <x v="0"/>
    <x v="180"/>
    <n v="351563"/>
    <n v="0.23179885255274302"/>
  </r>
  <r>
    <x v="0"/>
    <s v="16"/>
    <x v="60"/>
    <x v="1"/>
    <x v="181"/>
    <n v="351563"/>
    <n v="9.4324203627799294E-2"/>
  </r>
  <r>
    <x v="0"/>
    <s v="16"/>
    <x v="60"/>
    <x v="2"/>
    <x v="182"/>
    <n v="351563"/>
    <n v="0.17874119290141455"/>
  </r>
  <r>
    <x v="0"/>
    <s v="17"/>
    <x v="61"/>
    <x v="0"/>
    <x v="183"/>
    <n v="616607"/>
    <n v="0.33179582781252892"/>
  </r>
  <r>
    <x v="0"/>
    <s v="17"/>
    <x v="61"/>
    <x v="1"/>
    <x v="184"/>
    <n v="616607"/>
    <n v="0.10714918902964125"/>
  </r>
  <r>
    <x v="0"/>
    <s v="17"/>
    <x v="61"/>
    <x v="2"/>
    <x v="185"/>
    <n v="616607"/>
    <n v="0.21213745546190685"/>
  </r>
  <r>
    <x v="0"/>
    <s v="19"/>
    <x v="62"/>
    <x v="0"/>
    <x v="186"/>
    <n v="243352"/>
    <n v="0.30716361484598442"/>
  </r>
  <r>
    <x v="0"/>
    <s v="19"/>
    <x v="62"/>
    <x v="1"/>
    <x v="187"/>
    <n v="243352"/>
    <n v="6.1648887208652484E-2"/>
  </r>
  <r>
    <x v="0"/>
    <s v="19"/>
    <x v="62"/>
    <x v="2"/>
    <x v="188"/>
    <n v="243352"/>
    <n v="0.14394646438081463"/>
  </r>
  <r>
    <x v="0"/>
    <s v="23"/>
    <x v="63"/>
    <x v="0"/>
    <x v="189"/>
    <n v="123584"/>
    <n v="0.25001407949249094"/>
  </r>
  <r>
    <x v="0"/>
    <s v="23"/>
    <x v="63"/>
    <x v="1"/>
    <x v="190"/>
    <n v="123584"/>
    <n v="9.0797514241325747E-2"/>
  </r>
  <r>
    <x v="0"/>
    <s v="23"/>
    <x v="63"/>
    <x v="2"/>
    <x v="191"/>
    <n v="123584"/>
    <n v="0.11619416752977732"/>
  </r>
  <r>
    <x v="0"/>
    <s v="24"/>
    <x v="64"/>
    <x v="0"/>
    <x v="192"/>
    <n v="412082"/>
    <n v="0.28493074193971102"/>
  </r>
  <r>
    <x v="0"/>
    <s v="24"/>
    <x v="64"/>
    <x v="1"/>
    <x v="193"/>
    <n v="412082"/>
    <n v="8.4632888599841791E-2"/>
  </r>
  <r>
    <x v="0"/>
    <s v="24"/>
    <x v="64"/>
    <x v="2"/>
    <x v="194"/>
    <n v="412082"/>
    <n v="0.24830487621395742"/>
  </r>
  <r>
    <x v="0"/>
    <s v="33"/>
    <x v="65"/>
    <x v="0"/>
    <x v="195"/>
    <n v="1434661"/>
    <n v="0.27948886182868288"/>
  </r>
  <r>
    <x v="0"/>
    <s v="33"/>
    <x v="65"/>
    <x v="1"/>
    <x v="196"/>
    <n v="1434661"/>
    <n v="9.4766854330047307E-2"/>
  </r>
  <r>
    <x v="0"/>
    <s v="33"/>
    <x v="65"/>
    <x v="2"/>
    <x v="197"/>
    <n v="1434661"/>
    <n v="0.18185995855466902"/>
  </r>
  <r>
    <x v="0"/>
    <s v="40"/>
    <x v="66"/>
    <x v="0"/>
    <x v="198"/>
    <n v="379341"/>
    <n v="0.3467964970830994"/>
  </r>
  <r>
    <x v="0"/>
    <s v="40"/>
    <x v="66"/>
    <x v="1"/>
    <x v="199"/>
    <n v="379341"/>
    <n v="7.7152983727042421E-2"/>
  </r>
  <r>
    <x v="0"/>
    <s v="40"/>
    <x v="66"/>
    <x v="2"/>
    <x v="200"/>
    <n v="379341"/>
    <n v="0.39402706272193094"/>
  </r>
  <r>
    <x v="0"/>
    <s v="47"/>
    <x v="67"/>
    <x v="0"/>
    <x v="201"/>
    <n v="329697"/>
    <n v="0.2887058116998335"/>
  </r>
  <r>
    <x v="0"/>
    <s v="47"/>
    <x v="67"/>
    <x v="1"/>
    <x v="202"/>
    <n v="329697"/>
    <n v="0.10116782985589801"/>
  </r>
  <r>
    <x v="0"/>
    <s v="47"/>
    <x v="67"/>
    <x v="2"/>
    <x v="203"/>
    <n v="329697"/>
    <n v="0.14087501554457577"/>
  </r>
  <r>
    <x v="0"/>
    <s v="64"/>
    <x v="68"/>
    <x v="0"/>
    <x v="204"/>
    <n v="650356"/>
    <n v="0.28781139868010752"/>
  </r>
  <r>
    <x v="0"/>
    <s v="64"/>
    <x v="68"/>
    <x v="1"/>
    <x v="205"/>
    <n v="650356"/>
    <n v="9.9892704918536926E-2"/>
  </r>
  <r>
    <x v="0"/>
    <s v="64"/>
    <x v="68"/>
    <x v="2"/>
    <x v="206"/>
    <n v="650356"/>
    <n v="0.15632289084747431"/>
  </r>
  <r>
    <x v="0"/>
    <s v="79"/>
    <x v="69"/>
    <x v="0"/>
    <x v="207"/>
    <n v="366339"/>
    <n v="0.21211069528496829"/>
  </r>
  <r>
    <x v="0"/>
    <s v="79"/>
    <x v="69"/>
    <x v="1"/>
    <x v="208"/>
    <n v="366339"/>
    <n v="0.10410928129410191"/>
  </r>
  <r>
    <x v="0"/>
    <s v="79"/>
    <x v="69"/>
    <x v="2"/>
    <x v="209"/>
    <n v="366339"/>
    <n v="0.19703367645814396"/>
  </r>
  <r>
    <x v="0"/>
    <s v="86"/>
    <x v="70"/>
    <x v="0"/>
    <x v="210"/>
    <n v="426066"/>
    <n v="0.23350438664432271"/>
  </r>
  <r>
    <x v="0"/>
    <s v="86"/>
    <x v="70"/>
    <x v="1"/>
    <x v="211"/>
    <n v="426066"/>
    <n v="9.0704374439640814E-2"/>
  </r>
  <r>
    <x v="0"/>
    <s v="86"/>
    <x v="70"/>
    <x v="2"/>
    <x v="212"/>
    <n v="426066"/>
    <n v="0.18576959907619947"/>
  </r>
  <r>
    <x v="0"/>
    <s v="87"/>
    <x v="71"/>
    <x v="0"/>
    <x v="213"/>
    <n v="374849"/>
    <n v="0.24949958516629361"/>
  </r>
  <r>
    <x v="0"/>
    <s v="87"/>
    <x v="71"/>
    <x v="1"/>
    <x v="214"/>
    <n v="374849"/>
    <n v="8.8426753172610839E-2"/>
  </r>
  <r>
    <x v="0"/>
    <s v="87"/>
    <x v="71"/>
    <x v="2"/>
    <x v="215"/>
    <n v="374849"/>
    <n v="0.14271517330978606"/>
  </r>
  <r>
    <x v="0"/>
    <s v="09"/>
    <x v="72"/>
    <x v="0"/>
    <x v="216"/>
    <n v="151117"/>
    <n v="0.31956609779177725"/>
  </r>
  <r>
    <x v="0"/>
    <s v="09"/>
    <x v="72"/>
    <x v="1"/>
    <x v="217"/>
    <n v="151117"/>
    <n v="0.17271948225547093"/>
  </r>
  <r>
    <x v="0"/>
    <s v="09"/>
    <x v="72"/>
    <x v="2"/>
    <x v="218"/>
    <n v="151117"/>
    <n v="0.16398578584805151"/>
  </r>
  <r>
    <x v="0"/>
    <s v="11"/>
    <x v="73"/>
    <x v="0"/>
    <x v="219"/>
    <n v="353980"/>
    <n v="0.36240180236171537"/>
  </r>
  <r>
    <x v="0"/>
    <s v="11"/>
    <x v="73"/>
    <x v="1"/>
    <x v="220"/>
    <n v="353980"/>
    <n v="7.132024408158652E-2"/>
  </r>
  <r>
    <x v="0"/>
    <s v="11"/>
    <x v="73"/>
    <x v="2"/>
    <x v="221"/>
    <n v="353980"/>
    <n v="0.18350062150403978"/>
  </r>
  <r>
    <x v="0"/>
    <s v="12"/>
    <x v="74"/>
    <x v="0"/>
    <x v="222"/>
    <n v="277048"/>
    <n v="0.24231342583234672"/>
  </r>
  <r>
    <x v="0"/>
    <s v="12"/>
    <x v="74"/>
    <x v="1"/>
    <x v="223"/>
    <n v="277048"/>
    <n v="0.10582689642228062"/>
  </r>
  <r>
    <x v="0"/>
    <s v="12"/>
    <x v="74"/>
    <x v="2"/>
    <x v="224"/>
    <n v="277048"/>
    <n v="0.130213320435448"/>
  </r>
  <r>
    <x v="0"/>
    <s v="30"/>
    <x v="75"/>
    <x v="0"/>
    <x v="225"/>
    <n v="701883"/>
    <n v="0.30379594604798804"/>
  </r>
  <r>
    <x v="0"/>
    <s v="30"/>
    <x v="75"/>
    <x v="1"/>
    <x v="226"/>
    <n v="701883"/>
    <n v="8.3099975352017352E-2"/>
  </r>
  <r>
    <x v="0"/>
    <s v="30"/>
    <x v="75"/>
    <x v="2"/>
    <x v="227"/>
    <n v="701883"/>
    <n v="0.18029601799730155"/>
  </r>
  <r>
    <x v="0"/>
    <s v="31"/>
    <x v="76"/>
    <x v="0"/>
    <x v="228"/>
    <n v="1230820"/>
    <n v="0.28542305942379875"/>
  </r>
  <r>
    <x v="0"/>
    <s v="31"/>
    <x v="76"/>
    <x v="1"/>
    <x v="229"/>
    <n v="1230820"/>
    <n v="0.11356284428267335"/>
  </r>
  <r>
    <x v="0"/>
    <s v="31"/>
    <x v="76"/>
    <x v="2"/>
    <x v="230"/>
    <n v="1230820"/>
    <n v="8.8207390195154445E-2"/>
  </r>
  <r>
    <x v="0"/>
    <s v="32"/>
    <x v="77"/>
    <x v="0"/>
    <x v="231"/>
    <n v="187181"/>
    <n v="0.26010503202782337"/>
  </r>
  <r>
    <x v="0"/>
    <s v="32"/>
    <x v="77"/>
    <x v="1"/>
    <x v="232"/>
    <n v="187181"/>
    <n v="8.459127796090414E-2"/>
  </r>
  <r>
    <x v="0"/>
    <s v="32"/>
    <x v="77"/>
    <x v="2"/>
    <x v="233"/>
    <n v="187181"/>
    <n v="0.13370513032839873"/>
  </r>
  <r>
    <x v="0"/>
    <s v="34"/>
    <x v="78"/>
    <x v="0"/>
    <x v="234"/>
    <n v="1031974"/>
    <n v="0.34516911278772527"/>
  </r>
  <r>
    <x v="0"/>
    <s v="34"/>
    <x v="78"/>
    <x v="1"/>
    <x v="235"/>
    <n v="1031974"/>
    <n v="9.6563818468294746E-2"/>
  </r>
  <r>
    <x v="0"/>
    <s v="34"/>
    <x v="78"/>
    <x v="2"/>
    <x v="236"/>
    <n v="1031974"/>
    <n v="0.1963863527569493"/>
  </r>
  <r>
    <x v="0"/>
    <s v="46"/>
    <x v="79"/>
    <x v="0"/>
    <x v="237"/>
    <n v="173562"/>
    <n v="0.25090284739747176"/>
  </r>
  <r>
    <x v="0"/>
    <s v="46"/>
    <x v="79"/>
    <x v="1"/>
    <x v="238"/>
    <n v="173562"/>
    <n v="0.1228439981101854"/>
  </r>
  <r>
    <x v="0"/>
    <s v="46"/>
    <x v="79"/>
    <x v="2"/>
    <x v="239"/>
    <n v="173562"/>
    <n v="0.15497055807146726"/>
  </r>
  <r>
    <x v="0"/>
    <s v="48"/>
    <x v="80"/>
    <x v="0"/>
    <x v="240"/>
    <n v="77163"/>
    <n v="0.29020463175356065"/>
  </r>
  <r>
    <x v="0"/>
    <s v="48"/>
    <x v="80"/>
    <x v="1"/>
    <x v="241"/>
    <n v="77163"/>
    <n v="7.5911382398299712E-2"/>
  </r>
  <r>
    <x v="0"/>
    <s v="48"/>
    <x v="80"/>
    <x v="2"/>
    <x v="242"/>
    <n v="77163"/>
    <n v="0.15002008734756295"/>
  </r>
  <r>
    <x v="0"/>
    <s v="65"/>
    <x v="81"/>
    <x v="0"/>
    <x v="243"/>
    <n v="229670"/>
    <n v="0.32317886532851486"/>
  </r>
  <r>
    <x v="0"/>
    <s v="65"/>
    <x v="81"/>
    <x v="1"/>
    <x v="244"/>
    <n v="229670"/>
    <n v="9.8634693255540556E-2"/>
  </r>
  <r>
    <x v="0"/>
    <s v="65"/>
    <x v="81"/>
    <x v="2"/>
    <x v="245"/>
    <n v="229670"/>
    <n v="0.18512822745678584"/>
  </r>
  <r>
    <x v="0"/>
    <s v="66"/>
    <x v="82"/>
    <x v="0"/>
    <x v="246"/>
    <n v="445890"/>
    <n v="0.38382253470586919"/>
  </r>
  <r>
    <x v="0"/>
    <s v="66"/>
    <x v="82"/>
    <x v="1"/>
    <x v="247"/>
    <n v="445890"/>
    <n v="9.5999506604767998E-2"/>
  </r>
  <r>
    <x v="0"/>
    <s v="66"/>
    <x v="82"/>
    <x v="2"/>
    <x v="248"/>
    <n v="445890"/>
    <n v="0.13801217789140818"/>
  </r>
  <r>
    <x v="0"/>
    <s v="81"/>
    <x v="83"/>
    <x v="0"/>
    <x v="249"/>
    <n v="374018"/>
    <n v="0.26652169146939453"/>
  </r>
  <r>
    <x v="0"/>
    <s v="81"/>
    <x v="83"/>
    <x v="1"/>
    <x v="250"/>
    <n v="374018"/>
    <n v="8.5524012213315945E-2"/>
  </r>
  <r>
    <x v="0"/>
    <s v="81"/>
    <x v="83"/>
    <x v="2"/>
    <x v="251"/>
    <n v="374018"/>
    <n v="0.12964523097818823"/>
  </r>
  <r>
    <x v="0"/>
    <s v="82"/>
    <x v="84"/>
    <x v="0"/>
    <x v="252"/>
    <n v="239291"/>
    <n v="0.27994538031100208"/>
  </r>
  <r>
    <x v="0"/>
    <s v="82"/>
    <x v="84"/>
    <x v="1"/>
    <x v="253"/>
    <n v="239291"/>
    <n v="9.6788805262212119E-2"/>
  </r>
  <r>
    <x v="0"/>
    <s v="82"/>
    <x v="84"/>
    <x v="2"/>
    <x v="254"/>
    <n v="239291"/>
    <n v="0.10337827164414876"/>
  </r>
  <r>
    <x v="0"/>
    <s v="44"/>
    <x v="85"/>
    <x v="0"/>
    <x v="255"/>
    <n v="1266358"/>
    <n v="0.2478963294739718"/>
  </r>
  <r>
    <x v="0"/>
    <s v="44"/>
    <x v="85"/>
    <x v="1"/>
    <x v="256"/>
    <n v="1266358"/>
    <n v="9.3764693712204611E-2"/>
  </r>
  <r>
    <x v="0"/>
    <s v="44"/>
    <x v="85"/>
    <x v="2"/>
    <x v="257"/>
    <n v="1266358"/>
    <n v="0.18435423474246618"/>
  </r>
  <r>
    <x v="0"/>
    <s v="49"/>
    <x v="86"/>
    <x v="0"/>
    <x v="258"/>
    <n v="780082"/>
    <n v="0.19993278911704154"/>
  </r>
  <r>
    <x v="0"/>
    <s v="49"/>
    <x v="86"/>
    <x v="1"/>
    <x v="259"/>
    <n v="780082"/>
    <n v="9.8579303201458315E-2"/>
  </r>
  <r>
    <x v="0"/>
    <s v="49"/>
    <x v="86"/>
    <x v="2"/>
    <x v="260"/>
    <n v="780082"/>
    <n v="0.16142497839970671"/>
  </r>
  <r>
    <x v="0"/>
    <s v="53"/>
    <x v="87"/>
    <x v="0"/>
    <x v="261"/>
    <n v="305147"/>
    <n v="0.23393531642126583"/>
  </r>
  <r>
    <x v="0"/>
    <s v="53"/>
    <x v="87"/>
    <x v="1"/>
    <x v="262"/>
    <n v="305147"/>
    <n v="9.0441361048937075E-2"/>
  </r>
  <r>
    <x v="0"/>
    <s v="53"/>
    <x v="87"/>
    <x v="2"/>
    <x v="263"/>
    <n v="305147"/>
    <n v="0.17369225324188015"/>
  </r>
  <r>
    <x v="0"/>
    <s v="72"/>
    <x v="88"/>
    <x v="0"/>
    <x v="264"/>
    <n v="561050"/>
    <n v="0.23719331610373406"/>
  </r>
  <r>
    <x v="0"/>
    <s v="72"/>
    <x v="88"/>
    <x v="1"/>
    <x v="265"/>
    <n v="561050"/>
    <n v="0.10464316905801622"/>
  </r>
  <r>
    <x v="0"/>
    <s v="72"/>
    <x v="88"/>
    <x v="2"/>
    <x v="266"/>
    <n v="561050"/>
    <n v="0.13741825149273681"/>
  </r>
  <r>
    <x v="0"/>
    <s v="85"/>
    <x v="89"/>
    <x v="0"/>
    <x v="267"/>
    <n v="626411"/>
    <n v="0.23953350116776367"/>
  </r>
  <r>
    <x v="0"/>
    <s v="85"/>
    <x v="89"/>
    <x v="1"/>
    <x v="268"/>
    <n v="626411"/>
    <n v="0.11409446832830203"/>
  </r>
  <r>
    <x v="0"/>
    <s v="85"/>
    <x v="89"/>
    <x v="2"/>
    <x v="269"/>
    <n v="626411"/>
    <n v="0.24122320648903037"/>
  </r>
  <r>
    <x v="0"/>
    <s v="04"/>
    <x v="90"/>
    <x v="0"/>
    <x v="270"/>
    <n v="159450"/>
    <n v="0.38763223581059891"/>
  </r>
  <r>
    <x v="0"/>
    <s v="04"/>
    <x v="90"/>
    <x v="1"/>
    <x v="271"/>
    <n v="159450"/>
    <n v="7.5071621197867672E-2"/>
  </r>
  <r>
    <x v="0"/>
    <s v="04"/>
    <x v="90"/>
    <x v="2"/>
    <x v="272"/>
    <n v="159450"/>
    <n v="0.15939134524929446"/>
  </r>
  <r>
    <x v="0"/>
    <s v="05"/>
    <x v="91"/>
    <x v="0"/>
    <x v="273"/>
    <n v="135836"/>
    <n v="0.38753415883859949"/>
  </r>
  <r>
    <x v="0"/>
    <s v="05"/>
    <x v="91"/>
    <x v="1"/>
    <x v="274"/>
    <n v="135836"/>
    <n v="8.7958935775493977E-2"/>
  </r>
  <r>
    <x v="0"/>
    <s v="05"/>
    <x v="91"/>
    <x v="2"/>
    <x v="275"/>
    <n v="135836"/>
    <n v="0.18736513148208134"/>
  </r>
  <r>
    <x v="0"/>
    <s v="06"/>
    <x v="92"/>
    <x v="0"/>
    <x v="276"/>
    <n v="1079100"/>
    <n v="0.45193587248633121"/>
  </r>
  <r>
    <x v="0"/>
    <s v="06"/>
    <x v="92"/>
    <x v="1"/>
    <x v="277"/>
    <n v="1079100"/>
    <n v="9.9305263645630609E-2"/>
  </r>
  <r>
    <x v="0"/>
    <s v="06"/>
    <x v="92"/>
    <x v="2"/>
    <x v="278"/>
    <n v="1079100"/>
    <n v="0.12267534982856083"/>
  </r>
  <r>
    <x v="0"/>
    <s v="13"/>
    <x v="93"/>
    <x v="0"/>
    <x v="279"/>
    <n v="1967299"/>
    <n v="0.40526425825459167"/>
  </r>
  <r>
    <x v="0"/>
    <s v="13"/>
    <x v="93"/>
    <x v="1"/>
    <x v="280"/>
    <n v="1967299"/>
    <n v="6.1090342647457253E-2"/>
  </r>
  <r>
    <x v="0"/>
    <s v="13"/>
    <x v="93"/>
    <x v="2"/>
    <x v="281"/>
    <n v="1967299"/>
    <n v="0.1349598307120575"/>
  </r>
  <r>
    <x v="0"/>
    <s v="83"/>
    <x v="94"/>
    <x v="0"/>
    <x v="282"/>
    <n v="1007303"/>
    <n v="0.47886627956037059"/>
  </r>
  <r>
    <x v="0"/>
    <s v="83"/>
    <x v="94"/>
    <x v="1"/>
    <x v="283"/>
    <n v="1007303"/>
    <n v="8.774932666734836E-2"/>
  </r>
  <r>
    <x v="0"/>
    <s v="83"/>
    <x v="94"/>
    <x v="2"/>
    <x v="284"/>
    <n v="1007303"/>
    <n v="0.15312466060361182"/>
  </r>
  <r>
    <x v="0"/>
    <s v="84"/>
    <x v="95"/>
    <x v="0"/>
    <x v="285"/>
    <n v="540065"/>
    <n v="0.37494120152203902"/>
  </r>
  <r>
    <x v="0"/>
    <s v="84"/>
    <x v="95"/>
    <x v="1"/>
    <x v="286"/>
    <n v="540065"/>
    <n v="6.1949598659420624E-2"/>
  </r>
  <r>
    <x v="0"/>
    <s v="84"/>
    <x v="95"/>
    <x v="2"/>
    <x v="287"/>
    <n v="540065"/>
    <n v="0.1566063899715775"/>
  </r>
  <r>
    <x v="1"/>
    <s v="01"/>
    <x v="0"/>
    <x v="0"/>
    <x v="288"/>
    <n v="603827"/>
    <n v="0.22049967954397534"/>
  </r>
  <r>
    <x v="1"/>
    <s v="01"/>
    <x v="0"/>
    <x v="1"/>
    <x v="289"/>
    <n v="603827"/>
    <n v="7.4494085226397624E-2"/>
  </r>
  <r>
    <x v="1"/>
    <s v="01"/>
    <x v="0"/>
    <x v="2"/>
    <x v="290"/>
    <n v="603827"/>
    <n v="0.19583228308770559"/>
  </r>
  <r>
    <x v="1"/>
    <s v="03"/>
    <x v="1"/>
    <x v="0"/>
    <x v="291"/>
    <n v="342729"/>
    <n v="0.29197893962868621"/>
  </r>
  <r>
    <x v="1"/>
    <s v="03"/>
    <x v="1"/>
    <x v="1"/>
    <x v="292"/>
    <n v="342729"/>
    <n v="8.2601326412413301E-2"/>
  </r>
  <r>
    <x v="1"/>
    <s v="03"/>
    <x v="1"/>
    <x v="2"/>
    <x v="293"/>
    <n v="342729"/>
    <n v="0.12916878933501397"/>
  </r>
  <r>
    <x v="1"/>
    <s v="07"/>
    <x v="2"/>
    <x v="0"/>
    <x v="294"/>
    <n v="317277"/>
    <n v="0.26975753048597911"/>
  </r>
  <r>
    <x v="1"/>
    <s v="07"/>
    <x v="2"/>
    <x v="1"/>
    <x v="295"/>
    <n v="317277"/>
    <n v="7.5742300891649891E-2"/>
  </r>
  <r>
    <x v="1"/>
    <s v="07"/>
    <x v="2"/>
    <x v="2"/>
    <x v="296"/>
    <n v="317277"/>
    <n v="0.1350338032696981"/>
  </r>
  <r>
    <x v="1"/>
    <s v="15"/>
    <x v="3"/>
    <x v="0"/>
    <x v="297"/>
    <n v="147577"/>
    <n v="0.37785068133923305"/>
  </r>
  <r>
    <x v="1"/>
    <s v="15"/>
    <x v="3"/>
    <x v="1"/>
    <x v="298"/>
    <n v="147577"/>
    <n v="7.247355617745313E-2"/>
  </r>
  <r>
    <x v="1"/>
    <s v="15"/>
    <x v="3"/>
    <x v="2"/>
    <x v="299"/>
    <n v="147577"/>
    <n v="0.12579067198818245"/>
  </r>
  <r>
    <x v="1"/>
    <s v="26"/>
    <x v="4"/>
    <x v="0"/>
    <x v="300"/>
    <n v="487993"/>
    <n v="0.26534983083773744"/>
  </r>
  <r>
    <x v="1"/>
    <s v="26"/>
    <x v="4"/>
    <x v="1"/>
    <x v="301"/>
    <n v="487993"/>
    <n v="7.1496455891785327E-2"/>
  </r>
  <r>
    <x v="1"/>
    <s v="26"/>
    <x v="4"/>
    <x v="2"/>
    <x v="302"/>
    <n v="487993"/>
    <n v="0.1701130958845721"/>
  </r>
  <r>
    <x v="1"/>
    <s v="38"/>
    <x v="5"/>
    <x v="0"/>
    <x v="303"/>
    <n v="1215212"/>
    <n v="0.23672047346471234"/>
  </r>
  <r>
    <x v="1"/>
    <s v="38"/>
    <x v="5"/>
    <x v="1"/>
    <x v="304"/>
    <n v="1215212"/>
    <n v="8.525142938022337E-2"/>
  </r>
  <r>
    <x v="1"/>
    <s v="38"/>
    <x v="5"/>
    <x v="2"/>
    <x v="305"/>
    <n v="1215212"/>
    <n v="0.20456312972551291"/>
  </r>
  <r>
    <x v="1"/>
    <s v="42"/>
    <x v="6"/>
    <x v="0"/>
    <x v="306"/>
    <n v="749053"/>
    <n v="0.25638217856413364"/>
  </r>
  <r>
    <x v="1"/>
    <s v="42"/>
    <x v="6"/>
    <x v="1"/>
    <x v="307"/>
    <n v="749053"/>
    <n v="7.7486252641668876E-2"/>
  </r>
  <r>
    <x v="1"/>
    <s v="42"/>
    <x v="6"/>
    <x v="2"/>
    <x v="308"/>
    <n v="749053"/>
    <n v="0.14184407511885005"/>
  </r>
  <r>
    <x v="1"/>
    <s v="43"/>
    <x v="7"/>
    <x v="0"/>
    <x v="309"/>
    <n v="224907"/>
    <n v="0.24171421965523529"/>
  </r>
  <r>
    <x v="1"/>
    <s v="43"/>
    <x v="7"/>
    <x v="1"/>
    <x v="310"/>
    <n v="224907"/>
    <n v="7.8300942167206886E-2"/>
  </r>
  <r>
    <x v="1"/>
    <s v="43"/>
    <x v="7"/>
    <x v="2"/>
    <x v="311"/>
    <n v="224907"/>
    <n v="0.12933510295366529"/>
  </r>
  <r>
    <x v="1"/>
    <s v="63"/>
    <x v="8"/>
    <x v="0"/>
    <x v="312"/>
    <n v="635469"/>
    <n v="0.24273830824162942"/>
  </r>
  <r>
    <x v="1"/>
    <s v="63"/>
    <x v="8"/>
    <x v="1"/>
    <x v="313"/>
    <n v="635469"/>
    <n v="0.12710785262538379"/>
  </r>
  <r>
    <x v="1"/>
    <s v="63"/>
    <x v="8"/>
    <x v="2"/>
    <x v="314"/>
    <n v="635469"/>
    <n v="0.15079374446275112"/>
  </r>
  <r>
    <x v="1"/>
    <s v="69"/>
    <x v="9"/>
    <x v="0"/>
    <x v="315"/>
    <n v="1744236"/>
    <n v="0.23643138887168938"/>
  </r>
  <r>
    <x v="1"/>
    <s v="69"/>
    <x v="9"/>
    <x v="1"/>
    <x v="316"/>
    <n v="1744236"/>
    <n v="7.1055625500219002E-2"/>
  </r>
  <r>
    <x v="1"/>
    <s v="69"/>
    <x v="9"/>
    <x v="2"/>
    <x v="317"/>
    <n v="1744236"/>
    <n v="0.10092706491552748"/>
  </r>
  <r>
    <x v="1"/>
    <s v="73"/>
    <x v="10"/>
    <x v="0"/>
    <x v="318"/>
    <n v="418949"/>
    <n v="0.31963355921603825"/>
  </r>
  <r>
    <x v="1"/>
    <s v="73"/>
    <x v="10"/>
    <x v="1"/>
    <x v="319"/>
    <n v="418949"/>
    <n v="0.10582228385793975"/>
  </r>
  <r>
    <x v="1"/>
    <s v="73"/>
    <x v="10"/>
    <x v="2"/>
    <x v="320"/>
    <n v="418949"/>
    <n v="0.22058560827212859"/>
  </r>
  <r>
    <x v="1"/>
    <s v="74"/>
    <x v="11"/>
    <x v="0"/>
    <x v="321"/>
    <n v="746994"/>
    <n v="0.31089901659183344"/>
  </r>
  <r>
    <x v="1"/>
    <s v="74"/>
    <x v="11"/>
    <x v="1"/>
    <x v="322"/>
    <n v="746994"/>
    <n v="8.6098777232481119E-2"/>
  </r>
  <r>
    <x v="1"/>
    <s v="74"/>
    <x v="11"/>
    <x v="2"/>
    <x v="323"/>
    <n v="746994"/>
    <n v="0.20469272845565023"/>
  </r>
  <r>
    <x v="1"/>
    <s v="21"/>
    <x v="12"/>
    <x v="0"/>
    <x v="324"/>
    <n v="525931"/>
    <n v="0.25349686555840972"/>
  </r>
  <r>
    <x v="1"/>
    <s v="21"/>
    <x v="12"/>
    <x v="1"/>
    <x v="325"/>
    <n v="525931"/>
    <n v="0.10011773407538251"/>
  </r>
  <r>
    <x v="1"/>
    <s v="21"/>
    <x v="12"/>
    <x v="2"/>
    <x v="326"/>
    <n v="525931"/>
    <n v="0.15592832519855265"/>
  </r>
  <r>
    <x v="1"/>
    <s v="25"/>
    <x v="13"/>
    <x v="0"/>
    <x v="327"/>
    <n v="529103"/>
    <n v="0.22798052553094575"/>
  </r>
  <r>
    <x v="1"/>
    <s v="25"/>
    <x v="13"/>
    <x v="1"/>
    <x v="328"/>
    <n v="529103"/>
    <n v="0.12009202367024946"/>
  </r>
  <r>
    <x v="1"/>
    <s v="25"/>
    <x v="13"/>
    <x v="2"/>
    <x v="329"/>
    <n v="529103"/>
    <n v="0.15865697227193951"/>
  </r>
  <r>
    <x v="1"/>
    <s v="39"/>
    <x v="14"/>
    <x v="0"/>
    <x v="330"/>
    <n v="261294"/>
    <n v="0.20037685518993928"/>
  </r>
  <r>
    <x v="1"/>
    <s v="39"/>
    <x v="14"/>
    <x v="1"/>
    <x v="331"/>
    <n v="261294"/>
    <n v="0.13710582715255612"/>
  </r>
  <r>
    <x v="1"/>
    <s v="39"/>
    <x v="14"/>
    <x v="2"/>
    <x v="332"/>
    <n v="261294"/>
    <n v="0.15400418685465417"/>
  </r>
  <r>
    <x v="1"/>
    <s v="58"/>
    <x v="15"/>
    <x v="0"/>
    <x v="333"/>
    <n v="218341"/>
    <n v="0.21131725145529243"/>
  </r>
  <r>
    <x v="1"/>
    <s v="58"/>
    <x v="15"/>
    <x v="1"/>
    <x v="334"/>
    <n v="218341"/>
    <n v="0.12065576323274144"/>
  </r>
  <r>
    <x v="1"/>
    <s v="58"/>
    <x v="15"/>
    <x v="2"/>
    <x v="335"/>
    <n v="218341"/>
    <n v="0.18834763054121764"/>
  </r>
  <r>
    <x v="1"/>
    <s v="70"/>
    <x v="16"/>
    <x v="0"/>
    <x v="336"/>
    <n v="239695"/>
    <n v="0.18755151338158912"/>
  </r>
  <r>
    <x v="1"/>
    <s v="70"/>
    <x v="16"/>
    <x v="1"/>
    <x v="337"/>
    <n v="239695"/>
    <n v="9.7976470097415475E-2"/>
  </r>
  <r>
    <x v="1"/>
    <s v="70"/>
    <x v="16"/>
    <x v="2"/>
    <x v="338"/>
    <n v="239695"/>
    <n v="0.21121341705083546"/>
  </r>
  <r>
    <x v="1"/>
    <s v="71"/>
    <x v="17"/>
    <x v="0"/>
    <x v="339"/>
    <n v="555999"/>
    <n v="0.22975926215694631"/>
  </r>
  <r>
    <x v="1"/>
    <s v="71"/>
    <x v="17"/>
    <x v="1"/>
    <x v="340"/>
    <n v="555999"/>
    <n v="0.10842589644945405"/>
  </r>
  <r>
    <x v="1"/>
    <s v="71"/>
    <x v="17"/>
    <x v="2"/>
    <x v="341"/>
    <n v="555999"/>
    <n v="0.19571242034607977"/>
  </r>
  <r>
    <x v="1"/>
    <s v="89"/>
    <x v="18"/>
    <x v="0"/>
    <x v="342"/>
    <n v="342463"/>
    <n v="0.28537576322113628"/>
  </r>
  <r>
    <x v="1"/>
    <s v="89"/>
    <x v="18"/>
    <x v="1"/>
    <x v="343"/>
    <n v="342463"/>
    <n v="8.7292174629084021E-2"/>
  </r>
  <r>
    <x v="1"/>
    <s v="89"/>
    <x v="18"/>
    <x v="2"/>
    <x v="344"/>
    <n v="342463"/>
    <n v="0.15612959648195571"/>
  </r>
  <r>
    <x v="1"/>
    <s v="90"/>
    <x v="19"/>
    <x v="0"/>
    <x v="345"/>
    <n v="143348"/>
    <n v="0.28076917710745875"/>
  </r>
  <r>
    <x v="1"/>
    <s v="90"/>
    <x v="19"/>
    <x v="1"/>
    <x v="346"/>
    <n v="143348"/>
    <n v="0.14947344922845104"/>
  </r>
  <r>
    <x v="1"/>
    <s v="90"/>
    <x v="19"/>
    <x v="2"/>
    <x v="347"/>
    <n v="143348"/>
    <n v="8.3093660183609114E-2"/>
  </r>
  <r>
    <x v="1"/>
    <s v="22"/>
    <x v="20"/>
    <x v="0"/>
    <x v="348"/>
    <n v="594375"/>
    <n v="0.25235053627760251"/>
  </r>
  <r>
    <x v="1"/>
    <s v="22"/>
    <x v="20"/>
    <x v="1"/>
    <x v="349"/>
    <n v="594375"/>
    <n v="0.10065712723449001"/>
  </r>
  <r>
    <x v="1"/>
    <s v="22"/>
    <x v="20"/>
    <x v="2"/>
    <x v="350"/>
    <n v="594375"/>
    <n v="0.26808910199789693"/>
  </r>
  <r>
    <x v="1"/>
    <s v="29"/>
    <x v="21"/>
    <x v="0"/>
    <x v="351"/>
    <n v="899870"/>
    <n v="0.26588037160923245"/>
  </r>
  <r>
    <x v="1"/>
    <s v="29"/>
    <x v="21"/>
    <x v="1"/>
    <x v="352"/>
    <n v="899870"/>
    <n v="0.14117795903852778"/>
  </r>
  <r>
    <x v="1"/>
    <s v="29"/>
    <x v="21"/>
    <x v="2"/>
    <x v="353"/>
    <n v="899870"/>
    <n v="0.27368524342405015"/>
  </r>
  <r>
    <x v="1"/>
    <s v="35"/>
    <x v="22"/>
    <x v="0"/>
    <x v="354"/>
    <n v="996439"/>
    <n v="0.21399493596697841"/>
  </r>
  <r>
    <x v="1"/>
    <s v="35"/>
    <x v="22"/>
    <x v="1"/>
    <x v="355"/>
    <n v="996439"/>
    <n v="0.10368956855361944"/>
  </r>
  <r>
    <x v="1"/>
    <s v="35"/>
    <x v="22"/>
    <x v="2"/>
    <x v="356"/>
    <n v="996439"/>
    <n v="0.16064901112862906"/>
  </r>
  <r>
    <x v="1"/>
    <s v="56"/>
    <x v="23"/>
    <x v="0"/>
    <x v="357"/>
    <n v="727083"/>
    <n v="0.23510207225309904"/>
  </r>
  <r>
    <x v="1"/>
    <s v="56"/>
    <x v="23"/>
    <x v="1"/>
    <x v="358"/>
    <n v="727083"/>
    <n v="0.12076164619445098"/>
  </r>
  <r>
    <x v="1"/>
    <s v="56"/>
    <x v="23"/>
    <x v="2"/>
    <x v="359"/>
    <n v="727083"/>
    <n v="0.2190740534436921"/>
  </r>
  <r>
    <x v="1"/>
    <s v="18"/>
    <x v="24"/>
    <x v="0"/>
    <x v="360"/>
    <n v="311694"/>
    <n v="0.2280723080970439"/>
  </r>
  <r>
    <x v="1"/>
    <s v="18"/>
    <x v="24"/>
    <x v="1"/>
    <x v="361"/>
    <n v="311694"/>
    <n v="0.1123849993904278"/>
  </r>
  <r>
    <x v="1"/>
    <s v="18"/>
    <x v="24"/>
    <x v="2"/>
    <x v="362"/>
    <n v="311694"/>
    <n v="0.16175508671966735"/>
  </r>
  <r>
    <x v="1"/>
    <s v="28"/>
    <x v="25"/>
    <x v="0"/>
    <x v="363"/>
    <n v="430416"/>
    <n v="0.27618115962231887"/>
  </r>
  <r>
    <x v="1"/>
    <s v="28"/>
    <x v="25"/>
    <x v="1"/>
    <x v="364"/>
    <n v="430416"/>
    <n v="0.10514713672354188"/>
  </r>
  <r>
    <x v="1"/>
    <s v="28"/>
    <x v="25"/>
    <x v="2"/>
    <x v="365"/>
    <n v="430416"/>
    <n v="0.18681912382439314"/>
  </r>
  <r>
    <x v="1"/>
    <s v="36"/>
    <x v="26"/>
    <x v="0"/>
    <x v="366"/>
    <n v="230175"/>
    <n v="0.26955177582274359"/>
  </r>
  <r>
    <x v="1"/>
    <s v="36"/>
    <x v="26"/>
    <x v="1"/>
    <x v="367"/>
    <n v="230175"/>
    <n v="8.0344824589985875E-2"/>
  </r>
  <r>
    <x v="1"/>
    <s v="36"/>
    <x v="26"/>
    <x v="2"/>
    <x v="368"/>
    <n v="230175"/>
    <n v="0.16465289453676552"/>
  </r>
  <r>
    <x v="1"/>
    <s v="37"/>
    <x v="27"/>
    <x v="0"/>
    <x v="369"/>
    <n v="593683"/>
    <n v="0.23208232339480833"/>
  </r>
  <r>
    <x v="1"/>
    <s v="37"/>
    <x v="27"/>
    <x v="1"/>
    <x v="370"/>
    <n v="593683"/>
    <n v="0.12493734871977132"/>
  </r>
  <r>
    <x v="1"/>
    <s v="37"/>
    <x v="27"/>
    <x v="2"/>
    <x v="371"/>
    <n v="593683"/>
    <n v="0.13352757279558283"/>
  </r>
  <r>
    <x v="1"/>
    <s v="41"/>
    <x v="28"/>
    <x v="0"/>
    <x v="372"/>
    <n v="331280"/>
    <n v="0.24310531876358366"/>
  </r>
  <r>
    <x v="1"/>
    <s v="41"/>
    <x v="28"/>
    <x v="1"/>
    <x v="373"/>
    <n v="331280"/>
    <n v="8.1892236174836985E-2"/>
  </r>
  <r>
    <x v="1"/>
    <s v="41"/>
    <x v="28"/>
    <x v="2"/>
    <x v="374"/>
    <n v="331280"/>
    <n v="0.19292435402076794"/>
  </r>
  <r>
    <x v="1"/>
    <s v="45"/>
    <x v="29"/>
    <x v="0"/>
    <x v="375"/>
    <n v="659587"/>
    <n v="0.24906688579368605"/>
  </r>
  <r>
    <x v="1"/>
    <s v="45"/>
    <x v="29"/>
    <x v="1"/>
    <x v="376"/>
    <n v="659587"/>
    <n v="7.4102961398572129E-2"/>
  </r>
  <r>
    <x v="1"/>
    <s v="45"/>
    <x v="29"/>
    <x v="2"/>
    <x v="377"/>
    <n v="659587"/>
    <n v="0.18113063174380331"/>
  </r>
  <r>
    <x v="1"/>
    <s v="2A"/>
    <x v="30"/>
    <x v="0"/>
    <x v="378"/>
    <n v="145846"/>
    <n v="0.47856252485498396"/>
  </r>
  <r>
    <x v="1"/>
    <s v="2A"/>
    <x v="30"/>
    <x v="1"/>
    <x v="379"/>
    <n v="145846"/>
    <n v="3.9874936576937317E-2"/>
  </r>
  <r>
    <x v="1"/>
    <s v="2A"/>
    <x v="30"/>
    <x v="2"/>
    <x v="380"/>
    <n v="145846"/>
    <n v="7.8497113393579523E-2"/>
  </r>
  <r>
    <x v="1"/>
    <s v="2B"/>
    <x v="31"/>
    <x v="0"/>
    <x v="381"/>
    <n v="168640"/>
    <n v="0.5030711574952561"/>
  </r>
  <r>
    <x v="1"/>
    <s v="2B"/>
    <x v="31"/>
    <x v="1"/>
    <x v="382"/>
    <n v="168640"/>
    <n v="6.5440049810246675E-2"/>
  </r>
  <r>
    <x v="1"/>
    <s v="2B"/>
    <x v="31"/>
    <x v="2"/>
    <x v="383"/>
    <n v="168640"/>
    <n v="0.11819912239089184"/>
  </r>
  <r>
    <x v="1"/>
    <s v="08"/>
    <x v="32"/>
    <x v="0"/>
    <x v="384"/>
    <n v="283110"/>
    <n v="0.27524916110345798"/>
  </r>
  <r>
    <x v="1"/>
    <s v="08"/>
    <x v="32"/>
    <x v="1"/>
    <x v="385"/>
    <n v="283110"/>
    <n v="0.10734968740065699"/>
  </r>
  <r>
    <x v="1"/>
    <s v="08"/>
    <x v="32"/>
    <x v="2"/>
    <x v="386"/>
    <n v="283110"/>
    <n v="0.13840673236551165"/>
  </r>
  <r>
    <x v="1"/>
    <s v="10"/>
    <x v="33"/>
    <x v="0"/>
    <x v="387"/>
    <n v="303997"/>
    <n v="0.28498708868837525"/>
  </r>
  <r>
    <x v="1"/>
    <s v="10"/>
    <x v="33"/>
    <x v="1"/>
    <x v="388"/>
    <n v="303997"/>
    <n v="0.12352381766925333"/>
  </r>
  <r>
    <x v="1"/>
    <s v="10"/>
    <x v="33"/>
    <x v="2"/>
    <x v="389"/>
    <n v="303997"/>
    <n v="0.12960571979328744"/>
  </r>
  <r>
    <x v="1"/>
    <s v="51"/>
    <x v="34"/>
    <x v="0"/>
    <x v="390"/>
    <n v="566571"/>
    <n v="0.25704109458479169"/>
  </r>
  <r>
    <x v="1"/>
    <s v="51"/>
    <x v="34"/>
    <x v="1"/>
    <x v="391"/>
    <n v="566571"/>
    <n v="0.10673096575716018"/>
  </r>
  <r>
    <x v="1"/>
    <s v="51"/>
    <x v="34"/>
    <x v="2"/>
    <x v="392"/>
    <n v="566571"/>
    <n v="0.13081853818850595"/>
  </r>
  <r>
    <x v="1"/>
    <s v="52"/>
    <x v="35"/>
    <x v="0"/>
    <x v="393"/>
    <n v="182375"/>
    <n v="0.2633675119945168"/>
  </r>
  <r>
    <x v="1"/>
    <s v="52"/>
    <x v="35"/>
    <x v="1"/>
    <x v="394"/>
    <n v="182375"/>
    <n v="7.6620753941055511E-2"/>
  </r>
  <r>
    <x v="1"/>
    <s v="52"/>
    <x v="35"/>
    <x v="2"/>
    <x v="395"/>
    <n v="182375"/>
    <n v="0.1191021795750514"/>
  </r>
  <r>
    <x v="1"/>
    <s v="54"/>
    <x v="36"/>
    <x v="0"/>
    <x v="396"/>
    <n v="733124"/>
    <n v="0.27773818617314394"/>
  </r>
  <r>
    <x v="1"/>
    <s v="54"/>
    <x v="36"/>
    <x v="1"/>
    <x v="397"/>
    <n v="733124"/>
    <n v="0.10660125708611368"/>
  </r>
  <r>
    <x v="1"/>
    <s v="54"/>
    <x v="36"/>
    <x v="2"/>
    <x v="398"/>
    <n v="733124"/>
    <n v="0.11624613298705266"/>
  </r>
  <r>
    <x v="1"/>
    <s v="55"/>
    <x v="37"/>
    <x v="0"/>
    <x v="399"/>
    <n v="193557"/>
    <n v="0.25287610368005292"/>
  </r>
  <r>
    <x v="1"/>
    <s v="55"/>
    <x v="37"/>
    <x v="1"/>
    <x v="400"/>
    <n v="193557"/>
    <n v="8.0067938643397035E-2"/>
  </r>
  <r>
    <x v="1"/>
    <s v="55"/>
    <x v="37"/>
    <x v="2"/>
    <x v="401"/>
    <n v="193557"/>
    <n v="0.12721405064141311"/>
  </r>
  <r>
    <x v="1"/>
    <s v="57"/>
    <x v="38"/>
    <x v="0"/>
    <x v="402"/>
    <n v="1045146"/>
    <n v="0.28051221551821465"/>
  </r>
  <r>
    <x v="1"/>
    <s v="57"/>
    <x v="38"/>
    <x v="1"/>
    <x v="403"/>
    <n v="1045146"/>
    <n v="0.10448625359519148"/>
  </r>
  <r>
    <x v="1"/>
    <s v="57"/>
    <x v="38"/>
    <x v="2"/>
    <x v="404"/>
    <n v="1045146"/>
    <n v="0.14093822298511402"/>
  </r>
  <r>
    <x v="1"/>
    <s v="67"/>
    <x v="39"/>
    <x v="0"/>
    <x v="405"/>
    <n v="1099269"/>
    <n v="0.25167087400809085"/>
  </r>
  <r>
    <x v="1"/>
    <s v="67"/>
    <x v="39"/>
    <x v="1"/>
    <x v="406"/>
    <n v="1099269"/>
    <n v="8.8299169720969115E-2"/>
  </r>
  <r>
    <x v="1"/>
    <s v="67"/>
    <x v="39"/>
    <x v="2"/>
    <x v="407"/>
    <n v="1099269"/>
    <n v="0.14444926583029269"/>
  </r>
  <r>
    <x v="1"/>
    <s v="68"/>
    <x v="40"/>
    <x v="0"/>
    <x v="408"/>
    <n v="753056"/>
    <n v="0.23489346077848128"/>
  </r>
  <r>
    <x v="1"/>
    <s v="68"/>
    <x v="40"/>
    <x v="1"/>
    <x v="409"/>
    <n v="753056"/>
    <n v="0.13681434050057367"/>
  </r>
  <r>
    <x v="1"/>
    <s v="68"/>
    <x v="40"/>
    <x v="2"/>
    <x v="410"/>
    <n v="753056"/>
    <n v="0.15908850072238984"/>
  </r>
  <r>
    <x v="1"/>
    <s v="88"/>
    <x v="41"/>
    <x v="0"/>
    <x v="411"/>
    <n v="378830"/>
    <n v="0.26282628091756194"/>
  </r>
  <r>
    <x v="1"/>
    <s v="88"/>
    <x v="41"/>
    <x v="1"/>
    <x v="412"/>
    <n v="378830"/>
    <n v="8.4286117783702458E-2"/>
  </r>
  <r>
    <x v="1"/>
    <s v="88"/>
    <x v="41"/>
    <x v="2"/>
    <x v="413"/>
    <n v="378830"/>
    <n v="0.15598001742206269"/>
  </r>
  <r>
    <x v="1"/>
    <s v="02"/>
    <x v="42"/>
    <x v="0"/>
    <x v="414"/>
    <n v="541302"/>
    <n v="0.25206141857964687"/>
  </r>
  <r>
    <x v="1"/>
    <s v="02"/>
    <x v="42"/>
    <x v="1"/>
    <x v="415"/>
    <n v="541302"/>
    <n v="0.12188271981259999"/>
  </r>
  <r>
    <x v="1"/>
    <s v="02"/>
    <x v="42"/>
    <x v="2"/>
    <x v="416"/>
    <n v="541302"/>
    <n v="0.14419109849954367"/>
  </r>
  <r>
    <x v="2"/>
    <s v="01"/>
    <x v="0"/>
    <x v="0"/>
    <x v="417"/>
    <n v="663202"/>
    <n v="0.18780727440508321"/>
  </r>
  <r>
    <x v="2"/>
    <s v="01"/>
    <x v="0"/>
    <x v="1"/>
    <x v="418"/>
    <n v="663202"/>
    <n v="8.5146923561750423E-2"/>
  </r>
  <r>
    <x v="2"/>
    <s v="01"/>
    <x v="0"/>
    <x v="2"/>
    <x v="419"/>
    <n v="663202"/>
    <n v="0.23069764566451853"/>
  </r>
  <r>
    <x v="2"/>
    <s v="02"/>
    <x v="42"/>
    <x v="0"/>
    <x v="420"/>
    <n v="527468"/>
    <n v="0.2192237443788059"/>
  </r>
  <r>
    <x v="2"/>
    <s v="02"/>
    <x v="42"/>
    <x v="1"/>
    <x v="421"/>
    <n v="527468"/>
    <n v="0.1200891997239643"/>
  </r>
  <r>
    <x v="2"/>
    <s v="02"/>
    <x v="42"/>
    <x v="2"/>
    <x v="422"/>
    <n v="527468"/>
    <n v="0.21926903622589425"/>
  </r>
  <r>
    <x v="2"/>
    <s v="03"/>
    <x v="1"/>
    <x v="0"/>
    <x v="423"/>
    <n v="334872"/>
    <n v="0.23732715783941327"/>
  </r>
  <r>
    <x v="2"/>
    <s v="03"/>
    <x v="1"/>
    <x v="1"/>
    <x v="424"/>
    <n v="334872"/>
    <n v="0.11236726271530616"/>
  </r>
  <r>
    <x v="2"/>
    <s v="03"/>
    <x v="1"/>
    <x v="2"/>
    <x v="425"/>
    <n v="334872"/>
    <n v="0.21789865978642586"/>
  </r>
  <r>
    <x v="1"/>
    <s v="59"/>
    <x v="43"/>
    <x v="0"/>
    <x v="426"/>
    <n v="2579208"/>
    <n v="0.26665971104307989"/>
  </r>
  <r>
    <x v="1"/>
    <s v="59"/>
    <x v="43"/>
    <x v="1"/>
    <x v="427"/>
    <n v="2579208"/>
    <n v="0.16765166671319259"/>
  </r>
  <r>
    <x v="1"/>
    <s v="59"/>
    <x v="43"/>
    <x v="2"/>
    <x v="428"/>
    <n v="2579208"/>
    <n v="0.10370943716055472"/>
  </r>
  <r>
    <x v="2"/>
    <s v="04"/>
    <x v="90"/>
    <x v="0"/>
    <x v="429"/>
    <n v="166077"/>
    <n v="0.33138899426169788"/>
  </r>
  <r>
    <x v="2"/>
    <s v="04"/>
    <x v="90"/>
    <x v="1"/>
    <x v="430"/>
    <n v="166077"/>
    <n v="8.7144818367383803E-2"/>
  </r>
  <r>
    <x v="2"/>
    <s v="04"/>
    <x v="90"/>
    <x v="2"/>
    <x v="431"/>
    <n v="166077"/>
    <n v="0.26748092752157132"/>
  </r>
  <r>
    <x v="2"/>
    <s v="05"/>
    <x v="91"/>
    <x v="0"/>
    <x v="432"/>
    <n v="140976"/>
    <n v="0.27954673135852909"/>
  </r>
  <r>
    <x v="2"/>
    <s v="05"/>
    <x v="91"/>
    <x v="1"/>
    <x v="433"/>
    <n v="140976"/>
    <n v="0.11216866700715016"/>
  </r>
  <r>
    <x v="2"/>
    <s v="05"/>
    <x v="91"/>
    <x v="2"/>
    <x v="434"/>
    <n v="140976"/>
    <n v="0.22635987685847236"/>
  </r>
  <r>
    <x v="2"/>
    <s v="06"/>
    <x v="92"/>
    <x v="0"/>
    <x v="435"/>
    <n v="1103941"/>
    <n v="0.37284700903399726"/>
  </r>
  <r>
    <x v="2"/>
    <s v="06"/>
    <x v="92"/>
    <x v="1"/>
    <x v="436"/>
    <n v="1103941"/>
    <n v="0.14358437633895288"/>
  </r>
  <r>
    <x v="2"/>
    <s v="06"/>
    <x v="92"/>
    <x v="2"/>
    <x v="437"/>
    <n v="1103941"/>
    <n v="0.17050854167025231"/>
  </r>
  <r>
    <x v="1"/>
    <s v="60"/>
    <x v="44"/>
    <x v="0"/>
    <x v="438"/>
    <n v="805642"/>
    <n v="0.30087103204649213"/>
  </r>
  <r>
    <x v="1"/>
    <s v="60"/>
    <x v="44"/>
    <x v="1"/>
    <x v="439"/>
    <n v="805642"/>
    <n v="0.13381148202303256"/>
  </r>
  <r>
    <x v="1"/>
    <s v="60"/>
    <x v="44"/>
    <x v="2"/>
    <x v="440"/>
    <n v="805642"/>
    <n v="0.16885275345624978"/>
  </r>
  <r>
    <x v="2"/>
    <s v="07"/>
    <x v="2"/>
    <x v="0"/>
    <x v="441"/>
    <n v="331415"/>
    <n v="0.23050272317185402"/>
  </r>
  <r>
    <x v="2"/>
    <s v="07"/>
    <x v="2"/>
    <x v="1"/>
    <x v="442"/>
    <n v="331415"/>
    <n v="9.2738711283436179E-2"/>
  </r>
  <r>
    <x v="2"/>
    <s v="07"/>
    <x v="2"/>
    <x v="2"/>
    <x v="443"/>
    <n v="331415"/>
    <n v="0.24515202993226015"/>
  </r>
  <r>
    <x v="2"/>
    <s v="08"/>
    <x v="32"/>
    <x v="0"/>
    <x v="444"/>
    <n v="268859"/>
    <n v="0.22598272700560515"/>
  </r>
  <r>
    <x v="2"/>
    <s v="08"/>
    <x v="32"/>
    <x v="1"/>
    <x v="445"/>
    <n v="268859"/>
    <n v="0.11564306941556726"/>
  </r>
  <r>
    <x v="2"/>
    <s v="08"/>
    <x v="32"/>
    <x v="2"/>
    <x v="446"/>
    <n v="268859"/>
    <n v="0.21302839034586901"/>
  </r>
  <r>
    <x v="2"/>
    <s v="09"/>
    <x v="72"/>
    <x v="0"/>
    <x v="447"/>
    <n v="154596"/>
    <n v="0.25671162255168306"/>
  </r>
  <r>
    <x v="2"/>
    <s v="09"/>
    <x v="72"/>
    <x v="1"/>
    <x v="448"/>
    <n v="154596"/>
    <n v="7.47401614530777E-2"/>
  </r>
  <r>
    <x v="2"/>
    <s v="09"/>
    <x v="72"/>
    <x v="2"/>
    <x v="449"/>
    <n v="154596"/>
    <n v="0.32301152681828765"/>
  </r>
  <r>
    <x v="1"/>
    <s v="62"/>
    <x v="45"/>
    <x v="0"/>
    <x v="450"/>
    <n v="1462807"/>
    <n v="0.30091862426143706"/>
  </r>
  <r>
    <x v="1"/>
    <s v="62"/>
    <x v="45"/>
    <x v="1"/>
    <x v="451"/>
    <n v="1462807"/>
    <n v="0.19135274168089161"/>
  </r>
  <r>
    <x v="1"/>
    <s v="62"/>
    <x v="45"/>
    <x v="2"/>
    <x v="452"/>
    <n v="1462807"/>
    <n v="0.14192607090340695"/>
  </r>
  <r>
    <x v="2"/>
    <s v="10"/>
    <x v="33"/>
    <x v="0"/>
    <x v="453"/>
    <n v="311329"/>
    <n v="0.246083114647206"/>
  </r>
  <r>
    <x v="2"/>
    <s v="10"/>
    <x v="33"/>
    <x v="1"/>
    <x v="454"/>
    <n v="311329"/>
    <n v="0.12417734936353504"/>
  </r>
  <r>
    <x v="2"/>
    <s v="10"/>
    <x v="33"/>
    <x v="2"/>
    <x v="455"/>
    <n v="311329"/>
    <n v="0.14234748449389553"/>
  </r>
  <r>
    <x v="2"/>
    <s v="11"/>
    <x v="73"/>
    <x v="0"/>
    <x v="456"/>
    <n v="376028"/>
    <n v="0.31771171295754569"/>
  </r>
  <r>
    <x v="2"/>
    <s v="11"/>
    <x v="73"/>
    <x v="1"/>
    <x v="457"/>
    <n v="376028"/>
    <n v="0.10062795855627772"/>
  </r>
  <r>
    <x v="2"/>
    <s v="11"/>
    <x v="73"/>
    <x v="2"/>
    <x v="458"/>
    <n v="376028"/>
    <n v="0.2173572712670333"/>
  </r>
  <r>
    <x v="2"/>
    <s v="12"/>
    <x v="74"/>
    <x v="0"/>
    <x v="459"/>
    <n v="279649"/>
    <n v="0.22761154161109104"/>
  </r>
  <r>
    <x v="2"/>
    <s v="12"/>
    <x v="74"/>
    <x v="1"/>
    <x v="460"/>
    <n v="279649"/>
    <n v="0.10358796205243001"/>
  </r>
  <r>
    <x v="2"/>
    <s v="12"/>
    <x v="74"/>
    <x v="2"/>
    <x v="461"/>
    <n v="279649"/>
    <n v="0.21530869053706611"/>
  </r>
  <r>
    <x v="1"/>
    <s v="80"/>
    <x v="46"/>
    <x v="0"/>
    <x v="462"/>
    <n v="571211"/>
    <n v="0.29068114934761408"/>
  </r>
  <r>
    <x v="1"/>
    <s v="80"/>
    <x v="46"/>
    <x v="1"/>
    <x v="463"/>
    <n v="571211"/>
    <n v="0.11882390220076294"/>
  </r>
  <r>
    <x v="1"/>
    <s v="80"/>
    <x v="46"/>
    <x v="2"/>
    <x v="464"/>
    <n v="571211"/>
    <n v="0.16507590014898171"/>
  </r>
  <r>
    <x v="2"/>
    <s v="13"/>
    <x v="93"/>
    <x v="0"/>
    <x v="465"/>
    <n v="2056943"/>
    <n v="0.35789823052947994"/>
  </r>
  <r>
    <x v="2"/>
    <s v="13"/>
    <x v="93"/>
    <x v="1"/>
    <x v="466"/>
    <n v="2056943"/>
    <n v="7.0376748407709883E-2"/>
  </r>
  <r>
    <x v="2"/>
    <s v="13"/>
    <x v="93"/>
    <x v="2"/>
    <x v="467"/>
    <n v="2056943"/>
    <n v="0.13192149223386354"/>
  </r>
  <r>
    <x v="2"/>
    <s v="14"/>
    <x v="55"/>
    <x v="0"/>
    <x v="468"/>
    <n v="700633"/>
    <n v="0.24630345701672629"/>
  </r>
  <r>
    <x v="2"/>
    <s v="14"/>
    <x v="55"/>
    <x v="1"/>
    <x v="469"/>
    <n v="700633"/>
    <n v="0.1536801578001607"/>
  </r>
  <r>
    <x v="2"/>
    <s v="14"/>
    <x v="55"/>
    <x v="2"/>
    <x v="470"/>
    <n v="700633"/>
    <n v="0.2643957250086707"/>
  </r>
  <r>
    <x v="2"/>
    <s v="15"/>
    <x v="3"/>
    <x v="0"/>
    <x v="471"/>
    <n v="144226"/>
    <n v="0.25012168402368506"/>
  </r>
  <r>
    <x v="2"/>
    <s v="15"/>
    <x v="3"/>
    <x v="1"/>
    <x v="472"/>
    <n v="144226"/>
    <n v="0.102119798094657"/>
  </r>
  <r>
    <x v="2"/>
    <s v="15"/>
    <x v="3"/>
    <x v="2"/>
    <x v="473"/>
    <n v="144226"/>
    <n v="0.20483255446313425"/>
  </r>
  <r>
    <x v="1"/>
    <s v="75"/>
    <x v="47"/>
    <x v="0"/>
    <x v="474"/>
    <n v="2249975"/>
    <n v="0.3704036711519017"/>
  </r>
  <r>
    <x v="1"/>
    <s v="75"/>
    <x v="47"/>
    <x v="1"/>
    <x v="475"/>
    <n v="2249975"/>
    <n v="0.11066771408571206"/>
  </r>
  <r>
    <x v="1"/>
    <s v="75"/>
    <x v="47"/>
    <x v="2"/>
    <x v="476"/>
    <n v="2249975"/>
    <n v="3.0233358148423874E-3"/>
  </r>
  <r>
    <x v="2"/>
    <s v="16"/>
    <x v="60"/>
    <x v="0"/>
    <x v="477"/>
    <n v="350867"/>
    <n v="0.18339305206816259"/>
  </r>
  <r>
    <x v="2"/>
    <s v="16"/>
    <x v="60"/>
    <x v="1"/>
    <x v="478"/>
    <n v="350867"/>
    <n v="0.11882627890340215"/>
  </r>
  <r>
    <x v="2"/>
    <s v="16"/>
    <x v="60"/>
    <x v="2"/>
    <x v="479"/>
    <n v="350867"/>
    <n v="0.23845180652497955"/>
  </r>
  <r>
    <x v="2"/>
    <s v="17"/>
    <x v="61"/>
    <x v="0"/>
    <x v="480"/>
    <n v="661404"/>
    <n v="0.25026307672768838"/>
  </r>
  <r>
    <x v="2"/>
    <s v="17"/>
    <x v="61"/>
    <x v="1"/>
    <x v="481"/>
    <n v="661404"/>
    <n v="0.15292721241480245"/>
  </r>
  <r>
    <x v="2"/>
    <s v="17"/>
    <x v="61"/>
    <x v="2"/>
    <x v="482"/>
    <n v="661404"/>
    <n v="0.27800460837854019"/>
  </r>
  <r>
    <x v="2"/>
    <s v="18"/>
    <x v="24"/>
    <x v="0"/>
    <x v="483"/>
    <n v="299573"/>
    <n v="0.18943943546314254"/>
  </r>
  <r>
    <x v="2"/>
    <s v="18"/>
    <x v="24"/>
    <x v="1"/>
    <x v="484"/>
    <n v="299573"/>
    <n v="0.10078231349287152"/>
  </r>
  <r>
    <x v="2"/>
    <s v="18"/>
    <x v="24"/>
    <x v="2"/>
    <x v="485"/>
    <n v="299573"/>
    <n v="0.239511404565832"/>
  </r>
  <r>
    <x v="1"/>
    <s v="77"/>
    <x v="48"/>
    <x v="0"/>
    <x v="486"/>
    <n v="1338427"/>
    <n v="0.30005699227526045"/>
  </r>
  <r>
    <x v="1"/>
    <s v="77"/>
    <x v="48"/>
    <x v="1"/>
    <x v="487"/>
    <n v="1338427"/>
    <n v="0.11622657791571749"/>
  </r>
  <r>
    <x v="1"/>
    <s v="77"/>
    <x v="48"/>
    <x v="2"/>
    <x v="488"/>
    <n v="1338427"/>
    <n v="0.10326138071034133"/>
  </r>
  <r>
    <x v="2"/>
    <s v="19"/>
    <x v="62"/>
    <x v="0"/>
    <x v="489"/>
    <n v="239784"/>
    <n v="0.22847300070063056"/>
  </r>
  <r>
    <x v="2"/>
    <s v="19"/>
    <x v="62"/>
    <x v="1"/>
    <x v="490"/>
    <n v="239784"/>
    <n v="0.10166545724485371"/>
  </r>
  <r>
    <x v="2"/>
    <s v="19"/>
    <x v="62"/>
    <x v="2"/>
    <x v="491"/>
    <n v="239784"/>
    <n v="0.24518345677776665"/>
  </r>
  <r>
    <x v="2"/>
    <s v="2A"/>
    <x v="30"/>
    <x v="0"/>
    <x v="492"/>
    <n v="162942"/>
    <n v="0.45872574290238244"/>
  </r>
  <r>
    <x v="2"/>
    <s v="2A"/>
    <x v="30"/>
    <x v="1"/>
    <x v="493"/>
    <n v="162942"/>
    <n v="0.12704324238072442"/>
  </r>
  <r>
    <x v="2"/>
    <s v="2A"/>
    <x v="30"/>
    <x v="2"/>
    <x v="494"/>
    <n v="162942"/>
    <n v="0.18467018939254459"/>
  </r>
  <r>
    <x v="2"/>
    <s v="2B"/>
    <x v="31"/>
    <x v="0"/>
    <x v="495"/>
    <n v="184655"/>
    <n v="0.3546412498984593"/>
  </r>
  <r>
    <x v="2"/>
    <s v="2B"/>
    <x v="31"/>
    <x v="1"/>
    <x v="496"/>
    <n v="184655"/>
    <n v="0.13256716579567301"/>
  </r>
  <r>
    <x v="2"/>
    <s v="2B"/>
    <x v="31"/>
    <x v="2"/>
    <x v="497"/>
    <n v="184655"/>
    <n v="0.19242332999377218"/>
  </r>
  <r>
    <x v="1"/>
    <s v="78"/>
    <x v="49"/>
    <x v="0"/>
    <x v="498"/>
    <n v="1413635"/>
    <n v="0.26789156323945007"/>
  </r>
  <r>
    <x v="1"/>
    <s v="78"/>
    <x v="49"/>
    <x v="1"/>
    <x v="499"/>
    <n v="1413635"/>
    <n v="0.13301355724780442"/>
  </r>
  <r>
    <x v="1"/>
    <s v="78"/>
    <x v="49"/>
    <x v="2"/>
    <x v="500"/>
    <n v="1413635"/>
    <n v="5.403147913004417E-2"/>
  </r>
  <r>
    <x v="2"/>
    <s v="21"/>
    <x v="12"/>
    <x v="0"/>
    <x v="501"/>
    <n v="535503"/>
    <n v="0.20881823257759527"/>
  </r>
  <r>
    <x v="2"/>
    <s v="21"/>
    <x v="12"/>
    <x v="1"/>
    <x v="502"/>
    <n v="535503"/>
    <n v="0.10333228758755787"/>
  </r>
  <r>
    <x v="2"/>
    <s v="21"/>
    <x v="12"/>
    <x v="2"/>
    <x v="503"/>
    <n v="535503"/>
    <n v="0.20768738923964947"/>
  </r>
  <r>
    <x v="2"/>
    <s v="22"/>
    <x v="20"/>
    <x v="0"/>
    <x v="504"/>
    <n v="605917"/>
    <n v="0.21677734739246463"/>
  </r>
  <r>
    <x v="2"/>
    <s v="22"/>
    <x v="20"/>
    <x v="1"/>
    <x v="505"/>
    <n v="605917"/>
    <n v="0.15722031235301206"/>
  </r>
  <r>
    <x v="2"/>
    <s v="22"/>
    <x v="20"/>
    <x v="2"/>
    <x v="506"/>
    <n v="605917"/>
    <n v="0.38127603285598521"/>
  </r>
  <r>
    <x v="2"/>
    <s v="23"/>
    <x v="63"/>
    <x v="0"/>
    <x v="507"/>
    <n v="115702"/>
    <n v="0.19397538504088088"/>
  </r>
  <r>
    <x v="2"/>
    <s v="23"/>
    <x v="63"/>
    <x v="1"/>
    <x v="508"/>
    <n v="115702"/>
    <n v="0.11390840262052515"/>
  </r>
  <r>
    <x v="2"/>
    <s v="23"/>
    <x v="63"/>
    <x v="2"/>
    <x v="509"/>
    <n v="115702"/>
    <n v="0.21776650360408636"/>
  </r>
  <r>
    <x v="1"/>
    <s v="91"/>
    <x v="50"/>
    <x v="0"/>
    <x v="510"/>
    <n v="1225191"/>
    <n v="0.2745551999647402"/>
  </r>
  <r>
    <x v="1"/>
    <s v="91"/>
    <x v="50"/>
    <x v="1"/>
    <x v="511"/>
    <n v="1225191"/>
    <n v="0.14694215024432927"/>
  </r>
  <r>
    <x v="1"/>
    <s v="91"/>
    <x v="50"/>
    <x v="2"/>
    <x v="512"/>
    <n v="1225191"/>
    <n v="7.8202451699367695E-2"/>
  </r>
  <r>
    <x v="2"/>
    <s v="24"/>
    <x v="64"/>
    <x v="0"/>
    <x v="513"/>
    <n v="413730"/>
    <n v="0.20256196069900662"/>
  </r>
  <r>
    <x v="2"/>
    <s v="24"/>
    <x v="64"/>
    <x v="1"/>
    <x v="514"/>
    <n v="413730"/>
    <n v="0.13046670533923088"/>
  </r>
  <r>
    <x v="2"/>
    <s v="24"/>
    <x v="64"/>
    <x v="2"/>
    <x v="515"/>
    <n v="413730"/>
    <n v="0.24442109588378894"/>
  </r>
  <r>
    <x v="2"/>
    <s v="25"/>
    <x v="13"/>
    <x v="0"/>
    <x v="516"/>
    <n v="547096"/>
    <n v="0.16526960533434717"/>
  </r>
  <r>
    <x v="2"/>
    <s v="25"/>
    <x v="13"/>
    <x v="1"/>
    <x v="517"/>
    <n v="547096"/>
    <n v="0.10423413806717652"/>
  </r>
  <r>
    <x v="2"/>
    <s v="25"/>
    <x v="13"/>
    <x v="2"/>
    <x v="518"/>
    <n v="547096"/>
    <n v="0.19869341029727872"/>
  </r>
  <r>
    <x v="2"/>
    <s v="26"/>
    <x v="4"/>
    <x v="0"/>
    <x v="519"/>
    <n v="519458"/>
    <n v="0.23881559240593078"/>
  </r>
  <r>
    <x v="2"/>
    <s v="26"/>
    <x v="4"/>
    <x v="1"/>
    <x v="520"/>
    <n v="519458"/>
    <n v="7.740044430926081E-2"/>
  </r>
  <r>
    <x v="2"/>
    <s v="26"/>
    <x v="4"/>
    <x v="2"/>
    <x v="521"/>
    <n v="519458"/>
    <n v="0.24785035556291365"/>
  </r>
  <r>
    <x v="1"/>
    <s v="92"/>
    <x v="51"/>
    <x v="0"/>
    <x v="522"/>
    <n v="1581628"/>
    <n v="0.29586680306620772"/>
  </r>
  <r>
    <x v="1"/>
    <s v="92"/>
    <x v="51"/>
    <x v="1"/>
    <x v="523"/>
    <n v="1581628"/>
    <n v="9.0784881147779384E-2"/>
  </r>
  <r>
    <x v="1"/>
    <s v="92"/>
    <x v="51"/>
    <x v="2"/>
    <x v="524"/>
    <n v="1581628"/>
    <n v="1.138382729693708E-2"/>
  </r>
  <r>
    <x v="2"/>
    <s v="27"/>
    <x v="56"/>
    <x v="0"/>
    <x v="525"/>
    <n v="598934"/>
    <n v="0.24775796665408878"/>
  </r>
  <r>
    <x v="2"/>
    <s v="27"/>
    <x v="56"/>
    <x v="1"/>
    <x v="526"/>
    <n v="598934"/>
    <n v="0.12033764989130688"/>
  </r>
  <r>
    <x v="2"/>
    <s v="27"/>
    <x v="56"/>
    <x v="2"/>
    <x v="527"/>
    <n v="598934"/>
    <n v="0.28759900089158408"/>
  </r>
  <r>
    <x v="2"/>
    <s v="28"/>
    <x v="25"/>
    <x v="0"/>
    <x v="528"/>
    <n v="431277"/>
    <n v="0.24252162763142945"/>
  </r>
  <r>
    <x v="2"/>
    <s v="28"/>
    <x v="25"/>
    <x v="1"/>
    <x v="529"/>
    <n v="431277"/>
    <n v="0.14708679108786232"/>
  </r>
  <r>
    <x v="2"/>
    <s v="28"/>
    <x v="25"/>
    <x v="2"/>
    <x v="530"/>
    <n v="431277"/>
    <n v="0.22045168186571509"/>
  </r>
  <r>
    <x v="2"/>
    <s v="29"/>
    <x v="21"/>
    <x v="0"/>
    <x v="531"/>
    <n v="921638"/>
    <n v="0.21598667806665958"/>
  </r>
  <r>
    <x v="2"/>
    <s v="29"/>
    <x v="21"/>
    <x v="1"/>
    <x v="532"/>
    <n v="921638"/>
    <n v="0.16150120763249778"/>
  </r>
  <r>
    <x v="2"/>
    <s v="29"/>
    <x v="21"/>
    <x v="2"/>
    <x v="533"/>
    <n v="921638"/>
    <n v="0.32892504432325925"/>
  </r>
  <r>
    <x v="1"/>
    <s v="93"/>
    <x v="52"/>
    <x v="0"/>
    <x v="534"/>
    <n v="1529928"/>
    <n v="0.32213911373607124"/>
  </r>
  <r>
    <x v="1"/>
    <s v="93"/>
    <x v="52"/>
    <x v="1"/>
    <x v="535"/>
    <n v="1529928"/>
    <n v="7.4622073718501783E-2"/>
  </r>
  <r>
    <x v="1"/>
    <s v="93"/>
    <x v="52"/>
    <x v="2"/>
    <x v="536"/>
    <n v="1529928"/>
    <n v="3.9655826940875646E-2"/>
  </r>
  <r>
    <x v="2"/>
    <s v="30"/>
    <x v="75"/>
    <x v="0"/>
    <x v="537"/>
    <n v="756543"/>
    <n v="0.28919421632346076"/>
  </r>
  <r>
    <x v="2"/>
    <s v="30"/>
    <x v="75"/>
    <x v="1"/>
    <x v="538"/>
    <n v="756543"/>
    <n v="9.4690189453871088E-2"/>
  </r>
  <r>
    <x v="2"/>
    <s v="30"/>
    <x v="75"/>
    <x v="2"/>
    <x v="539"/>
    <n v="756543"/>
    <n v="0.22366251488679428"/>
  </r>
  <r>
    <x v="2"/>
    <s v="31"/>
    <x v="76"/>
    <x v="0"/>
    <x v="540"/>
    <n v="1434367"/>
    <n v="0.2358815282281313"/>
  </r>
  <r>
    <x v="2"/>
    <s v="31"/>
    <x v="76"/>
    <x v="1"/>
    <x v="541"/>
    <n v="1434367"/>
    <n v="0.11217908666331561"/>
  </r>
  <r>
    <x v="2"/>
    <s v="31"/>
    <x v="76"/>
    <x v="2"/>
    <x v="542"/>
    <n v="1434367"/>
    <n v="0.12589376359048973"/>
  </r>
  <r>
    <x v="2"/>
    <s v="32"/>
    <x v="77"/>
    <x v="0"/>
    <x v="543"/>
    <n v="192437"/>
    <n v="0.22623689830957663"/>
  </r>
  <r>
    <x v="2"/>
    <s v="32"/>
    <x v="77"/>
    <x v="1"/>
    <x v="544"/>
    <n v="192437"/>
    <n v="0.10390792830900503"/>
  </r>
  <r>
    <x v="2"/>
    <s v="32"/>
    <x v="77"/>
    <x v="2"/>
    <x v="545"/>
    <n v="192437"/>
    <n v="0.19327016114364703"/>
  </r>
  <r>
    <x v="1"/>
    <s v="94"/>
    <x v="53"/>
    <x v="0"/>
    <x v="546"/>
    <n v="1333702"/>
    <n v="0.28366720601753614"/>
  </r>
  <r>
    <x v="1"/>
    <s v="94"/>
    <x v="53"/>
    <x v="1"/>
    <x v="547"/>
    <n v="1333702"/>
    <n v="9.7124372610973064E-2"/>
  </r>
  <r>
    <x v="1"/>
    <s v="94"/>
    <x v="53"/>
    <x v="2"/>
    <x v="548"/>
    <n v="1333702"/>
    <n v="3.2676594921504203E-2"/>
  </r>
  <r>
    <x v="2"/>
    <s v="33"/>
    <x v="65"/>
    <x v="0"/>
    <x v="549"/>
    <n v="1654970"/>
    <n v="0.22449276421929096"/>
  </r>
  <r>
    <x v="2"/>
    <s v="33"/>
    <x v="65"/>
    <x v="1"/>
    <x v="550"/>
    <n v="1654970"/>
    <n v="0.10802183725384749"/>
  </r>
  <r>
    <x v="2"/>
    <s v="33"/>
    <x v="65"/>
    <x v="2"/>
    <x v="551"/>
    <n v="1654970"/>
    <n v="0.2189634917853496"/>
  </r>
  <r>
    <x v="2"/>
    <s v="34"/>
    <x v="78"/>
    <x v="0"/>
    <x v="552"/>
    <n v="1201883"/>
    <n v="0.2841467430690009"/>
  </r>
  <r>
    <x v="2"/>
    <s v="34"/>
    <x v="78"/>
    <x v="1"/>
    <x v="553"/>
    <n v="1201883"/>
    <n v="0.10690089634348768"/>
  </r>
  <r>
    <x v="2"/>
    <s v="34"/>
    <x v="78"/>
    <x v="2"/>
    <x v="554"/>
    <n v="1201883"/>
    <n v="0.19903795128144752"/>
  </r>
  <r>
    <x v="2"/>
    <s v="35"/>
    <x v="22"/>
    <x v="0"/>
    <x v="555"/>
    <n v="1098325"/>
    <n v="0.16872876425466049"/>
  </r>
  <r>
    <x v="2"/>
    <s v="35"/>
    <x v="22"/>
    <x v="1"/>
    <x v="556"/>
    <n v="1098325"/>
    <n v="0.10983358295586461"/>
  </r>
  <r>
    <x v="2"/>
    <s v="35"/>
    <x v="22"/>
    <x v="2"/>
    <x v="557"/>
    <n v="1098325"/>
    <n v="0.20522060410170032"/>
  </r>
  <r>
    <x v="1"/>
    <s v="95"/>
    <x v="54"/>
    <x v="0"/>
    <x v="558"/>
    <n v="1180365"/>
    <n v="0.30496965769062961"/>
  </r>
  <r>
    <x v="1"/>
    <s v="95"/>
    <x v="54"/>
    <x v="1"/>
    <x v="559"/>
    <n v="1180365"/>
    <n v="0.10003098194202641"/>
  </r>
  <r>
    <x v="1"/>
    <s v="95"/>
    <x v="54"/>
    <x v="2"/>
    <x v="560"/>
    <n v="1180365"/>
    <n v="6.5770545551587858E-2"/>
  </r>
  <r>
    <x v="2"/>
    <s v="36"/>
    <x v="26"/>
    <x v="0"/>
    <x v="561"/>
    <n v="217228"/>
    <n v="0.17157921630729003"/>
  </r>
  <r>
    <x v="2"/>
    <s v="36"/>
    <x v="26"/>
    <x v="1"/>
    <x v="562"/>
    <n v="217228"/>
    <n v="0.14309269523265877"/>
  </r>
  <r>
    <x v="2"/>
    <s v="36"/>
    <x v="26"/>
    <x v="2"/>
    <x v="563"/>
    <n v="217228"/>
    <n v="0.2129501721693336"/>
  </r>
  <r>
    <x v="2"/>
    <s v="37"/>
    <x v="27"/>
    <x v="0"/>
    <x v="564"/>
    <n v="612160"/>
    <n v="0.20542619576581286"/>
  </r>
  <r>
    <x v="2"/>
    <s v="37"/>
    <x v="27"/>
    <x v="1"/>
    <x v="565"/>
    <n v="612160"/>
    <n v="0.13948861408782018"/>
  </r>
  <r>
    <x v="2"/>
    <s v="37"/>
    <x v="27"/>
    <x v="2"/>
    <x v="566"/>
    <n v="612160"/>
    <n v="0.17659696811291167"/>
  </r>
  <r>
    <x v="2"/>
    <s v="38"/>
    <x v="5"/>
    <x v="0"/>
    <x v="567"/>
    <n v="1284948"/>
    <n v="0.21102906888060841"/>
  </r>
  <r>
    <x v="2"/>
    <s v="38"/>
    <x v="5"/>
    <x v="1"/>
    <x v="568"/>
    <n v="1284948"/>
    <n v="9.3626045567602734E-2"/>
  </r>
  <r>
    <x v="2"/>
    <s v="38"/>
    <x v="5"/>
    <x v="2"/>
    <x v="569"/>
    <n v="1284948"/>
    <n v="0.21157027366087966"/>
  </r>
  <r>
    <x v="1"/>
    <s v="14"/>
    <x v="55"/>
    <x v="0"/>
    <x v="570"/>
    <n v="685262"/>
    <n v="0.29567739054551401"/>
  </r>
  <r>
    <x v="1"/>
    <s v="14"/>
    <x v="55"/>
    <x v="1"/>
    <x v="571"/>
    <n v="685262"/>
    <n v="0.14036352519182443"/>
  </r>
  <r>
    <x v="1"/>
    <s v="14"/>
    <x v="55"/>
    <x v="2"/>
    <x v="572"/>
    <n v="685262"/>
    <n v="0.19150087119962875"/>
  </r>
  <r>
    <x v="2"/>
    <s v="39"/>
    <x v="14"/>
    <x v="0"/>
    <x v="573"/>
    <n v="258555"/>
    <n v="0.18936988261685134"/>
  </r>
  <r>
    <x v="2"/>
    <s v="39"/>
    <x v="14"/>
    <x v="1"/>
    <x v="574"/>
    <n v="258555"/>
    <n v="0.15048538995571542"/>
  </r>
  <r>
    <x v="2"/>
    <s v="39"/>
    <x v="14"/>
    <x v="2"/>
    <x v="575"/>
    <n v="258555"/>
    <n v="0.17977644988493743"/>
  </r>
  <r>
    <x v="2"/>
    <s v="40"/>
    <x v="66"/>
    <x v="0"/>
    <x v="576"/>
    <n v="422976"/>
    <n v="0.29679520823876532"/>
  </r>
  <r>
    <x v="2"/>
    <s v="40"/>
    <x v="66"/>
    <x v="1"/>
    <x v="577"/>
    <n v="422976"/>
    <n v="9.9325564571039499E-2"/>
  </r>
  <r>
    <x v="2"/>
    <s v="40"/>
    <x v="66"/>
    <x v="2"/>
    <x v="578"/>
    <n v="422976"/>
    <n v="0.49551471005447112"/>
  </r>
  <r>
    <x v="2"/>
    <s v="41"/>
    <x v="28"/>
    <x v="0"/>
    <x v="579"/>
    <n v="328504"/>
    <n v="0.21840278961595597"/>
  </r>
  <r>
    <x v="2"/>
    <s v="41"/>
    <x v="28"/>
    <x v="1"/>
    <x v="580"/>
    <n v="328504"/>
    <n v="8.8436061661349624E-2"/>
  </r>
  <r>
    <x v="2"/>
    <s v="41"/>
    <x v="28"/>
    <x v="2"/>
    <x v="581"/>
    <n v="328504"/>
    <n v="0.26947123931519862"/>
  </r>
  <r>
    <x v="1"/>
    <s v="27"/>
    <x v="56"/>
    <x v="0"/>
    <x v="582"/>
    <n v="588111"/>
    <n v="0.27736286177269254"/>
  </r>
  <r>
    <x v="1"/>
    <s v="27"/>
    <x v="56"/>
    <x v="1"/>
    <x v="583"/>
    <n v="588111"/>
    <n v="0.10778553708398585"/>
  </r>
  <r>
    <x v="1"/>
    <s v="27"/>
    <x v="56"/>
    <x v="2"/>
    <x v="584"/>
    <n v="588111"/>
    <n v="0.21441906374816999"/>
  </r>
  <r>
    <x v="2"/>
    <s v="42"/>
    <x v="6"/>
    <x v="0"/>
    <x v="585"/>
    <n v="769029"/>
    <n v="0.21957992481427877"/>
  </r>
  <r>
    <x v="2"/>
    <s v="42"/>
    <x v="6"/>
    <x v="1"/>
    <x v="586"/>
    <n v="769029"/>
    <n v="9.1760752845471361E-2"/>
  </r>
  <r>
    <x v="2"/>
    <s v="42"/>
    <x v="6"/>
    <x v="2"/>
    <x v="587"/>
    <n v="769029"/>
    <n v="0.1984581855820782"/>
  </r>
  <r>
    <x v="2"/>
    <s v="43"/>
    <x v="7"/>
    <x v="0"/>
    <x v="588"/>
    <n v="227284"/>
    <n v="0.20845255275338342"/>
  </r>
  <r>
    <x v="2"/>
    <s v="43"/>
    <x v="7"/>
    <x v="1"/>
    <x v="589"/>
    <n v="227284"/>
    <n v="9.2815200366061848E-2"/>
  </r>
  <r>
    <x v="2"/>
    <s v="43"/>
    <x v="7"/>
    <x v="2"/>
    <x v="590"/>
    <n v="227284"/>
    <n v="0.21175054117315781"/>
  </r>
  <r>
    <x v="2"/>
    <s v="44"/>
    <x v="85"/>
    <x v="0"/>
    <x v="591"/>
    <n v="1457806"/>
    <n v="0.18003035383308891"/>
  </r>
  <r>
    <x v="2"/>
    <s v="44"/>
    <x v="85"/>
    <x v="1"/>
    <x v="592"/>
    <n v="1457806"/>
    <n v="0.10021080308353787"/>
  </r>
  <r>
    <x v="2"/>
    <s v="44"/>
    <x v="85"/>
    <x v="2"/>
    <x v="593"/>
    <n v="1457806"/>
    <n v="0.24108459561834703"/>
  </r>
  <r>
    <x v="1"/>
    <s v="50"/>
    <x v="57"/>
    <x v="0"/>
    <x v="594"/>
    <n v="499531"/>
    <n v="0.29016199194844766"/>
  </r>
  <r>
    <x v="1"/>
    <s v="50"/>
    <x v="57"/>
    <x v="1"/>
    <x v="595"/>
    <n v="499531"/>
    <n v="0.10969815687114513"/>
  </r>
  <r>
    <x v="1"/>
    <s v="50"/>
    <x v="57"/>
    <x v="2"/>
    <x v="596"/>
    <n v="499531"/>
    <n v="0.24247570220867173"/>
  </r>
  <r>
    <x v="2"/>
    <s v="45"/>
    <x v="29"/>
    <x v="0"/>
    <x v="597"/>
    <n v="684561"/>
    <n v="0.21359006721095708"/>
  </r>
  <r>
    <x v="2"/>
    <s v="45"/>
    <x v="29"/>
    <x v="1"/>
    <x v="598"/>
    <n v="684561"/>
    <n v="8.0997968040832008E-2"/>
  </r>
  <r>
    <x v="2"/>
    <s v="45"/>
    <x v="29"/>
    <x v="2"/>
    <x v="599"/>
    <n v="684561"/>
    <n v="0.24889806752064461"/>
  </r>
  <r>
    <x v="2"/>
    <s v="46"/>
    <x v="79"/>
    <x v="0"/>
    <x v="600"/>
    <n v="174942"/>
    <n v="0.21584999599867385"/>
  </r>
  <r>
    <x v="2"/>
    <s v="46"/>
    <x v="79"/>
    <x v="1"/>
    <x v="601"/>
    <n v="174942"/>
    <n v="0.14776343016542626"/>
  </r>
  <r>
    <x v="2"/>
    <s v="46"/>
    <x v="79"/>
    <x v="2"/>
    <x v="602"/>
    <n v="174942"/>
    <n v="0.25031267505801919"/>
  </r>
  <r>
    <x v="2"/>
    <s v="47"/>
    <x v="67"/>
    <x v="0"/>
    <x v="603"/>
    <n v="331229"/>
    <n v="0.24422773972085776"/>
  </r>
  <r>
    <x v="2"/>
    <s v="47"/>
    <x v="67"/>
    <x v="1"/>
    <x v="604"/>
    <n v="331229"/>
    <n v="0.11842525865790736"/>
  </r>
  <r>
    <x v="2"/>
    <s v="47"/>
    <x v="67"/>
    <x v="2"/>
    <x v="605"/>
    <n v="331229"/>
    <n v="0.23794365831494221"/>
  </r>
  <r>
    <x v="1"/>
    <s v="61"/>
    <x v="58"/>
    <x v="0"/>
    <x v="606"/>
    <n v="290891"/>
    <n v="0.25503900086286618"/>
  </r>
  <r>
    <x v="1"/>
    <s v="61"/>
    <x v="58"/>
    <x v="1"/>
    <x v="607"/>
    <n v="290891"/>
    <n v="7.6753148086396619E-2"/>
  </r>
  <r>
    <x v="1"/>
    <s v="61"/>
    <x v="58"/>
    <x v="2"/>
    <x v="608"/>
    <n v="290891"/>
    <n v="0.20444458577267774"/>
  </r>
  <r>
    <x v="2"/>
    <s v="48"/>
    <x v="80"/>
    <x v="0"/>
    <x v="609"/>
    <n v="76519"/>
    <n v="0.26373880996876592"/>
  </r>
  <r>
    <x v="2"/>
    <s v="48"/>
    <x v="80"/>
    <x v="1"/>
    <x v="610"/>
    <n v="76519"/>
    <n v="9.0795750075144746E-2"/>
  </r>
  <r>
    <x v="2"/>
    <s v="48"/>
    <x v="80"/>
    <x v="2"/>
    <x v="611"/>
    <n v="76519"/>
    <n v="0.22570106770867365"/>
  </r>
  <r>
    <x v="2"/>
    <s v="49"/>
    <x v="86"/>
    <x v="0"/>
    <x v="612"/>
    <n v="824743"/>
    <n v="0.14773373038631429"/>
  </r>
  <r>
    <x v="2"/>
    <s v="49"/>
    <x v="86"/>
    <x v="1"/>
    <x v="613"/>
    <n v="824743"/>
    <n v="0.10205277280316413"/>
  </r>
  <r>
    <x v="2"/>
    <s v="49"/>
    <x v="86"/>
    <x v="2"/>
    <x v="614"/>
    <n v="824743"/>
    <n v="0.19298035872993163"/>
  </r>
  <r>
    <x v="2"/>
    <s v="50"/>
    <x v="57"/>
    <x v="0"/>
    <x v="615"/>
    <n v="495508"/>
    <n v="0.21776960210531415"/>
  </r>
  <r>
    <x v="2"/>
    <s v="50"/>
    <x v="57"/>
    <x v="1"/>
    <x v="616"/>
    <n v="495508"/>
    <n v="0.11600492827562825"/>
  </r>
  <r>
    <x v="2"/>
    <s v="50"/>
    <x v="57"/>
    <x v="2"/>
    <x v="617"/>
    <n v="495508"/>
    <n v="0.34974282958095532"/>
  </r>
  <r>
    <x v="1"/>
    <s v="76"/>
    <x v="59"/>
    <x v="0"/>
    <x v="618"/>
    <n v="1251282"/>
    <n v="0.29153011871025075"/>
  </r>
  <r>
    <x v="1"/>
    <s v="76"/>
    <x v="59"/>
    <x v="1"/>
    <x v="619"/>
    <n v="1251282"/>
    <n v="0.10285700585479532"/>
  </r>
  <r>
    <x v="1"/>
    <s v="76"/>
    <x v="59"/>
    <x v="2"/>
    <x v="620"/>
    <n v="1251282"/>
    <n v="0.18892682065273855"/>
  </r>
  <r>
    <x v="2"/>
    <s v="51"/>
    <x v="34"/>
    <x v="0"/>
    <x v="621"/>
    <n v="565292"/>
    <n v="0.23624075698930819"/>
  </r>
  <r>
    <x v="2"/>
    <s v="51"/>
    <x v="34"/>
    <x v="1"/>
    <x v="622"/>
    <n v="565292"/>
    <n v="0.10686653977059644"/>
  </r>
  <r>
    <x v="2"/>
    <s v="51"/>
    <x v="34"/>
    <x v="2"/>
    <x v="623"/>
    <n v="565292"/>
    <n v="0.15106033695859838"/>
  </r>
  <r>
    <x v="2"/>
    <s v="52"/>
    <x v="35"/>
    <x v="0"/>
    <x v="624"/>
    <n v="171042"/>
    <n v="0.22961126506939816"/>
  </r>
  <r>
    <x v="2"/>
    <s v="52"/>
    <x v="35"/>
    <x v="1"/>
    <x v="625"/>
    <n v="171042"/>
    <n v="8.3792811122414379E-2"/>
  </r>
  <r>
    <x v="2"/>
    <s v="52"/>
    <x v="35"/>
    <x v="2"/>
    <x v="626"/>
    <n v="171042"/>
    <n v="0.20460325534079349"/>
  </r>
  <r>
    <x v="2"/>
    <s v="53"/>
    <x v="87"/>
    <x v="0"/>
    <x v="627"/>
    <n v="305933"/>
    <n v="0.16280803313143727"/>
  </r>
  <r>
    <x v="2"/>
    <s v="53"/>
    <x v="87"/>
    <x v="1"/>
    <x v="628"/>
    <n v="305933"/>
    <n v="0.11018128152242483"/>
  </r>
  <r>
    <x v="2"/>
    <s v="53"/>
    <x v="87"/>
    <x v="2"/>
    <x v="629"/>
    <n v="305933"/>
    <n v="0.29301716388882532"/>
  </r>
  <r>
    <x v="1"/>
    <s v="16"/>
    <x v="60"/>
    <x v="0"/>
    <x v="630"/>
    <n v="352705"/>
    <n v="0.21854552671496011"/>
  </r>
  <r>
    <x v="1"/>
    <s v="16"/>
    <x v="60"/>
    <x v="1"/>
    <x v="631"/>
    <n v="352705"/>
    <n v="9.6049673239676212E-2"/>
  </r>
  <r>
    <x v="1"/>
    <s v="16"/>
    <x v="60"/>
    <x v="2"/>
    <x v="632"/>
    <n v="352705"/>
    <n v="0.18148707843665388"/>
  </r>
  <r>
    <x v="2"/>
    <s v="54"/>
    <x v="36"/>
    <x v="0"/>
    <x v="633"/>
    <n v="732486"/>
    <n v="0.23010133982082936"/>
  </r>
  <r>
    <x v="2"/>
    <s v="54"/>
    <x v="36"/>
    <x v="1"/>
    <x v="634"/>
    <n v="732486"/>
    <n v="0.11506735964919465"/>
  </r>
  <r>
    <x v="2"/>
    <s v="54"/>
    <x v="36"/>
    <x v="2"/>
    <x v="635"/>
    <n v="732486"/>
    <n v="0.15683557091876157"/>
  </r>
  <r>
    <x v="2"/>
    <s v="55"/>
    <x v="37"/>
    <x v="0"/>
    <x v="636"/>
    <n v="181919"/>
    <n v="0.19267113385627671"/>
  </r>
  <r>
    <x v="2"/>
    <s v="55"/>
    <x v="37"/>
    <x v="1"/>
    <x v="637"/>
    <n v="181919"/>
    <n v="9.8050835811542503E-2"/>
  </r>
  <r>
    <x v="2"/>
    <s v="55"/>
    <x v="37"/>
    <x v="2"/>
    <x v="638"/>
    <n v="181919"/>
    <n v="0.17878764724960008"/>
  </r>
  <r>
    <x v="2"/>
    <s v="56"/>
    <x v="23"/>
    <x v="0"/>
    <x v="639"/>
    <n v="768687"/>
    <n v="0.1852488594187231"/>
  </r>
  <r>
    <x v="2"/>
    <s v="56"/>
    <x v="23"/>
    <x v="1"/>
    <x v="640"/>
    <n v="768687"/>
    <n v="0.14048503487115041"/>
  </r>
  <r>
    <x v="2"/>
    <s v="56"/>
    <x v="23"/>
    <x v="2"/>
    <x v="641"/>
    <n v="768687"/>
    <n v="0.29265405815370887"/>
  </r>
  <r>
    <x v="1"/>
    <s v="17"/>
    <x v="61"/>
    <x v="0"/>
    <x v="642"/>
    <n v="625682"/>
    <n v="0.30727558088613705"/>
  </r>
  <r>
    <x v="1"/>
    <s v="17"/>
    <x v="61"/>
    <x v="1"/>
    <x v="643"/>
    <n v="625682"/>
    <n v="0.11466414248771739"/>
  </r>
  <r>
    <x v="1"/>
    <s v="17"/>
    <x v="61"/>
    <x v="2"/>
    <x v="644"/>
    <n v="625682"/>
    <n v="0.22920119165966096"/>
  </r>
  <r>
    <x v="2"/>
    <s v="57"/>
    <x v="38"/>
    <x v="0"/>
    <x v="645"/>
    <n v="1049942"/>
    <n v="0.21392849319295734"/>
  </r>
  <r>
    <x v="2"/>
    <s v="57"/>
    <x v="38"/>
    <x v="1"/>
    <x v="646"/>
    <n v="1049942"/>
    <n v="0.11992833889872012"/>
  </r>
  <r>
    <x v="2"/>
    <s v="57"/>
    <x v="38"/>
    <x v="2"/>
    <x v="647"/>
    <n v="1049942"/>
    <n v="0.19617826508511899"/>
  </r>
  <r>
    <x v="2"/>
    <s v="58"/>
    <x v="15"/>
    <x v="0"/>
    <x v="648"/>
    <n v="202417"/>
    <n v="0.18735605211024767"/>
  </r>
  <r>
    <x v="2"/>
    <s v="58"/>
    <x v="15"/>
    <x v="1"/>
    <x v="649"/>
    <n v="202417"/>
    <n v="0.12894490087295038"/>
  </r>
  <r>
    <x v="2"/>
    <s v="58"/>
    <x v="15"/>
    <x v="2"/>
    <x v="650"/>
    <n v="202417"/>
    <n v="0.22542805199168053"/>
  </r>
  <r>
    <x v="2"/>
    <s v="59"/>
    <x v="43"/>
    <x v="0"/>
    <x v="651"/>
    <n v="2611293"/>
    <n v="0.26338888818681017"/>
  </r>
  <r>
    <x v="2"/>
    <s v="59"/>
    <x v="43"/>
    <x v="1"/>
    <x v="652"/>
    <n v="2611293"/>
    <n v="0.2355358667143059"/>
  </r>
  <r>
    <x v="2"/>
    <s v="59"/>
    <x v="43"/>
    <x v="2"/>
    <x v="653"/>
    <n v="2611293"/>
    <n v="0.16359292886704019"/>
  </r>
  <r>
    <x v="1"/>
    <s v="19"/>
    <x v="62"/>
    <x v="0"/>
    <x v="654"/>
    <n v="242454"/>
    <n v="0.28960714197332277"/>
  </r>
  <r>
    <x v="1"/>
    <s v="19"/>
    <x v="62"/>
    <x v="1"/>
    <x v="655"/>
    <n v="242454"/>
    <n v="6.4435521789700315E-2"/>
  </r>
  <r>
    <x v="1"/>
    <s v="19"/>
    <x v="62"/>
    <x v="2"/>
    <x v="656"/>
    <n v="242454"/>
    <n v="0.13767725011754808"/>
  </r>
  <r>
    <x v="2"/>
    <s v="60"/>
    <x v="44"/>
    <x v="0"/>
    <x v="657"/>
    <n v="828838"/>
    <n v="0.23138456489687972"/>
  </r>
  <r>
    <x v="2"/>
    <s v="60"/>
    <x v="44"/>
    <x v="1"/>
    <x v="658"/>
    <n v="828838"/>
    <n v="0.17647140937070935"/>
  </r>
  <r>
    <x v="2"/>
    <s v="60"/>
    <x v="44"/>
    <x v="2"/>
    <x v="659"/>
    <n v="828838"/>
    <n v="0.19917117699719367"/>
  </r>
  <r>
    <x v="2"/>
    <s v="61"/>
    <x v="58"/>
    <x v="0"/>
    <x v="660"/>
    <n v="276973"/>
    <n v="0.21265863459615197"/>
  </r>
  <r>
    <x v="2"/>
    <s v="61"/>
    <x v="58"/>
    <x v="1"/>
    <x v="661"/>
    <n v="276973"/>
    <n v="9.6230679524719018E-2"/>
  </r>
  <r>
    <x v="2"/>
    <s v="61"/>
    <x v="58"/>
    <x v="2"/>
    <x v="662"/>
    <n v="276973"/>
    <n v="0.28192033158466712"/>
  </r>
  <r>
    <x v="2"/>
    <s v="62"/>
    <x v="45"/>
    <x v="0"/>
    <x v="663"/>
    <n v="1461441"/>
    <n v="0.27862511042183707"/>
  </r>
  <r>
    <x v="2"/>
    <s v="62"/>
    <x v="45"/>
    <x v="1"/>
    <x v="664"/>
    <n v="1461441"/>
    <n v="0.18510797220004091"/>
  </r>
  <r>
    <x v="2"/>
    <s v="62"/>
    <x v="45"/>
    <x v="2"/>
    <x v="665"/>
    <n v="1461441"/>
    <n v="0.18848882028080502"/>
  </r>
  <r>
    <x v="1"/>
    <s v="23"/>
    <x v="63"/>
    <x v="0"/>
    <x v="666"/>
    <n v="122560"/>
    <n v="0.24012834530026111"/>
  </r>
  <r>
    <x v="1"/>
    <s v="23"/>
    <x v="63"/>
    <x v="1"/>
    <x v="667"/>
    <n v="122560"/>
    <n v="9.4289654046997379E-2"/>
  </r>
  <r>
    <x v="1"/>
    <s v="23"/>
    <x v="63"/>
    <x v="2"/>
    <x v="668"/>
    <n v="122560"/>
    <n v="0.11361316906005223"/>
  </r>
  <r>
    <x v="2"/>
    <s v="63"/>
    <x v="8"/>
    <x v="0"/>
    <x v="669"/>
    <n v="662285"/>
    <n v="0.19856579871203484"/>
  </r>
  <r>
    <x v="2"/>
    <s v="63"/>
    <x v="8"/>
    <x v="1"/>
    <x v="670"/>
    <n v="662285"/>
    <n v="0.11387885879945944"/>
  </r>
  <r>
    <x v="2"/>
    <s v="63"/>
    <x v="8"/>
    <x v="2"/>
    <x v="671"/>
    <n v="662285"/>
    <n v="0.16287018428622119"/>
  </r>
  <r>
    <x v="2"/>
    <s v="64"/>
    <x v="68"/>
    <x v="0"/>
    <x v="672"/>
    <n v="693027"/>
    <n v="0.23861775948123232"/>
  </r>
  <r>
    <x v="2"/>
    <s v="64"/>
    <x v="68"/>
    <x v="1"/>
    <x v="673"/>
    <n v="693027"/>
    <n v="0.11702072213636698"/>
  </r>
  <r>
    <x v="2"/>
    <s v="64"/>
    <x v="68"/>
    <x v="2"/>
    <x v="674"/>
    <n v="693027"/>
    <n v="0.20663098263126833"/>
  </r>
  <r>
    <x v="2"/>
    <s v="65"/>
    <x v="81"/>
    <x v="0"/>
    <x v="675"/>
    <n v="230956"/>
    <n v="0.22605084951246127"/>
  </r>
  <r>
    <x v="2"/>
    <s v="65"/>
    <x v="81"/>
    <x v="1"/>
    <x v="676"/>
    <n v="230956"/>
    <n v="0.11019960511958987"/>
  </r>
  <r>
    <x v="2"/>
    <s v="65"/>
    <x v="81"/>
    <x v="2"/>
    <x v="677"/>
    <n v="230956"/>
    <n v="0.22050381890922946"/>
  </r>
  <r>
    <x v="1"/>
    <s v="24"/>
    <x v="64"/>
    <x v="0"/>
    <x v="678"/>
    <n v="415168"/>
    <n v="0.26544326634037307"/>
  </r>
  <r>
    <x v="1"/>
    <s v="24"/>
    <x v="64"/>
    <x v="1"/>
    <x v="679"/>
    <n v="415168"/>
    <n v="8.1821648103900121E-2"/>
  </r>
  <r>
    <x v="1"/>
    <s v="24"/>
    <x v="64"/>
    <x v="2"/>
    <x v="680"/>
    <n v="415168"/>
    <n v="0.16640745433174042"/>
  </r>
  <r>
    <x v="2"/>
    <s v="66"/>
    <x v="82"/>
    <x v="0"/>
    <x v="681"/>
    <n v="487307"/>
    <n v="0.33239528674942076"/>
  </r>
  <r>
    <x v="2"/>
    <s v="66"/>
    <x v="82"/>
    <x v="1"/>
    <x v="682"/>
    <n v="487307"/>
    <n v="0.11572688264276934"/>
  </r>
  <r>
    <x v="2"/>
    <s v="66"/>
    <x v="82"/>
    <x v="2"/>
    <x v="683"/>
    <n v="487307"/>
    <n v="0.22395549417512986"/>
  </r>
  <r>
    <x v="2"/>
    <s v="67"/>
    <x v="39"/>
    <x v="0"/>
    <x v="684"/>
    <n v="1152662"/>
    <n v="0.19073604404413436"/>
  </r>
  <r>
    <x v="2"/>
    <s v="67"/>
    <x v="39"/>
    <x v="1"/>
    <x v="685"/>
    <n v="1152662"/>
    <n v="0.11071966456775707"/>
  </r>
  <r>
    <x v="2"/>
    <s v="67"/>
    <x v="39"/>
    <x v="2"/>
    <x v="686"/>
    <n v="1152662"/>
    <n v="0.15142905726049785"/>
  </r>
  <r>
    <x v="2"/>
    <s v="68"/>
    <x v="40"/>
    <x v="0"/>
    <x v="687"/>
    <n v="767083"/>
    <n v="0.18115323895849603"/>
  </r>
  <r>
    <x v="2"/>
    <s v="68"/>
    <x v="40"/>
    <x v="1"/>
    <x v="688"/>
    <n v="767083"/>
    <n v="0.188354858600699"/>
  </r>
  <r>
    <x v="2"/>
    <s v="68"/>
    <x v="40"/>
    <x v="2"/>
    <x v="689"/>
    <n v="767083"/>
    <n v="0.12142241452359133"/>
  </r>
  <r>
    <x v="1"/>
    <s v="33"/>
    <x v="65"/>
    <x v="0"/>
    <x v="690"/>
    <n v="1463662"/>
    <n v="0.28230286773858992"/>
  </r>
  <r>
    <x v="1"/>
    <s v="33"/>
    <x v="65"/>
    <x v="1"/>
    <x v="691"/>
    <n v="1463662"/>
    <n v="0.10202979239742509"/>
  </r>
  <r>
    <x v="1"/>
    <s v="33"/>
    <x v="65"/>
    <x v="2"/>
    <x v="692"/>
    <n v="1463662"/>
    <n v="0.17498147796417479"/>
  </r>
  <r>
    <x v="2"/>
    <s v="69"/>
    <x v="9"/>
    <x v="0"/>
    <x v="693"/>
    <n v="1893692"/>
    <n v="0.21834578167938606"/>
  </r>
  <r>
    <x v="2"/>
    <s v="69"/>
    <x v="9"/>
    <x v="1"/>
    <x v="694"/>
    <n v="1893692"/>
    <n v="8.8804853165139849E-2"/>
  </r>
  <r>
    <x v="2"/>
    <s v="69"/>
    <x v="9"/>
    <x v="2"/>
    <x v="695"/>
    <n v="1893692"/>
    <n v="0.10329982911687856"/>
  </r>
  <r>
    <x v="2"/>
    <s v="70"/>
    <x v="16"/>
    <x v="0"/>
    <x v="696"/>
    <n v="234296"/>
    <n v="0.13590842353262539"/>
  </r>
  <r>
    <x v="2"/>
    <s v="70"/>
    <x v="16"/>
    <x v="1"/>
    <x v="697"/>
    <n v="234296"/>
    <n v="0.14912000204869055"/>
  </r>
  <r>
    <x v="2"/>
    <s v="70"/>
    <x v="16"/>
    <x v="2"/>
    <x v="698"/>
    <n v="234296"/>
    <n v="0.25676055075630827"/>
  </r>
  <r>
    <x v="2"/>
    <s v="71"/>
    <x v="17"/>
    <x v="0"/>
    <x v="699"/>
    <n v="549288"/>
    <n v="0.20332506808814321"/>
  </r>
  <r>
    <x v="2"/>
    <s v="71"/>
    <x v="17"/>
    <x v="1"/>
    <x v="700"/>
    <n v="549288"/>
    <n v="0.11920659107790449"/>
  </r>
  <r>
    <x v="2"/>
    <s v="71"/>
    <x v="17"/>
    <x v="2"/>
    <x v="701"/>
    <n v="549288"/>
    <n v="0.21806585980396442"/>
  </r>
  <r>
    <x v="1"/>
    <s v="40"/>
    <x v="66"/>
    <x v="0"/>
    <x v="702"/>
    <n v="387929"/>
    <n v="0.39148096687795964"/>
  </r>
  <r>
    <x v="1"/>
    <s v="40"/>
    <x v="66"/>
    <x v="1"/>
    <x v="703"/>
    <n v="387929"/>
    <n v="9.0937052914321956E-2"/>
  </r>
  <r>
    <x v="1"/>
    <s v="40"/>
    <x v="66"/>
    <x v="2"/>
    <x v="704"/>
    <n v="387929"/>
    <n v="0.40274315660855464"/>
  </r>
  <r>
    <x v="2"/>
    <s v="72"/>
    <x v="88"/>
    <x v="0"/>
    <x v="705"/>
    <n v="566058"/>
    <n v="0.17728494253239066"/>
  </r>
  <r>
    <x v="2"/>
    <s v="72"/>
    <x v="88"/>
    <x v="1"/>
    <x v="706"/>
    <n v="566058"/>
    <n v="0.12138123655173146"/>
  </r>
  <r>
    <x v="2"/>
    <s v="72"/>
    <x v="88"/>
    <x v="2"/>
    <x v="707"/>
    <n v="566058"/>
    <n v="0.21377694511869808"/>
  </r>
  <r>
    <x v="2"/>
    <s v="73"/>
    <x v="10"/>
    <x v="0"/>
    <x v="708"/>
    <n v="442468"/>
    <n v="0.25831343735592177"/>
  </r>
  <r>
    <x v="2"/>
    <s v="73"/>
    <x v="10"/>
    <x v="1"/>
    <x v="709"/>
    <n v="442468"/>
    <n v="0.106722497446143"/>
  </r>
  <r>
    <x v="2"/>
    <s v="73"/>
    <x v="10"/>
    <x v="2"/>
    <x v="710"/>
    <n v="442468"/>
    <n v="0.21515714130739397"/>
  </r>
  <r>
    <x v="2"/>
    <s v="74"/>
    <x v="11"/>
    <x v="0"/>
    <x v="711"/>
    <n v="841482"/>
    <n v="0.26253896102352753"/>
  </r>
  <r>
    <x v="2"/>
    <s v="74"/>
    <x v="11"/>
    <x v="1"/>
    <x v="712"/>
    <n v="841482"/>
    <n v="9.3611723126579061E-2"/>
  </r>
  <r>
    <x v="2"/>
    <s v="74"/>
    <x v="11"/>
    <x v="2"/>
    <x v="713"/>
    <n v="841482"/>
    <n v="0.22003294188110978"/>
  </r>
  <r>
    <x v="1"/>
    <s v="47"/>
    <x v="67"/>
    <x v="0"/>
    <x v="714"/>
    <n v="330866"/>
    <n v="0.27440308161007776"/>
  </r>
  <r>
    <x v="1"/>
    <s v="47"/>
    <x v="67"/>
    <x v="1"/>
    <x v="715"/>
    <n v="330866"/>
    <n v="9.4530444349071832E-2"/>
  </r>
  <r>
    <x v="1"/>
    <s v="47"/>
    <x v="67"/>
    <x v="2"/>
    <x v="716"/>
    <n v="330866"/>
    <n v="0.15192721524726022"/>
  </r>
  <r>
    <x v="2"/>
    <s v="75"/>
    <x v="47"/>
    <x v="0"/>
    <x v="717"/>
    <n v="2133111"/>
    <n v="0.3034274540799799"/>
  </r>
  <r>
    <x v="2"/>
    <s v="75"/>
    <x v="47"/>
    <x v="1"/>
    <x v="718"/>
    <n v="2133111"/>
    <n v="0.12514982577090455"/>
  </r>
  <r>
    <x v="2"/>
    <s v="75"/>
    <x v="47"/>
    <x v="2"/>
    <x v="719"/>
    <n v="2133111"/>
    <n v="9.9605693280846604E-4"/>
  </r>
  <r>
    <x v="2"/>
    <s v="76"/>
    <x v="59"/>
    <x v="0"/>
    <x v="720"/>
    <n v="1255918"/>
    <n v="0.25366035043689156"/>
  </r>
  <r>
    <x v="2"/>
    <s v="76"/>
    <x v="59"/>
    <x v="1"/>
    <x v="721"/>
    <n v="1255918"/>
    <n v="0.12394574327304808"/>
  </r>
  <r>
    <x v="2"/>
    <s v="76"/>
    <x v="59"/>
    <x v="2"/>
    <x v="722"/>
    <n v="1255918"/>
    <n v="0.23188629353190254"/>
  </r>
  <r>
    <x v="2"/>
    <s v="77"/>
    <x v="48"/>
    <x v="0"/>
    <x v="723"/>
    <n v="1438100"/>
    <n v="0.28007963980251721"/>
  </r>
  <r>
    <x v="2"/>
    <s v="77"/>
    <x v="48"/>
    <x v="1"/>
    <x v="724"/>
    <n v="1438100"/>
    <n v="0.12514501773172937"/>
  </r>
  <r>
    <x v="2"/>
    <s v="77"/>
    <x v="48"/>
    <x v="2"/>
    <x v="725"/>
    <n v="1438100"/>
    <n v="0.10788101661915027"/>
  </r>
  <r>
    <x v="1"/>
    <s v="64"/>
    <x v="68"/>
    <x v="0"/>
    <x v="726"/>
    <n v="656608"/>
    <n v="0.28950707271309517"/>
  </r>
  <r>
    <x v="1"/>
    <s v="64"/>
    <x v="68"/>
    <x v="1"/>
    <x v="727"/>
    <n v="656608"/>
    <n v="9.6422599176373122E-2"/>
  </r>
  <r>
    <x v="1"/>
    <s v="64"/>
    <x v="68"/>
    <x v="2"/>
    <x v="728"/>
    <n v="656608"/>
    <n v="0.15999722817876116"/>
  </r>
  <r>
    <x v="2"/>
    <s v="78"/>
    <x v="49"/>
    <x v="0"/>
    <x v="729"/>
    <n v="1456365"/>
    <n v="0.24518641961321508"/>
  </r>
  <r>
    <x v="2"/>
    <s v="78"/>
    <x v="49"/>
    <x v="1"/>
    <x v="730"/>
    <n v="1456365"/>
    <n v="0.14147474705860139"/>
  </r>
  <r>
    <x v="2"/>
    <s v="78"/>
    <x v="49"/>
    <x v="2"/>
    <x v="731"/>
    <n v="1456365"/>
    <n v="8.0404939695749356E-2"/>
  </r>
  <r>
    <x v="2"/>
    <s v="79"/>
    <x v="69"/>
    <x v="0"/>
    <x v="732"/>
    <n v="374587"/>
    <n v="0.15451913707630002"/>
  </r>
  <r>
    <x v="2"/>
    <s v="79"/>
    <x v="69"/>
    <x v="1"/>
    <x v="733"/>
    <n v="374587"/>
    <n v="0.12411188855993401"/>
  </r>
  <r>
    <x v="2"/>
    <s v="79"/>
    <x v="69"/>
    <x v="2"/>
    <x v="734"/>
    <n v="374587"/>
    <n v="0.26063672791634523"/>
  </r>
  <r>
    <x v="2"/>
    <s v="80"/>
    <x v="46"/>
    <x v="0"/>
    <x v="735"/>
    <n v="566252"/>
    <n v="0.25754656937194043"/>
  </r>
  <r>
    <x v="2"/>
    <s v="80"/>
    <x v="46"/>
    <x v="1"/>
    <x v="736"/>
    <n v="566252"/>
    <n v="0.14564012135939475"/>
  </r>
  <r>
    <x v="2"/>
    <s v="80"/>
    <x v="46"/>
    <x v="2"/>
    <x v="737"/>
    <n v="566252"/>
    <n v="0.22710535238727633"/>
  </r>
  <r>
    <x v="1"/>
    <s v="79"/>
    <x v="69"/>
    <x v="0"/>
    <x v="738"/>
    <n v="370939"/>
    <n v="0.20445922375377082"/>
  </r>
  <r>
    <x v="1"/>
    <s v="79"/>
    <x v="69"/>
    <x v="1"/>
    <x v="739"/>
    <n v="370939"/>
    <n v="0.10596124969334582"/>
  </r>
  <r>
    <x v="1"/>
    <s v="79"/>
    <x v="69"/>
    <x v="2"/>
    <x v="740"/>
    <n v="370939"/>
    <n v="0.195501848012746"/>
  </r>
  <r>
    <x v="2"/>
    <s v="81"/>
    <x v="83"/>
    <x v="0"/>
    <x v="741"/>
    <n v="393572"/>
    <n v="0.22937947821491364"/>
  </r>
  <r>
    <x v="2"/>
    <s v="81"/>
    <x v="83"/>
    <x v="1"/>
    <x v="742"/>
    <n v="393572"/>
    <n v="0.10058322238370615"/>
  </r>
  <r>
    <x v="2"/>
    <s v="81"/>
    <x v="83"/>
    <x v="2"/>
    <x v="743"/>
    <n v="393572"/>
    <n v="0.21769109591129449"/>
  </r>
  <r>
    <x v="2"/>
    <s v="82"/>
    <x v="84"/>
    <x v="0"/>
    <x v="744"/>
    <n v="263377"/>
    <n v="0.24343693640674774"/>
  </r>
  <r>
    <x v="2"/>
    <s v="82"/>
    <x v="84"/>
    <x v="1"/>
    <x v="745"/>
    <n v="263377"/>
    <n v="0.12404993602326703"/>
  </r>
  <r>
    <x v="2"/>
    <s v="82"/>
    <x v="84"/>
    <x v="2"/>
    <x v="746"/>
    <n v="263377"/>
    <n v="0.19837404177281998"/>
  </r>
  <r>
    <x v="2"/>
    <s v="83"/>
    <x v="94"/>
    <x v="0"/>
    <x v="747"/>
    <n v="1095337"/>
    <n v="0.39165625738927839"/>
  </r>
  <r>
    <x v="2"/>
    <s v="83"/>
    <x v="94"/>
    <x v="1"/>
    <x v="748"/>
    <n v="1095337"/>
    <n v="0.10679168146424343"/>
  </r>
  <r>
    <x v="2"/>
    <s v="83"/>
    <x v="94"/>
    <x v="2"/>
    <x v="749"/>
    <n v="1095337"/>
    <n v="0.24069344868291676"/>
  </r>
  <r>
    <x v="1"/>
    <s v="86"/>
    <x v="70"/>
    <x v="0"/>
    <x v="750"/>
    <n v="428447"/>
    <n v="0.22966845374106948"/>
  </r>
  <r>
    <x v="1"/>
    <s v="86"/>
    <x v="70"/>
    <x v="1"/>
    <x v="751"/>
    <n v="428447"/>
    <n v="8.6687641645291011E-2"/>
  </r>
  <r>
    <x v="1"/>
    <s v="86"/>
    <x v="70"/>
    <x v="2"/>
    <x v="752"/>
    <n v="428447"/>
    <n v="0.19545280979911167"/>
  </r>
  <r>
    <x v="2"/>
    <s v="84"/>
    <x v="95"/>
    <x v="0"/>
    <x v="753"/>
    <n v="564566"/>
    <n v="0.3328652628744912"/>
  </r>
  <r>
    <x v="2"/>
    <s v="84"/>
    <x v="95"/>
    <x v="1"/>
    <x v="754"/>
    <n v="564566"/>
    <n v="8.16869772533238E-2"/>
  </r>
  <r>
    <x v="2"/>
    <s v="84"/>
    <x v="95"/>
    <x v="2"/>
    <x v="755"/>
    <n v="564566"/>
    <n v="0.20860724875391007"/>
  </r>
  <r>
    <x v="2"/>
    <s v="85"/>
    <x v="89"/>
    <x v="0"/>
    <x v="756"/>
    <n v="699459"/>
    <n v="0.15946450042103968"/>
  </r>
  <r>
    <x v="2"/>
    <s v="85"/>
    <x v="89"/>
    <x v="1"/>
    <x v="757"/>
    <n v="699459"/>
    <n v="0.12689032523707608"/>
  </r>
  <r>
    <x v="2"/>
    <s v="85"/>
    <x v="89"/>
    <x v="2"/>
    <x v="758"/>
    <n v="699459"/>
    <n v="0.29772654294247414"/>
  </r>
  <r>
    <x v="2"/>
    <s v="86"/>
    <x v="70"/>
    <x v="0"/>
    <x v="759"/>
    <n v="439385"/>
    <n v="0.19402733365954686"/>
  </r>
  <r>
    <x v="2"/>
    <s v="86"/>
    <x v="70"/>
    <x v="1"/>
    <x v="760"/>
    <n v="439385"/>
    <n v="9.58274861454078E-2"/>
  </r>
  <r>
    <x v="2"/>
    <s v="86"/>
    <x v="70"/>
    <x v="2"/>
    <x v="761"/>
    <n v="439385"/>
    <n v="0.21831851337665148"/>
  </r>
  <r>
    <x v="1"/>
    <s v="87"/>
    <x v="71"/>
    <x v="0"/>
    <x v="762"/>
    <n v="376058"/>
    <n v="0.24073158927612229"/>
  </r>
  <r>
    <x v="1"/>
    <s v="87"/>
    <x v="71"/>
    <x v="1"/>
    <x v="763"/>
    <n v="376058"/>
    <n v="9.7198251333570893E-2"/>
  </r>
  <r>
    <x v="1"/>
    <s v="87"/>
    <x v="71"/>
    <x v="2"/>
    <x v="764"/>
    <n v="376058"/>
    <n v="0.14598827840386322"/>
  </r>
  <r>
    <x v="2"/>
    <s v="87"/>
    <x v="71"/>
    <x v="0"/>
    <x v="765"/>
    <n v="371691"/>
    <n v="0.20305858898924106"/>
  </r>
  <r>
    <x v="2"/>
    <s v="87"/>
    <x v="71"/>
    <x v="1"/>
    <x v="766"/>
    <n v="371691"/>
    <n v="9.968336602177616E-2"/>
  </r>
  <r>
    <x v="2"/>
    <s v="87"/>
    <x v="71"/>
    <x v="2"/>
    <x v="767"/>
    <n v="371691"/>
    <n v="0.18726116586088981"/>
  </r>
  <r>
    <x v="2"/>
    <s v="88"/>
    <x v="41"/>
    <x v="0"/>
    <x v="768"/>
    <n v="360673"/>
    <n v="0.2057243819193563"/>
  </r>
  <r>
    <x v="2"/>
    <s v="88"/>
    <x v="41"/>
    <x v="1"/>
    <x v="769"/>
    <n v="360673"/>
    <n v="0.11287867403437463"/>
  </r>
  <r>
    <x v="2"/>
    <s v="88"/>
    <x v="41"/>
    <x v="2"/>
    <x v="770"/>
    <n v="360673"/>
    <n v="0.23396081769358951"/>
  </r>
  <r>
    <x v="2"/>
    <s v="89"/>
    <x v="18"/>
    <x v="0"/>
    <x v="771"/>
    <n v="333385"/>
    <n v="0.19943479760637103"/>
  </r>
  <r>
    <x v="2"/>
    <s v="89"/>
    <x v="18"/>
    <x v="1"/>
    <x v="772"/>
    <n v="333385"/>
    <n v="0.14652413875849243"/>
  </r>
  <r>
    <x v="2"/>
    <s v="89"/>
    <x v="18"/>
    <x v="2"/>
    <x v="773"/>
    <n v="333385"/>
    <n v="0.23605927081302397"/>
  </r>
  <r>
    <x v="1"/>
    <s v="09"/>
    <x v="72"/>
    <x v="0"/>
    <x v="774"/>
    <n v="152286"/>
    <n v="0.30876167211693789"/>
  </r>
  <r>
    <x v="1"/>
    <s v="09"/>
    <x v="72"/>
    <x v="1"/>
    <x v="775"/>
    <n v="152286"/>
    <n v="0.14695605636762407"/>
  </r>
  <r>
    <x v="1"/>
    <s v="09"/>
    <x v="72"/>
    <x v="2"/>
    <x v="776"/>
    <n v="152286"/>
    <n v="0.18505778600790618"/>
  </r>
  <r>
    <x v="2"/>
    <s v="90"/>
    <x v="19"/>
    <x v="0"/>
    <x v="777"/>
    <n v="139654"/>
    <n v="0.19941569879845905"/>
  </r>
  <r>
    <x v="2"/>
    <s v="90"/>
    <x v="19"/>
    <x v="1"/>
    <x v="778"/>
    <n v="139654"/>
    <n v="0.24115972331619573"/>
  </r>
  <r>
    <x v="2"/>
    <s v="90"/>
    <x v="19"/>
    <x v="2"/>
    <x v="779"/>
    <n v="139654"/>
    <n v="0.16269380039239836"/>
  </r>
  <r>
    <x v="2"/>
    <s v="91"/>
    <x v="50"/>
    <x v="0"/>
    <x v="780"/>
    <n v="1313768"/>
    <n v="0.23758713867288594"/>
  </r>
  <r>
    <x v="2"/>
    <s v="91"/>
    <x v="50"/>
    <x v="1"/>
    <x v="781"/>
    <n v="1313768"/>
    <n v="0.15788736671923809"/>
  </r>
  <r>
    <x v="2"/>
    <s v="91"/>
    <x v="50"/>
    <x v="2"/>
    <x v="782"/>
    <n v="1313768"/>
    <n v="0.11543749733590709"/>
  </r>
  <r>
    <x v="2"/>
    <s v="92"/>
    <x v="51"/>
    <x v="0"/>
    <x v="783"/>
    <n v="1635291"/>
    <n v="0.25979886760215765"/>
  </r>
  <r>
    <x v="2"/>
    <s v="92"/>
    <x v="51"/>
    <x v="1"/>
    <x v="784"/>
    <n v="1635291"/>
    <n v="9.6324195510156904E-2"/>
  </r>
  <r>
    <x v="2"/>
    <s v="92"/>
    <x v="51"/>
    <x v="2"/>
    <x v="785"/>
    <n v="1635291"/>
    <n v="3.6229955402432956E-2"/>
  </r>
  <r>
    <x v="1"/>
    <s v="11"/>
    <x v="73"/>
    <x v="0"/>
    <x v="786"/>
    <n v="359967"/>
    <n v="0.3404311228529282"/>
  </r>
  <r>
    <x v="1"/>
    <s v="11"/>
    <x v="73"/>
    <x v="1"/>
    <x v="787"/>
    <n v="359967"/>
    <n v="8.0674061788997331E-2"/>
  </r>
  <r>
    <x v="1"/>
    <s v="11"/>
    <x v="73"/>
    <x v="2"/>
    <x v="788"/>
    <n v="359967"/>
    <n v="0.17897035005986658"/>
  </r>
  <r>
    <x v="2"/>
    <s v="93"/>
    <x v="52"/>
    <x v="0"/>
    <x v="789"/>
    <n v="1668670"/>
    <n v="0.30675138883062558"/>
  </r>
  <r>
    <x v="2"/>
    <s v="93"/>
    <x v="52"/>
    <x v="1"/>
    <x v="790"/>
    <n v="1668670"/>
    <n v="7.6543696476834844E-2"/>
  </r>
  <r>
    <x v="2"/>
    <s v="93"/>
    <x v="52"/>
    <x v="2"/>
    <x v="791"/>
    <n v="1668670"/>
    <n v="5.4130487154440361E-2"/>
  </r>
  <r>
    <x v="2"/>
    <s v="94"/>
    <x v="53"/>
    <x v="0"/>
    <x v="792"/>
    <n v="1415367"/>
    <n v="0.26419840225185415"/>
  </r>
  <r>
    <x v="2"/>
    <s v="94"/>
    <x v="53"/>
    <x v="1"/>
    <x v="793"/>
    <n v="1415367"/>
    <n v="9.9107235084610557E-2"/>
  </r>
  <r>
    <x v="2"/>
    <s v="94"/>
    <x v="53"/>
    <x v="2"/>
    <x v="794"/>
    <n v="1415367"/>
    <n v="2.5018267346914261E-2"/>
  </r>
  <r>
    <x v="2"/>
    <s v="95"/>
    <x v="54"/>
    <x v="0"/>
    <x v="795"/>
    <n v="1256607"/>
    <n v="0.28184331298488713"/>
  </r>
  <r>
    <x v="2"/>
    <s v="95"/>
    <x v="54"/>
    <x v="1"/>
    <x v="796"/>
    <n v="1256607"/>
    <n v="0.14207193657205475"/>
  </r>
  <r>
    <x v="2"/>
    <s v="95"/>
    <x v="54"/>
    <x v="2"/>
    <x v="797"/>
    <n v="1256607"/>
    <n v="8.5520110901817353E-2"/>
  </r>
  <r>
    <x v="1"/>
    <s v="12"/>
    <x v="74"/>
    <x v="0"/>
    <x v="798"/>
    <n v="275813"/>
    <n v="0.23595849361705212"/>
  </r>
  <r>
    <x v="1"/>
    <s v="12"/>
    <x v="74"/>
    <x v="1"/>
    <x v="799"/>
    <n v="275813"/>
    <n v="9.4411684728421069E-2"/>
  </r>
  <r>
    <x v="1"/>
    <s v="12"/>
    <x v="74"/>
    <x v="2"/>
    <x v="800"/>
    <n v="275813"/>
    <n v="0.13328965639763171"/>
  </r>
  <r>
    <x v="1"/>
    <s v="30"/>
    <x v="75"/>
    <x v="0"/>
    <x v="801"/>
    <n v="718357"/>
    <n v="0.30922935253641298"/>
  </r>
  <r>
    <x v="1"/>
    <s v="30"/>
    <x v="75"/>
    <x v="1"/>
    <x v="802"/>
    <n v="718357"/>
    <n v="9.8032705186975266E-2"/>
  </r>
  <r>
    <x v="1"/>
    <s v="30"/>
    <x v="75"/>
    <x v="2"/>
    <x v="803"/>
    <n v="718357"/>
    <n v="0.14699611752930647"/>
  </r>
  <r>
    <x v="1"/>
    <s v="31"/>
    <x v="76"/>
    <x v="0"/>
    <x v="804"/>
    <n v="1260226"/>
    <n v="0.27932780310833133"/>
  </r>
  <r>
    <x v="1"/>
    <s v="31"/>
    <x v="76"/>
    <x v="1"/>
    <x v="805"/>
    <n v="1260226"/>
    <n v="0.10631049510167224"/>
  </r>
  <r>
    <x v="1"/>
    <s v="31"/>
    <x v="76"/>
    <x v="2"/>
    <x v="806"/>
    <n v="1260226"/>
    <n v="8.6081750416195202E-2"/>
  </r>
  <r>
    <x v="1"/>
    <s v="32"/>
    <x v="77"/>
    <x v="0"/>
    <x v="807"/>
    <n v="188893"/>
    <n v="0.25772410835764165"/>
  </r>
  <r>
    <x v="1"/>
    <s v="32"/>
    <x v="77"/>
    <x v="1"/>
    <x v="808"/>
    <n v="188893"/>
    <n v="8.3109379384095766E-2"/>
  </r>
  <r>
    <x v="1"/>
    <s v="32"/>
    <x v="77"/>
    <x v="2"/>
    <x v="809"/>
    <n v="188893"/>
    <n v="0.12127378992339578"/>
  </r>
  <r>
    <x v="1"/>
    <s v="34"/>
    <x v="78"/>
    <x v="0"/>
    <x v="810"/>
    <n v="1062036"/>
    <n v="0.32822791317808436"/>
  </r>
  <r>
    <x v="1"/>
    <s v="34"/>
    <x v="78"/>
    <x v="1"/>
    <x v="811"/>
    <n v="1062036"/>
    <n v="9.3791048514362985E-2"/>
  </r>
  <r>
    <x v="1"/>
    <s v="34"/>
    <x v="78"/>
    <x v="2"/>
    <x v="812"/>
    <n v="1062036"/>
    <n v="0.19849541823441014"/>
  </r>
  <r>
    <x v="1"/>
    <s v="46"/>
    <x v="79"/>
    <x v="0"/>
    <x v="813"/>
    <n v="174754"/>
    <n v="0.24041429666845968"/>
  </r>
  <r>
    <x v="1"/>
    <s v="46"/>
    <x v="79"/>
    <x v="1"/>
    <x v="814"/>
    <n v="174754"/>
    <n v="0.12736229213637457"/>
  </r>
  <r>
    <x v="1"/>
    <s v="46"/>
    <x v="79"/>
    <x v="2"/>
    <x v="815"/>
    <n v="174754"/>
    <n v="0.15045029012211453"/>
  </r>
  <r>
    <x v="1"/>
    <s v="48"/>
    <x v="80"/>
    <x v="0"/>
    <x v="816"/>
    <n v="77156"/>
    <n v="0.28110127533827572"/>
  </r>
  <r>
    <x v="1"/>
    <s v="48"/>
    <x v="80"/>
    <x v="1"/>
    <x v="817"/>
    <n v="77156"/>
    <n v="7.6608300067395926E-2"/>
  </r>
  <r>
    <x v="1"/>
    <s v="48"/>
    <x v="80"/>
    <x v="2"/>
    <x v="818"/>
    <n v="77156"/>
    <n v="0.15083907926797657"/>
  </r>
  <r>
    <x v="1"/>
    <s v="65"/>
    <x v="81"/>
    <x v="0"/>
    <x v="819"/>
    <n v="229228"/>
    <n v="0.31312544715305285"/>
  </r>
  <r>
    <x v="1"/>
    <s v="65"/>
    <x v="81"/>
    <x v="1"/>
    <x v="820"/>
    <n v="229228"/>
    <n v="8.5837201389010076E-2"/>
  </r>
  <r>
    <x v="1"/>
    <s v="65"/>
    <x v="81"/>
    <x v="2"/>
    <x v="821"/>
    <n v="229228"/>
    <n v="0.18112050011342418"/>
  </r>
  <r>
    <x v="1"/>
    <s v="66"/>
    <x v="82"/>
    <x v="0"/>
    <x v="822"/>
    <n v="452530"/>
    <n v="0.36301281682982345"/>
  </r>
  <r>
    <x v="1"/>
    <s v="66"/>
    <x v="82"/>
    <x v="1"/>
    <x v="823"/>
    <n v="452530"/>
    <n v="0.11527644576050207"/>
  </r>
  <r>
    <x v="1"/>
    <s v="66"/>
    <x v="82"/>
    <x v="2"/>
    <x v="824"/>
    <n v="452530"/>
    <n v="0.18157028263319558"/>
  </r>
  <r>
    <x v="1"/>
    <s v="81"/>
    <x v="83"/>
    <x v="0"/>
    <x v="825"/>
    <n v="377675"/>
    <n v="0.25623067452174486"/>
  </r>
  <r>
    <x v="1"/>
    <s v="81"/>
    <x v="83"/>
    <x v="1"/>
    <x v="826"/>
    <n v="377675"/>
    <n v="8.309888131329847E-2"/>
  </r>
  <r>
    <x v="1"/>
    <s v="81"/>
    <x v="83"/>
    <x v="2"/>
    <x v="827"/>
    <n v="377675"/>
    <n v="0.13495214139140796"/>
  </r>
  <r>
    <x v="1"/>
    <s v="82"/>
    <x v="84"/>
    <x v="0"/>
    <x v="828"/>
    <n v="244545"/>
    <n v="0.2634840213457646"/>
  </r>
  <r>
    <x v="1"/>
    <s v="82"/>
    <x v="84"/>
    <x v="1"/>
    <x v="829"/>
    <n v="244545"/>
    <n v="9.6960314052628352E-2"/>
  </r>
  <r>
    <x v="1"/>
    <s v="82"/>
    <x v="84"/>
    <x v="2"/>
    <x v="830"/>
    <n v="244545"/>
    <n v="0.1091276043264021"/>
  </r>
  <r>
    <x v="1"/>
    <s v="44"/>
    <x v="85"/>
    <x v="0"/>
    <x v="831"/>
    <n v="1296364"/>
    <n v="0.23022620961396642"/>
  </r>
  <r>
    <x v="1"/>
    <s v="44"/>
    <x v="85"/>
    <x v="1"/>
    <x v="832"/>
    <n v="1296364"/>
    <n v="0.10201540616678649"/>
  </r>
  <r>
    <x v="1"/>
    <s v="44"/>
    <x v="85"/>
    <x v="2"/>
    <x v="833"/>
    <n v="1296364"/>
    <n v="0.18604034823552645"/>
  </r>
  <r>
    <x v="1"/>
    <s v="49"/>
    <x v="86"/>
    <x v="0"/>
    <x v="834"/>
    <n v="790343"/>
    <n v="0.18116066062456426"/>
  </r>
  <r>
    <x v="1"/>
    <s v="49"/>
    <x v="86"/>
    <x v="1"/>
    <x v="835"/>
    <n v="790343"/>
    <n v="9.3453930761707257E-2"/>
  </r>
  <r>
    <x v="1"/>
    <s v="49"/>
    <x v="86"/>
    <x v="2"/>
    <x v="836"/>
    <n v="790343"/>
    <n v="0.16094484293528252"/>
  </r>
  <r>
    <x v="1"/>
    <s v="53"/>
    <x v="87"/>
    <x v="0"/>
    <x v="837"/>
    <n v="307031"/>
    <n v="0.21012282147405312"/>
  </r>
  <r>
    <x v="1"/>
    <s v="53"/>
    <x v="87"/>
    <x v="1"/>
    <x v="838"/>
    <n v="307031"/>
    <n v="9.6311382238275622E-2"/>
  </r>
  <r>
    <x v="1"/>
    <s v="53"/>
    <x v="87"/>
    <x v="2"/>
    <x v="839"/>
    <n v="307031"/>
    <n v="0.17613009761229323"/>
  </r>
  <r>
    <x v="1"/>
    <s v="72"/>
    <x v="88"/>
    <x v="0"/>
    <x v="840"/>
    <n v="565718"/>
    <n v="0.22095807451769256"/>
  </r>
  <r>
    <x v="1"/>
    <s v="72"/>
    <x v="88"/>
    <x v="1"/>
    <x v="841"/>
    <n v="565718"/>
    <n v="0.10069955348778013"/>
  </r>
  <r>
    <x v="1"/>
    <s v="72"/>
    <x v="88"/>
    <x v="2"/>
    <x v="842"/>
    <n v="565718"/>
    <n v="0.15316613577789639"/>
  </r>
  <r>
    <x v="1"/>
    <s v="85"/>
    <x v="89"/>
    <x v="0"/>
    <x v="843"/>
    <n v="641657"/>
    <n v="0.22396065187475553"/>
  </r>
  <r>
    <x v="1"/>
    <s v="85"/>
    <x v="89"/>
    <x v="1"/>
    <x v="844"/>
    <n v="641657"/>
    <n v="0.11331984222099969"/>
  </r>
  <r>
    <x v="1"/>
    <s v="85"/>
    <x v="89"/>
    <x v="2"/>
    <x v="845"/>
    <n v="641657"/>
    <n v="0.24957827936109167"/>
  </r>
  <r>
    <x v="1"/>
    <s v="04"/>
    <x v="90"/>
    <x v="0"/>
    <x v="846"/>
    <n v="160959"/>
    <n v="0.37970781379108964"/>
  </r>
  <r>
    <x v="1"/>
    <s v="04"/>
    <x v="90"/>
    <x v="1"/>
    <x v="847"/>
    <n v="160959"/>
    <n v="5.9083803950074239E-2"/>
  </r>
  <r>
    <x v="1"/>
    <s v="04"/>
    <x v="90"/>
    <x v="2"/>
    <x v="848"/>
    <n v="160959"/>
    <n v="0.19515963692617375"/>
  </r>
  <r>
    <x v="1"/>
    <s v="05"/>
    <x v="91"/>
    <x v="0"/>
    <x v="849"/>
    <n v="138605"/>
    <n v="0.35525269651166985"/>
  </r>
  <r>
    <x v="1"/>
    <s v="05"/>
    <x v="91"/>
    <x v="1"/>
    <x v="850"/>
    <n v="138605"/>
    <n v="9.8947079831174914E-2"/>
  </r>
  <r>
    <x v="1"/>
    <s v="05"/>
    <x v="91"/>
    <x v="2"/>
    <x v="851"/>
    <n v="138605"/>
    <n v="0.18730312759279968"/>
  </r>
  <r>
    <x v="1"/>
    <s v="06"/>
    <x v="92"/>
    <x v="0"/>
    <x v="852"/>
    <n v="1081244"/>
    <n v="0.45544314696775196"/>
  </r>
  <r>
    <x v="1"/>
    <s v="06"/>
    <x v="92"/>
    <x v="1"/>
    <x v="853"/>
    <n v="1081244"/>
    <n v="9.660395803352434E-2"/>
  </r>
  <r>
    <x v="1"/>
    <s v="06"/>
    <x v="92"/>
    <x v="2"/>
    <x v="854"/>
    <n v="1081244"/>
    <n v="0.14514475918479083"/>
  </r>
  <r>
    <x v="1"/>
    <s v="13"/>
    <x v="93"/>
    <x v="0"/>
    <x v="855"/>
    <n v="1975896"/>
    <n v="0.39952869989108741"/>
  </r>
  <r>
    <x v="1"/>
    <s v="13"/>
    <x v="93"/>
    <x v="1"/>
    <x v="856"/>
    <n v="1975896"/>
    <n v="5.3992092701235284E-2"/>
  </r>
  <r>
    <x v="1"/>
    <s v="13"/>
    <x v="93"/>
    <x v="2"/>
    <x v="857"/>
    <n v="1975896"/>
    <n v="0.1444643139112585"/>
  </r>
  <r>
    <x v="1"/>
    <s v="83"/>
    <x v="94"/>
    <x v="0"/>
    <x v="858"/>
    <n v="1012735"/>
    <n v="0.4841524189447387"/>
  </r>
  <r>
    <x v="1"/>
    <s v="83"/>
    <x v="94"/>
    <x v="1"/>
    <x v="859"/>
    <n v="1012735"/>
    <n v="8.8599673162278389E-2"/>
  </r>
  <r>
    <x v="1"/>
    <s v="83"/>
    <x v="94"/>
    <x v="2"/>
    <x v="860"/>
    <n v="1012735"/>
    <n v="0.15313567715147594"/>
  </r>
  <r>
    <x v="1"/>
    <s v="84"/>
    <x v="95"/>
    <x v="0"/>
    <x v="861"/>
    <n v="546630"/>
    <n v="0.36805045460366248"/>
  </r>
  <r>
    <x v="1"/>
    <s v="84"/>
    <x v="95"/>
    <x v="1"/>
    <x v="862"/>
    <n v="546630"/>
    <n v="6.0655123209483568E-2"/>
  </r>
  <r>
    <x v="1"/>
    <s v="84"/>
    <x v="95"/>
    <x v="2"/>
    <x v="863"/>
    <n v="546630"/>
    <n v="0.18709335382251249"/>
  </r>
  <r>
    <x v="3"/>
    <s v="01"/>
    <x v="0"/>
    <x v="0"/>
    <x v="864"/>
    <n v="619497"/>
    <n v="0.20328166238093162"/>
  </r>
  <r>
    <x v="3"/>
    <s v="01"/>
    <x v="0"/>
    <x v="1"/>
    <x v="865"/>
    <n v="619497"/>
    <n v="7.8672455233842933E-2"/>
  </r>
  <r>
    <x v="3"/>
    <s v="01"/>
    <x v="0"/>
    <x v="2"/>
    <x v="866"/>
    <n v="619497"/>
    <n v="0.19359318931326544"/>
  </r>
  <r>
    <x v="3"/>
    <s v="03"/>
    <x v="1"/>
    <x v="0"/>
    <x v="867"/>
    <n v="343431"/>
    <n v="0.27441844213248079"/>
  </r>
  <r>
    <x v="3"/>
    <s v="03"/>
    <x v="1"/>
    <x v="1"/>
    <x v="868"/>
    <n v="343431"/>
    <n v="7.7469884780348899E-2"/>
  </r>
  <r>
    <x v="3"/>
    <s v="03"/>
    <x v="1"/>
    <x v="2"/>
    <x v="869"/>
    <n v="343431"/>
    <n v="0.16996074902964498"/>
  </r>
  <r>
    <x v="3"/>
    <s v="07"/>
    <x v="2"/>
    <x v="0"/>
    <x v="870"/>
    <n v="320379"/>
    <n v="0.26061967232558941"/>
  </r>
  <r>
    <x v="3"/>
    <s v="07"/>
    <x v="2"/>
    <x v="1"/>
    <x v="871"/>
    <n v="320379"/>
    <n v="7.3290852396692668E-2"/>
  </r>
  <r>
    <x v="3"/>
    <s v="07"/>
    <x v="2"/>
    <x v="2"/>
    <x v="872"/>
    <n v="320379"/>
    <n v="0.15914535596902418"/>
  </r>
  <r>
    <x v="3"/>
    <s v="15"/>
    <x v="3"/>
    <x v="0"/>
    <x v="873"/>
    <n v="147035"/>
    <n v="0.26793355323562418"/>
  </r>
  <r>
    <x v="3"/>
    <s v="15"/>
    <x v="3"/>
    <x v="1"/>
    <x v="874"/>
    <n v="147035"/>
    <n v="8.3193525351106884E-2"/>
  </r>
  <r>
    <x v="3"/>
    <s v="15"/>
    <x v="3"/>
    <x v="2"/>
    <x v="875"/>
    <n v="147035"/>
    <n v="0.13575448022579659"/>
  </r>
  <r>
    <x v="3"/>
    <s v="26"/>
    <x v="4"/>
    <x v="0"/>
    <x v="876"/>
    <n v="494712"/>
    <n v="0.25727847717459856"/>
  </r>
  <r>
    <x v="3"/>
    <s v="26"/>
    <x v="4"/>
    <x v="1"/>
    <x v="877"/>
    <n v="494712"/>
    <n v="6.8058708905383333E-2"/>
  </r>
  <r>
    <x v="3"/>
    <s v="26"/>
    <x v="4"/>
    <x v="2"/>
    <x v="878"/>
    <n v="494712"/>
    <n v="0.18250361826678957"/>
  </r>
  <r>
    <x v="3"/>
    <s v="38"/>
    <x v="5"/>
    <x v="0"/>
    <x v="879"/>
    <n v="1235387"/>
    <n v="0.22281234139585407"/>
  </r>
  <r>
    <x v="3"/>
    <s v="38"/>
    <x v="5"/>
    <x v="1"/>
    <x v="880"/>
    <n v="1235387"/>
    <n v="7.903776711265377E-2"/>
  </r>
  <r>
    <x v="3"/>
    <s v="38"/>
    <x v="5"/>
    <x v="2"/>
    <x v="881"/>
    <n v="1235387"/>
    <n v="0.21057613525154464"/>
  </r>
  <r>
    <x v="3"/>
    <s v="42"/>
    <x v="6"/>
    <x v="0"/>
    <x v="882"/>
    <n v="756715"/>
    <n v="0.23264041283706546"/>
  </r>
  <r>
    <x v="3"/>
    <s v="42"/>
    <x v="6"/>
    <x v="1"/>
    <x v="883"/>
    <n v="756715"/>
    <n v="7.5098498113556622E-2"/>
  </r>
  <r>
    <x v="3"/>
    <s v="42"/>
    <x v="6"/>
    <x v="2"/>
    <x v="884"/>
    <n v="756715"/>
    <n v="0.15527947774261114"/>
  </r>
  <r>
    <x v="3"/>
    <s v="43"/>
    <x v="7"/>
    <x v="0"/>
    <x v="885"/>
    <n v="226203"/>
    <n v="0.22914802190952374"/>
  </r>
  <r>
    <x v="3"/>
    <s v="43"/>
    <x v="7"/>
    <x v="1"/>
    <x v="886"/>
    <n v="226203"/>
    <n v="8.3803751497548665E-2"/>
  </r>
  <r>
    <x v="3"/>
    <s v="43"/>
    <x v="7"/>
    <x v="2"/>
    <x v="887"/>
    <n v="226203"/>
    <n v="0.1441658598692325"/>
  </r>
  <r>
    <x v="3"/>
    <s v="63"/>
    <x v="8"/>
    <x v="0"/>
    <x v="888"/>
    <n v="640999"/>
    <n v="0.22839352323482562"/>
  </r>
  <r>
    <x v="3"/>
    <s v="63"/>
    <x v="8"/>
    <x v="1"/>
    <x v="889"/>
    <n v="640999"/>
    <n v="0.10949926598949453"/>
  </r>
  <r>
    <x v="3"/>
    <s v="63"/>
    <x v="8"/>
    <x v="2"/>
    <x v="890"/>
    <n v="640999"/>
    <n v="0.14554096028230934"/>
  </r>
  <r>
    <x v="3"/>
    <s v="69"/>
    <x v="9"/>
    <x v="0"/>
    <x v="891"/>
    <n v="1779845"/>
    <n v="0.22542696133652088"/>
  </r>
  <r>
    <x v="3"/>
    <s v="69"/>
    <x v="9"/>
    <x v="1"/>
    <x v="892"/>
    <n v="1779845"/>
    <n v="6.9130177065980458E-2"/>
  </r>
  <r>
    <x v="3"/>
    <s v="69"/>
    <x v="9"/>
    <x v="2"/>
    <x v="893"/>
    <n v="1779845"/>
    <n v="9.4173312844657825E-2"/>
  </r>
  <r>
    <x v="3"/>
    <s v="73"/>
    <x v="10"/>
    <x v="0"/>
    <x v="894"/>
    <n v="423715"/>
    <n v="0.30811925468770279"/>
  </r>
  <r>
    <x v="3"/>
    <s v="73"/>
    <x v="10"/>
    <x v="1"/>
    <x v="895"/>
    <n v="423715"/>
    <n v="0.10720035873169466"/>
  </r>
  <r>
    <x v="3"/>
    <s v="73"/>
    <x v="10"/>
    <x v="2"/>
    <x v="896"/>
    <n v="423715"/>
    <n v="0.22505032864071367"/>
  </r>
  <r>
    <x v="3"/>
    <s v="74"/>
    <x v="11"/>
    <x v="0"/>
    <x v="897"/>
    <n v="769677"/>
    <n v="0.30056244372639435"/>
  </r>
  <r>
    <x v="3"/>
    <s v="74"/>
    <x v="11"/>
    <x v="1"/>
    <x v="898"/>
    <n v="769677"/>
    <n v="8.6322535297274058E-2"/>
  </r>
  <r>
    <x v="3"/>
    <s v="74"/>
    <x v="11"/>
    <x v="2"/>
    <x v="899"/>
    <n v="769677"/>
    <n v="0.21258934592043158"/>
  </r>
  <r>
    <x v="3"/>
    <s v="21"/>
    <x v="12"/>
    <x v="0"/>
    <x v="900"/>
    <n v="529761"/>
    <n v="0.23324918217837856"/>
  </r>
  <r>
    <x v="3"/>
    <s v="21"/>
    <x v="12"/>
    <x v="1"/>
    <x v="901"/>
    <n v="529761"/>
    <n v="0.10583714165444418"/>
  </r>
  <r>
    <x v="3"/>
    <s v="21"/>
    <x v="12"/>
    <x v="2"/>
    <x v="902"/>
    <n v="529761"/>
    <n v="0.16293924996366285"/>
  </r>
  <r>
    <x v="3"/>
    <s v="25"/>
    <x v="13"/>
    <x v="0"/>
    <x v="903"/>
    <n v="533320"/>
    <n v="0.19853663841596039"/>
  </r>
  <r>
    <x v="3"/>
    <s v="25"/>
    <x v="13"/>
    <x v="1"/>
    <x v="904"/>
    <n v="533320"/>
    <n v="0.10590216005400134"/>
  </r>
  <r>
    <x v="3"/>
    <s v="25"/>
    <x v="13"/>
    <x v="2"/>
    <x v="905"/>
    <n v="533320"/>
    <n v="0.17878856971424287"/>
  </r>
  <r>
    <x v="3"/>
    <s v="39"/>
    <x v="14"/>
    <x v="0"/>
    <x v="906"/>
    <n v="260502"/>
    <n v="0.19637519097742051"/>
  </r>
  <r>
    <x v="3"/>
    <s v="39"/>
    <x v="14"/>
    <x v="1"/>
    <x v="907"/>
    <n v="260502"/>
    <n v="0.13435340227714182"/>
  </r>
  <r>
    <x v="3"/>
    <s v="39"/>
    <x v="14"/>
    <x v="2"/>
    <x v="908"/>
    <n v="260502"/>
    <n v="0.15318254754282118"/>
  </r>
  <r>
    <x v="3"/>
    <s v="58"/>
    <x v="15"/>
    <x v="0"/>
    <x v="909"/>
    <n v="215221"/>
    <n v="0.20181046459220986"/>
  </r>
  <r>
    <x v="3"/>
    <s v="58"/>
    <x v="15"/>
    <x v="1"/>
    <x v="910"/>
    <n v="215221"/>
    <n v="0.10173510019932999"/>
  </r>
  <r>
    <x v="3"/>
    <s v="58"/>
    <x v="15"/>
    <x v="2"/>
    <x v="911"/>
    <n v="215221"/>
    <n v="0.18901301452925132"/>
  </r>
  <r>
    <x v="3"/>
    <s v="70"/>
    <x v="16"/>
    <x v="0"/>
    <x v="912"/>
    <n v="238956"/>
    <n v="0.16004749828420295"/>
  </r>
  <r>
    <x v="3"/>
    <s v="70"/>
    <x v="16"/>
    <x v="1"/>
    <x v="913"/>
    <n v="238956"/>
    <n v="0.10288032106329198"/>
  </r>
  <r>
    <x v="3"/>
    <s v="70"/>
    <x v="16"/>
    <x v="2"/>
    <x v="914"/>
    <n v="238956"/>
    <n v="0.19577382446977687"/>
  </r>
  <r>
    <x v="3"/>
    <s v="71"/>
    <x v="17"/>
    <x v="0"/>
    <x v="915"/>
    <n v="556222"/>
    <n v="0.21220847071852605"/>
  </r>
  <r>
    <x v="3"/>
    <s v="71"/>
    <x v="17"/>
    <x v="1"/>
    <x v="916"/>
    <n v="556222"/>
    <n v="0.10085690605549583"/>
  </r>
  <r>
    <x v="3"/>
    <s v="71"/>
    <x v="17"/>
    <x v="2"/>
    <x v="917"/>
    <n v="556222"/>
    <n v="0.19742809525692981"/>
  </r>
  <r>
    <x v="3"/>
    <s v="89"/>
    <x v="18"/>
    <x v="0"/>
    <x v="918"/>
    <n v="341483"/>
    <n v="0.24503380841798861"/>
  </r>
  <r>
    <x v="3"/>
    <s v="89"/>
    <x v="18"/>
    <x v="1"/>
    <x v="919"/>
    <n v="341483"/>
    <n v="9.624256551570648E-2"/>
  </r>
  <r>
    <x v="3"/>
    <s v="89"/>
    <x v="18"/>
    <x v="2"/>
    <x v="920"/>
    <n v="341483"/>
    <n v="0.17440923852724732"/>
  </r>
  <r>
    <x v="3"/>
    <s v="90"/>
    <x v="19"/>
    <x v="0"/>
    <x v="921"/>
    <n v="144318"/>
    <n v="0.22726624537479734"/>
  </r>
  <r>
    <x v="3"/>
    <s v="90"/>
    <x v="19"/>
    <x v="1"/>
    <x v="922"/>
    <n v="144318"/>
    <n v="0.14867383140010257"/>
  </r>
  <r>
    <x v="3"/>
    <s v="90"/>
    <x v="19"/>
    <x v="2"/>
    <x v="923"/>
    <n v="144318"/>
    <n v="0.12403109799193447"/>
  </r>
  <r>
    <x v="3"/>
    <s v="22"/>
    <x v="20"/>
    <x v="0"/>
    <x v="924"/>
    <n v="597085"/>
    <n v="0.22515971762814338"/>
  </r>
  <r>
    <x v="3"/>
    <s v="22"/>
    <x v="20"/>
    <x v="1"/>
    <x v="925"/>
    <n v="597085"/>
    <n v="0.10450486949094351"/>
  </r>
  <r>
    <x v="3"/>
    <s v="22"/>
    <x v="20"/>
    <x v="2"/>
    <x v="926"/>
    <n v="597085"/>
    <n v="0.30239908890693956"/>
  </r>
  <r>
    <x v="4"/>
    <s v="01"/>
    <x v="0"/>
    <x v="0"/>
    <x v="927"/>
    <n v="652432"/>
    <n v="0.18736651482453345"/>
  </r>
  <r>
    <x v="4"/>
    <s v="01"/>
    <x v="0"/>
    <x v="1"/>
    <x v="928"/>
    <n v="652432"/>
    <n v="8.3628255511685512E-2"/>
  </r>
  <r>
    <x v="4"/>
    <s v="01"/>
    <x v="0"/>
    <x v="2"/>
    <x v="929"/>
    <n v="652432"/>
    <n v="0.20029718039581135"/>
  </r>
  <r>
    <x v="4"/>
    <s v="02"/>
    <x v="42"/>
    <x v="0"/>
    <x v="930"/>
    <n v="531345"/>
    <n v="0.23059629807375623"/>
  </r>
  <r>
    <x v="4"/>
    <s v="02"/>
    <x v="42"/>
    <x v="1"/>
    <x v="931"/>
    <n v="531345"/>
    <n v="0.1134052451796855"/>
  </r>
  <r>
    <x v="4"/>
    <s v="02"/>
    <x v="42"/>
    <x v="2"/>
    <x v="932"/>
    <n v="531345"/>
    <n v="0.19477268065004846"/>
  </r>
  <r>
    <x v="4"/>
    <s v="03"/>
    <x v="1"/>
    <x v="0"/>
    <x v="933"/>
    <n v="335975"/>
    <n v="0.23970587097254259"/>
  </r>
  <r>
    <x v="4"/>
    <s v="03"/>
    <x v="1"/>
    <x v="1"/>
    <x v="934"/>
    <n v="335975"/>
    <n v="0.10125991517225985"/>
  </r>
  <r>
    <x v="4"/>
    <s v="03"/>
    <x v="1"/>
    <x v="2"/>
    <x v="935"/>
    <n v="335975"/>
    <n v="0.18844794999627951"/>
  </r>
  <r>
    <x v="3"/>
    <s v="29"/>
    <x v="21"/>
    <x v="0"/>
    <x v="936"/>
    <n v="903921"/>
    <n v="0.24754391147013954"/>
  </r>
  <r>
    <x v="3"/>
    <s v="29"/>
    <x v="21"/>
    <x v="1"/>
    <x v="937"/>
    <n v="903921"/>
    <n v="0.15293320987121664"/>
  </r>
  <r>
    <x v="3"/>
    <s v="29"/>
    <x v="21"/>
    <x v="2"/>
    <x v="938"/>
    <n v="903921"/>
    <n v="0.28148275125812988"/>
  </r>
  <r>
    <x v="4"/>
    <s v="04"/>
    <x v="90"/>
    <x v="0"/>
    <x v="939"/>
    <n v="164308"/>
    <n v="0.34548835114540982"/>
  </r>
  <r>
    <x v="4"/>
    <s v="04"/>
    <x v="90"/>
    <x v="1"/>
    <x v="940"/>
    <n v="164308"/>
    <n v="6.9662219733670913E-2"/>
  </r>
  <r>
    <x v="4"/>
    <s v="04"/>
    <x v="90"/>
    <x v="2"/>
    <x v="941"/>
    <n v="164308"/>
    <n v="0.24862191737468656"/>
  </r>
  <r>
    <x v="4"/>
    <s v="05"/>
    <x v="91"/>
    <x v="0"/>
    <x v="942"/>
    <n v="141220"/>
    <n v="0.29541360997025917"/>
  </r>
  <r>
    <x v="4"/>
    <s v="05"/>
    <x v="91"/>
    <x v="1"/>
    <x v="943"/>
    <n v="141220"/>
    <n v="0.10640001416229995"/>
  </r>
  <r>
    <x v="4"/>
    <s v="05"/>
    <x v="91"/>
    <x v="2"/>
    <x v="944"/>
    <n v="141220"/>
    <n v="0.2339874663645376"/>
  </r>
  <r>
    <x v="4"/>
    <s v="06"/>
    <x v="92"/>
    <x v="0"/>
    <x v="945"/>
    <n v="1094283"/>
    <n v="0.38181530737478331"/>
  </r>
  <r>
    <x v="4"/>
    <s v="06"/>
    <x v="92"/>
    <x v="1"/>
    <x v="946"/>
    <n v="1094283"/>
    <n v="0.13647301475029769"/>
  </r>
  <r>
    <x v="4"/>
    <s v="06"/>
    <x v="92"/>
    <x v="2"/>
    <x v="947"/>
    <n v="1094283"/>
    <n v="0.17425028991586272"/>
  </r>
  <r>
    <x v="3"/>
    <s v="35"/>
    <x v="22"/>
    <x v="0"/>
    <x v="948"/>
    <n v="1019923"/>
    <n v="0.19773560357007341"/>
  </r>
  <r>
    <x v="3"/>
    <s v="35"/>
    <x v="22"/>
    <x v="1"/>
    <x v="949"/>
    <n v="1019923"/>
    <n v="0.10522477677236419"/>
  </r>
  <r>
    <x v="3"/>
    <s v="35"/>
    <x v="22"/>
    <x v="2"/>
    <x v="950"/>
    <n v="1019923"/>
    <n v="0.16160708210325681"/>
  </r>
  <r>
    <x v="4"/>
    <s v="07"/>
    <x v="2"/>
    <x v="0"/>
    <x v="951"/>
    <n v="328278"/>
    <n v="0.23283320843918875"/>
  </r>
  <r>
    <x v="4"/>
    <s v="07"/>
    <x v="2"/>
    <x v="1"/>
    <x v="952"/>
    <n v="328278"/>
    <n v="8.8890422142208741E-2"/>
  </r>
  <r>
    <x v="4"/>
    <s v="07"/>
    <x v="2"/>
    <x v="2"/>
    <x v="953"/>
    <n v="328278"/>
    <n v="0.22796102693448844"/>
  </r>
  <r>
    <x v="4"/>
    <s v="08"/>
    <x v="32"/>
    <x v="0"/>
    <x v="954"/>
    <n v="270582"/>
    <n v="0.22700963109149908"/>
  </r>
  <r>
    <x v="4"/>
    <s v="08"/>
    <x v="32"/>
    <x v="1"/>
    <x v="955"/>
    <n v="270582"/>
    <n v="0.10535316465988129"/>
  </r>
  <r>
    <x v="4"/>
    <s v="08"/>
    <x v="32"/>
    <x v="2"/>
    <x v="956"/>
    <n v="270582"/>
    <n v="0.18569764433702168"/>
  </r>
  <r>
    <x v="4"/>
    <s v="09"/>
    <x v="72"/>
    <x v="0"/>
    <x v="957"/>
    <n v="153287"/>
    <n v="0.25130271973487645"/>
  </r>
  <r>
    <x v="4"/>
    <s v="09"/>
    <x v="72"/>
    <x v="1"/>
    <x v="958"/>
    <n v="153287"/>
    <n v="0.14579501197100864"/>
  </r>
  <r>
    <x v="4"/>
    <s v="09"/>
    <x v="72"/>
    <x v="2"/>
    <x v="959"/>
    <n v="153287"/>
    <n v="0.30262005258110602"/>
  </r>
  <r>
    <x v="3"/>
    <s v="56"/>
    <x v="23"/>
    <x v="0"/>
    <x v="960"/>
    <n v="737778"/>
    <n v="0.2125128155081881"/>
  </r>
  <r>
    <x v="3"/>
    <s v="56"/>
    <x v="23"/>
    <x v="1"/>
    <x v="961"/>
    <n v="737778"/>
    <n v="0.118304245992697"/>
  </r>
  <r>
    <x v="3"/>
    <s v="56"/>
    <x v="23"/>
    <x v="2"/>
    <x v="962"/>
    <n v="737778"/>
    <n v="0.23604004185540908"/>
  </r>
  <r>
    <x v="4"/>
    <s v="10"/>
    <x v="33"/>
    <x v="0"/>
    <x v="963"/>
    <n v="310242"/>
    <n v="0.24528800097988021"/>
  </r>
  <r>
    <x v="4"/>
    <s v="10"/>
    <x v="33"/>
    <x v="1"/>
    <x v="964"/>
    <n v="310242"/>
    <n v="0.11767413825336349"/>
  </r>
  <r>
    <x v="4"/>
    <s v="10"/>
    <x v="33"/>
    <x v="2"/>
    <x v="965"/>
    <n v="310242"/>
    <n v="0.14232279962094108"/>
  </r>
  <r>
    <x v="4"/>
    <s v="11"/>
    <x v="73"/>
    <x v="0"/>
    <x v="966"/>
    <n v="374070"/>
    <n v="0.31728002780228298"/>
  </r>
  <r>
    <x v="4"/>
    <s v="11"/>
    <x v="73"/>
    <x v="1"/>
    <x v="967"/>
    <n v="374070"/>
    <n v="8.4993503889646327E-2"/>
  </r>
  <r>
    <x v="4"/>
    <s v="11"/>
    <x v="73"/>
    <x v="2"/>
    <x v="968"/>
    <n v="374070"/>
    <n v="0.21085034886518564"/>
  </r>
  <r>
    <x v="4"/>
    <s v="12"/>
    <x v="74"/>
    <x v="0"/>
    <x v="969"/>
    <n v="279595"/>
    <n v="0.22157388365314115"/>
  </r>
  <r>
    <x v="4"/>
    <s v="12"/>
    <x v="74"/>
    <x v="1"/>
    <x v="970"/>
    <n v="279595"/>
    <n v="9.6035658720649508E-2"/>
  </r>
  <r>
    <x v="4"/>
    <s v="12"/>
    <x v="74"/>
    <x v="2"/>
    <x v="971"/>
    <n v="279595"/>
    <n v="0.19006137448809884"/>
  </r>
  <r>
    <x v="3"/>
    <s v="18"/>
    <x v="24"/>
    <x v="0"/>
    <x v="972"/>
    <n v="311650"/>
    <n v="0.20980904861222524"/>
  </r>
  <r>
    <x v="3"/>
    <s v="18"/>
    <x v="24"/>
    <x v="1"/>
    <x v="973"/>
    <n v="311650"/>
    <n v="9.1961046045243064E-2"/>
  </r>
  <r>
    <x v="3"/>
    <s v="18"/>
    <x v="24"/>
    <x v="2"/>
    <x v="974"/>
    <n v="311650"/>
    <n v="0.1839374298090807"/>
  </r>
  <r>
    <x v="4"/>
    <s v="13"/>
    <x v="93"/>
    <x v="0"/>
    <x v="975"/>
    <n v="2043110"/>
    <n v="0.36618156633759319"/>
  </r>
  <r>
    <x v="4"/>
    <s v="13"/>
    <x v="93"/>
    <x v="1"/>
    <x v="976"/>
    <n v="2043110"/>
    <n v="6.0030727665177107E-2"/>
  </r>
  <r>
    <x v="4"/>
    <s v="13"/>
    <x v="93"/>
    <x v="2"/>
    <x v="977"/>
    <n v="2043110"/>
    <n v="0.12771320193234822"/>
  </r>
  <r>
    <x v="4"/>
    <s v="14"/>
    <x v="55"/>
    <x v="0"/>
    <x v="978"/>
    <n v="694905"/>
    <n v="0.26567381152819453"/>
  </r>
  <r>
    <x v="4"/>
    <s v="14"/>
    <x v="55"/>
    <x v="1"/>
    <x v="979"/>
    <n v="694905"/>
    <n v="0.15067486922672885"/>
  </r>
  <r>
    <x v="4"/>
    <s v="14"/>
    <x v="55"/>
    <x v="2"/>
    <x v="980"/>
    <n v="694905"/>
    <n v="0.23783599197012542"/>
  </r>
  <r>
    <x v="4"/>
    <s v="15"/>
    <x v="3"/>
    <x v="0"/>
    <x v="981"/>
    <n v="144692"/>
    <n v="0.2354528930417715"/>
  </r>
  <r>
    <x v="4"/>
    <s v="15"/>
    <x v="3"/>
    <x v="1"/>
    <x v="982"/>
    <n v="144692"/>
    <n v="9.0491734166367188E-2"/>
  </r>
  <r>
    <x v="4"/>
    <s v="15"/>
    <x v="3"/>
    <x v="2"/>
    <x v="983"/>
    <n v="144692"/>
    <n v="0.1629750780969231"/>
  </r>
  <r>
    <x v="3"/>
    <s v="28"/>
    <x v="25"/>
    <x v="0"/>
    <x v="984"/>
    <n v="432967"/>
    <n v="0.25026775712698657"/>
  </r>
  <r>
    <x v="3"/>
    <s v="28"/>
    <x v="25"/>
    <x v="1"/>
    <x v="985"/>
    <n v="432967"/>
    <n v="9.9689653022054805E-2"/>
  </r>
  <r>
    <x v="3"/>
    <s v="28"/>
    <x v="25"/>
    <x v="2"/>
    <x v="986"/>
    <n v="432967"/>
    <n v="0.17508378236678546"/>
  </r>
  <r>
    <x v="4"/>
    <s v="16"/>
    <x v="60"/>
    <x v="0"/>
    <x v="987"/>
    <n v="352015"/>
    <n v="0.18335497066886353"/>
  </r>
  <r>
    <x v="4"/>
    <s v="16"/>
    <x v="60"/>
    <x v="1"/>
    <x v="988"/>
    <n v="352015"/>
    <n v="0.1104304362030027"/>
  </r>
  <r>
    <x v="4"/>
    <s v="16"/>
    <x v="60"/>
    <x v="2"/>
    <x v="989"/>
    <n v="352015"/>
    <n v="0.22198815391389573"/>
  </r>
  <r>
    <x v="4"/>
    <s v="17"/>
    <x v="61"/>
    <x v="0"/>
    <x v="990"/>
    <n v="651358"/>
    <n v="0.25343976737830809"/>
  </r>
  <r>
    <x v="4"/>
    <s v="17"/>
    <x v="61"/>
    <x v="1"/>
    <x v="991"/>
    <n v="651358"/>
    <n v="0.14803905072172291"/>
  </r>
  <r>
    <x v="4"/>
    <s v="17"/>
    <x v="61"/>
    <x v="2"/>
    <x v="992"/>
    <n v="651358"/>
    <n v="0.26256623853549044"/>
  </r>
  <r>
    <x v="4"/>
    <s v="18"/>
    <x v="24"/>
    <x v="0"/>
    <x v="993"/>
    <n v="302306"/>
    <n v="0.19660711332226288"/>
  </r>
  <r>
    <x v="4"/>
    <s v="18"/>
    <x v="24"/>
    <x v="1"/>
    <x v="994"/>
    <n v="302306"/>
    <n v="9.6865659298856127E-2"/>
  </r>
  <r>
    <x v="4"/>
    <s v="18"/>
    <x v="24"/>
    <x v="2"/>
    <x v="995"/>
    <n v="302306"/>
    <n v="0.21356258228417563"/>
  </r>
  <r>
    <x v="3"/>
    <s v="36"/>
    <x v="26"/>
    <x v="0"/>
    <x v="996"/>
    <n v="228091"/>
    <n v="0.2523641879776054"/>
  </r>
  <r>
    <x v="3"/>
    <s v="36"/>
    <x v="26"/>
    <x v="1"/>
    <x v="997"/>
    <n v="228091"/>
    <n v="7.4340241394881865E-2"/>
  </r>
  <r>
    <x v="3"/>
    <s v="36"/>
    <x v="26"/>
    <x v="2"/>
    <x v="998"/>
    <n v="228091"/>
    <n v="0.18671902880867725"/>
  </r>
  <r>
    <x v="4"/>
    <s v="19"/>
    <x v="62"/>
    <x v="0"/>
    <x v="999"/>
    <n v="240073"/>
    <n v="0.22367392418139481"/>
  </r>
  <r>
    <x v="4"/>
    <s v="19"/>
    <x v="62"/>
    <x v="1"/>
    <x v="1000"/>
    <n v="240073"/>
    <n v="9.3351688861304696E-2"/>
  </r>
  <r>
    <x v="4"/>
    <s v="19"/>
    <x v="62"/>
    <x v="2"/>
    <x v="1001"/>
    <n v="240073"/>
    <n v="0.21262603458114823"/>
  </r>
  <r>
    <x v="4"/>
    <s v="2A"/>
    <x v="30"/>
    <x v="0"/>
    <x v="1002"/>
    <n v="158507"/>
    <n v="0.45999861204867926"/>
  </r>
  <r>
    <x v="4"/>
    <s v="2A"/>
    <x v="30"/>
    <x v="1"/>
    <x v="1003"/>
    <n v="158507"/>
    <n v="0.11656362179588284"/>
  </r>
  <r>
    <x v="4"/>
    <s v="2A"/>
    <x v="30"/>
    <x v="2"/>
    <x v="1004"/>
    <n v="158507"/>
    <n v="0.18953440542058078"/>
  </r>
  <r>
    <x v="4"/>
    <s v="2B"/>
    <x v="31"/>
    <x v="0"/>
    <x v="1005"/>
    <n v="181933"/>
    <n v="0.3597912967960733"/>
  </r>
  <r>
    <x v="4"/>
    <s v="2B"/>
    <x v="31"/>
    <x v="1"/>
    <x v="1006"/>
    <n v="181933"/>
    <n v="0.1378948843805137"/>
  </r>
  <r>
    <x v="4"/>
    <s v="2B"/>
    <x v="31"/>
    <x v="2"/>
    <x v="1007"/>
    <n v="181933"/>
    <n v="0.17572029263520086"/>
  </r>
  <r>
    <x v="3"/>
    <s v="37"/>
    <x v="27"/>
    <x v="0"/>
    <x v="1008"/>
    <n v="600252"/>
    <n v="0.21182578317106815"/>
  </r>
  <r>
    <x v="3"/>
    <s v="37"/>
    <x v="27"/>
    <x v="1"/>
    <x v="1009"/>
    <n v="600252"/>
    <n v="0.121205793566702"/>
  </r>
  <r>
    <x v="3"/>
    <s v="37"/>
    <x v="27"/>
    <x v="2"/>
    <x v="1010"/>
    <n v="600252"/>
    <n v="0.14014862091255006"/>
  </r>
  <r>
    <x v="4"/>
    <s v="21"/>
    <x v="12"/>
    <x v="0"/>
    <x v="1011"/>
    <n v="534124"/>
    <n v="0.20930632212744607"/>
  </r>
  <r>
    <x v="4"/>
    <s v="21"/>
    <x v="12"/>
    <x v="1"/>
    <x v="1012"/>
    <n v="534124"/>
    <n v="0.10553725352165415"/>
  </r>
  <r>
    <x v="4"/>
    <s v="21"/>
    <x v="12"/>
    <x v="2"/>
    <x v="1013"/>
    <n v="534124"/>
    <n v="0.16409376848821622"/>
  </r>
  <r>
    <x v="4"/>
    <s v="22"/>
    <x v="20"/>
    <x v="0"/>
    <x v="1014"/>
    <n v="600582"/>
    <n v="0.20266946062319552"/>
  </r>
  <r>
    <x v="4"/>
    <s v="22"/>
    <x v="20"/>
    <x v="1"/>
    <x v="1015"/>
    <n v="600582"/>
    <n v="0.14440138066075905"/>
  </r>
  <r>
    <x v="4"/>
    <s v="22"/>
    <x v="20"/>
    <x v="2"/>
    <x v="1016"/>
    <n v="600582"/>
    <n v="0.37150931929361852"/>
  </r>
  <r>
    <x v="4"/>
    <s v="23"/>
    <x v="63"/>
    <x v="0"/>
    <x v="1017"/>
    <n v="116617"/>
    <n v="0.19871631065796583"/>
  </r>
  <r>
    <x v="4"/>
    <s v="23"/>
    <x v="63"/>
    <x v="1"/>
    <x v="1018"/>
    <n v="116617"/>
    <n v="0.10339590282720358"/>
  </r>
  <r>
    <x v="4"/>
    <s v="23"/>
    <x v="63"/>
    <x v="2"/>
    <x v="1019"/>
    <n v="116617"/>
    <n v="0.19351929821552602"/>
  </r>
  <r>
    <x v="3"/>
    <s v="41"/>
    <x v="28"/>
    <x v="0"/>
    <x v="1020"/>
    <n v="332001"/>
    <n v="0.23072508817744528"/>
  </r>
  <r>
    <x v="3"/>
    <s v="41"/>
    <x v="28"/>
    <x v="1"/>
    <x v="1021"/>
    <n v="332001"/>
    <n v="8.1772434420378251E-2"/>
  </r>
  <r>
    <x v="3"/>
    <s v="41"/>
    <x v="28"/>
    <x v="2"/>
    <x v="1022"/>
    <n v="332001"/>
    <n v="0.20925958054343211"/>
  </r>
  <r>
    <x v="4"/>
    <s v="24"/>
    <x v="64"/>
    <x v="0"/>
    <x v="1023"/>
    <n v="413223"/>
    <n v="0.2435695738136551"/>
  </r>
  <r>
    <x v="4"/>
    <s v="24"/>
    <x v="64"/>
    <x v="1"/>
    <x v="1024"/>
    <n v="413223"/>
    <n v="0.12117115939819419"/>
  </r>
  <r>
    <x v="4"/>
    <s v="24"/>
    <x v="64"/>
    <x v="2"/>
    <x v="1025"/>
    <n v="413223"/>
    <n v="0.22432819567158654"/>
  </r>
  <r>
    <x v="4"/>
    <s v="25"/>
    <x v="13"/>
    <x v="0"/>
    <x v="1026"/>
    <n v="543974"/>
    <n v="0.16554533856397549"/>
  </r>
  <r>
    <x v="4"/>
    <s v="25"/>
    <x v="13"/>
    <x v="1"/>
    <x v="1027"/>
    <n v="543974"/>
    <n v="0.10237989315665823"/>
  </r>
  <r>
    <x v="4"/>
    <s v="25"/>
    <x v="13"/>
    <x v="2"/>
    <x v="1028"/>
    <n v="543974"/>
    <n v="0.18344689268237085"/>
  </r>
  <r>
    <x v="4"/>
    <s v="26"/>
    <x v="4"/>
    <x v="0"/>
    <x v="1029"/>
    <n v="516762"/>
    <n v="0.24056770815191519"/>
  </r>
  <r>
    <x v="4"/>
    <s v="26"/>
    <x v="4"/>
    <x v="1"/>
    <x v="1030"/>
    <n v="516762"/>
    <n v="7.489246500323167E-2"/>
  </r>
  <r>
    <x v="4"/>
    <s v="26"/>
    <x v="4"/>
    <x v="2"/>
    <x v="1031"/>
    <n v="516762"/>
    <n v="0.22496129746382279"/>
  </r>
  <r>
    <x v="3"/>
    <s v="45"/>
    <x v="29"/>
    <x v="0"/>
    <x v="1032"/>
    <n v="665587"/>
    <n v="0.22687412764972872"/>
  </r>
  <r>
    <x v="3"/>
    <s v="45"/>
    <x v="29"/>
    <x v="1"/>
    <x v="1033"/>
    <n v="665587"/>
    <n v="7.1704690746664218E-2"/>
  </r>
  <r>
    <x v="3"/>
    <s v="45"/>
    <x v="29"/>
    <x v="2"/>
    <x v="1034"/>
    <n v="665587"/>
    <n v="0.20140747941290923"/>
  </r>
  <r>
    <x v="4"/>
    <s v="27"/>
    <x v="56"/>
    <x v="0"/>
    <x v="1035"/>
    <n v="599507"/>
    <n v="0.248504271009346"/>
  </r>
  <r>
    <x v="4"/>
    <s v="27"/>
    <x v="56"/>
    <x v="1"/>
    <x v="1036"/>
    <n v="599507"/>
    <n v="9.9074139251084645E-2"/>
  </r>
  <r>
    <x v="4"/>
    <s v="27"/>
    <x v="56"/>
    <x v="2"/>
    <x v="1037"/>
    <n v="599507"/>
    <n v="0.22075877345885869"/>
  </r>
  <r>
    <x v="4"/>
    <s v="28"/>
    <x v="25"/>
    <x v="0"/>
    <x v="1038"/>
    <n v="431575"/>
    <n v="0.24140232867983549"/>
  </r>
  <r>
    <x v="4"/>
    <s v="28"/>
    <x v="25"/>
    <x v="1"/>
    <x v="1039"/>
    <n v="431575"/>
    <n v="0.11587249029716735"/>
  </r>
  <r>
    <x v="4"/>
    <s v="28"/>
    <x v="25"/>
    <x v="2"/>
    <x v="1040"/>
    <n v="431575"/>
    <n v="0.15523635521056597"/>
  </r>
  <r>
    <x v="4"/>
    <s v="29"/>
    <x v="21"/>
    <x v="0"/>
    <x v="1041"/>
    <n v="915090"/>
    <n v="0.22056951775235223"/>
  </r>
  <r>
    <x v="4"/>
    <s v="29"/>
    <x v="21"/>
    <x v="1"/>
    <x v="1042"/>
    <n v="915090"/>
    <n v="0.15399665606661639"/>
  </r>
  <r>
    <x v="4"/>
    <s v="29"/>
    <x v="21"/>
    <x v="2"/>
    <x v="1043"/>
    <n v="915090"/>
    <n v="0.30911841458217221"/>
  </r>
  <r>
    <x v="3"/>
    <s v="2A"/>
    <x v="30"/>
    <x v="0"/>
    <x v="1044"/>
    <n v="149234"/>
    <n v="0.52308160338796783"/>
  </r>
  <r>
    <x v="3"/>
    <s v="2A"/>
    <x v="30"/>
    <x v="1"/>
    <x v="1045"/>
    <n v="149234"/>
    <n v="5.7080357023198469E-2"/>
  </r>
  <r>
    <x v="3"/>
    <s v="2A"/>
    <x v="30"/>
    <x v="2"/>
    <x v="1046"/>
    <n v="149234"/>
    <n v="9.6633742980822071E-2"/>
  </r>
  <r>
    <x v="4"/>
    <s v="30"/>
    <x v="75"/>
    <x v="0"/>
    <x v="1047"/>
    <n v="748437"/>
    <n v="0.2819139887525603"/>
  </r>
  <r>
    <x v="4"/>
    <s v="30"/>
    <x v="75"/>
    <x v="1"/>
    <x v="1048"/>
    <n v="748437"/>
    <n v="8.7583630953573924E-2"/>
  </r>
  <r>
    <x v="4"/>
    <s v="30"/>
    <x v="75"/>
    <x v="2"/>
    <x v="1049"/>
    <n v="748437"/>
    <n v="0.21386501469061522"/>
  </r>
  <r>
    <x v="4"/>
    <s v="31"/>
    <x v="76"/>
    <x v="0"/>
    <x v="1050"/>
    <n v="1400039"/>
    <n v="0.24604375306687884"/>
  </r>
  <r>
    <x v="4"/>
    <s v="31"/>
    <x v="76"/>
    <x v="1"/>
    <x v="1051"/>
    <n v="1400039"/>
    <n v="0.10707123158712006"/>
  </r>
  <r>
    <x v="4"/>
    <s v="31"/>
    <x v="76"/>
    <x v="2"/>
    <x v="1052"/>
    <n v="1400039"/>
    <n v="0.11743165726097629"/>
  </r>
  <r>
    <x v="4"/>
    <s v="32"/>
    <x v="77"/>
    <x v="0"/>
    <x v="1053"/>
    <n v="191377"/>
    <n v="0.23009609305193413"/>
  </r>
  <r>
    <x v="4"/>
    <s v="32"/>
    <x v="77"/>
    <x v="1"/>
    <x v="1054"/>
    <n v="191377"/>
    <n v="9.7080004389242178E-2"/>
  </r>
  <r>
    <x v="4"/>
    <s v="32"/>
    <x v="77"/>
    <x v="2"/>
    <x v="1055"/>
    <n v="191377"/>
    <n v="0.17787194908479076"/>
  </r>
  <r>
    <x v="3"/>
    <s v="2B"/>
    <x v="31"/>
    <x v="0"/>
    <x v="1056"/>
    <n v="170974"/>
    <n v="0.4600960964825061"/>
  </r>
  <r>
    <x v="3"/>
    <s v="2B"/>
    <x v="31"/>
    <x v="1"/>
    <x v="1057"/>
    <n v="170974"/>
    <n v="5.7545123819996019E-2"/>
  </r>
  <r>
    <x v="3"/>
    <s v="2B"/>
    <x v="31"/>
    <x v="2"/>
    <x v="1058"/>
    <n v="170974"/>
    <n v="0.16431498356475255"/>
  </r>
  <r>
    <x v="4"/>
    <s v="33"/>
    <x v="65"/>
    <x v="0"/>
    <x v="1059"/>
    <n v="1623749"/>
    <n v="0.24299062847767727"/>
  </r>
  <r>
    <x v="4"/>
    <s v="33"/>
    <x v="65"/>
    <x v="1"/>
    <x v="1060"/>
    <n v="1623749"/>
    <n v="0.10008147811022518"/>
  </r>
  <r>
    <x v="4"/>
    <s v="33"/>
    <x v="65"/>
    <x v="2"/>
    <x v="1061"/>
    <n v="1623749"/>
    <n v="0.20550982325470254"/>
  </r>
  <r>
    <x v="4"/>
    <s v="34"/>
    <x v="78"/>
    <x v="0"/>
    <x v="1062"/>
    <n v="1175623"/>
    <n v="0.28918064719727327"/>
  </r>
  <r>
    <x v="4"/>
    <s v="34"/>
    <x v="78"/>
    <x v="1"/>
    <x v="1063"/>
    <n v="1175623"/>
    <n v="9.8968878628607981E-2"/>
  </r>
  <r>
    <x v="4"/>
    <s v="34"/>
    <x v="78"/>
    <x v="2"/>
    <x v="1064"/>
    <n v="1175623"/>
    <n v="0.19541214317855299"/>
  </r>
  <r>
    <x v="4"/>
    <s v="35"/>
    <x v="22"/>
    <x v="0"/>
    <x v="1065"/>
    <n v="1079498"/>
    <n v="0.17099354514783724"/>
  </r>
  <r>
    <x v="4"/>
    <s v="35"/>
    <x v="22"/>
    <x v="1"/>
    <x v="1066"/>
    <n v="1079498"/>
    <n v="0.10571336862134066"/>
  </r>
  <r>
    <x v="4"/>
    <s v="35"/>
    <x v="22"/>
    <x v="2"/>
    <x v="1067"/>
    <n v="1079498"/>
    <n v="0.19439544121434221"/>
  </r>
  <r>
    <x v="4"/>
    <s v="36"/>
    <x v="26"/>
    <x v="0"/>
    <x v="1068"/>
    <n v="219316"/>
    <n v="0.17287197468492949"/>
  </r>
  <r>
    <x v="4"/>
    <s v="36"/>
    <x v="26"/>
    <x v="1"/>
    <x v="1069"/>
    <n v="219316"/>
    <n v="0.12655538127633187"/>
  </r>
  <r>
    <x v="4"/>
    <s v="36"/>
    <x v="26"/>
    <x v="2"/>
    <x v="1070"/>
    <n v="219316"/>
    <n v="0.17191668642506702"/>
  </r>
  <r>
    <x v="4"/>
    <s v="37"/>
    <x v="27"/>
    <x v="0"/>
    <x v="1071"/>
    <n v="610079"/>
    <n v="0.20648799581693519"/>
  </r>
  <r>
    <x v="4"/>
    <s v="37"/>
    <x v="27"/>
    <x v="1"/>
    <x v="1072"/>
    <n v="610079"/>
    <n v="0.13047757749406225"/>
  </r>
  <r>
    <x v="4"/>
    <s v="37"/>
    <x v="27"/>
    <x v="2"/>
    <x v="1073"/>
    <n v="610079"/>
    <n v="0.15300990527456282"/>
  </r>
  <r>
    <x v="4"/>
    <s v="38"/>
    <x v="5"/>
    <x v="0"/>
    <x v="1074"/>
    <n v="1271166"/>
    <n v="0.2093052048276936"/>
  </r>
  <r>
    <x v="4"/>
    <s v="38"/>
    <x v="5"/>
    <x v="1"/>
    <x v="1075"/>
    <n v="1271166"/>
    <n v="8.364116881666124E-2"/>
  </r>
  <r>
    <x v="4"/>
    <s v="38"/>
    <x v="5"/>
    <x v="2"/>
    <x v="1076"/>
    <n v="1271166"/>
    <n v="0.20609755924875273"/>
  </r>
  <r>
    <x v="4"/>
    <s v="39"/>
    <x v="14"/>
    <x v="0"/>
    <x v="1077"/>
    <n v="259199"/>
    <n v="0.1846606275487174"/>
  </r>
  <r>
    <x v="4"/>
    <s v="39"/>
    <x v="14"/>
    <x v="1"/>
    <x v="1078"/>
    <n v="259199"/>
    <n v="0.13133600052469341"/>
  </r>
  <r>
    <x v="4"/>
    <s v="39"/>
    <x v="14"/>
    <x v="2"/>
    <x v="1079"/>
    <n v="259199"/>
    <n v="0.16065698555935787"/>
  </r>
  <r>
    <x v="4"/>
    <s v="40"/>
    <x v="66"/>
    <x v="0"/>
    <x v="1080"/>
    <n v="413690"/>
    <n v="0.2957123933380067"/>
  </r>
  <r>
    <x v="4"/>
    <s v="40"/>
    <x v="66"/>
    <x v="1"/>
    <x v="1081"/>
    <n v="413690"/>
    <n v="0.10254221760255264"/>
  </r>
  <r>
    <x v="4"/>
    <s v="40"/>
    <x v="66"/>
    <x v="2"/>
    <x v="1082"/>
    <n v="413690"/>
    <n v="0.48835923034156009"/>
  </r>
  <r>
    <x v="4"/>
    <s v="41"/>
    <x v="28"/>
    <x v="0"/>
    <x v="1083"/>
    <n v="329470"/>
    <n v="0.2172295201384041"/>
  </r>
  <r>
    <x v="4"/>
    <s v="41"/>
    <x v="28"/>
    <x v="1"/>
    <x v="1084"/>
    <n v="329470"/>
    <n v="8.4659270950314142E-2"/>
  </r>
  <r>
    <x v="4"/>
    <s v="41"/>
    <x v="28"/>
    <x v="2"/>
    <x v="1085"/>
    <n v="329470"/>
    <n v="0.25840874738215919"/>
  </r>
  <r>
    <x v="4"/>
    <s v="42"/>
    <x v="6"/>
    <x v="0"/>
    <x v="1086"/>
    <n v="765634"/>
    <n v="0.2207850226087138"/>
  </r>
  <r>
    <x v="4"/>
    <s v="42"/>
    <x v="6"/>
    <x v="1"/>
    <x v="1087"/>
    <n v="765634"/>
    <n v="8.6569744812795682E-2"/>
  </r>
  <r>
    <x v="4"/>
    <s v="42"/>
    <x v="6"/>
    <x v="2"/>
    <x v="1088"/>
    <n v="765634"/>
    <n v="0.18499596412907474"/>
  </r>
  <r>
    <x v="4"/>
    <s v="43"/>
    <x v="7"/>
    <x v="0"/>
    <x v="1089"/>
    <n v="227570"/>
    <n v="0.21064397767719822"/>
  </r>
  <r>
    <x v="4"/>
    <s v="43"/>
    <x v="7"/>
    <x v="1"/>
    <x v="1090"/>
    <n v="227570"/>
    <n v="8.8999648459814562E-2"/>
  </r>
  <r>
    <x v="4"/>
    <s v="43"/>
    <x v="7"/>
    <x v="2"/>
    <x v="1091"/>
    <n v="227570"/>
    <n v="0.18377097156918751"/>
  </r>
  <r>
    <x v="4"/>
    <s v="44"/>
    <x v="85"/>
    <x v="0"/>
    <x v="1092"/>
    <n v="1429272"/>
    <n v="0.18545754062207895"/>
  </r>
  <r>
    <x v="4"/>
    <s v="44"/>
    <x v="85"/>
    <x v="1"/>
    <x v="1093"/>
    <n v="1429272"/>
    <n v="9.8285525778158397E-2"/>
  </r>
  <r>
    <x v="4"/>
    <s v="44"/>
    <x v="85"/>
    <x v="2"/>
    <x v="1094"/>
    <n v="1429272"/>
    <n v="0.21775183450036101"/>
  </r>
  <r>
    <x v="4"/>
    <s v="45"/>
    <x v="29"/>
    <x v="0"/>
    <x v="1095"/>
    <n v="680434"/>
    <n v="0.21162605043251806"/>
  </r>
  <r>
    <x v="4"/>
    <s v="45"/>
    <x v="29"/>
    <x v="1"/>
    <x v="1096"/>
    <n v="680434"/>
    <n v="8.1227202050456027E-2"/>
  </r>
  <r>
    <x v="4"/>
    <s v="45"/>
    <x v="29"/>
    <x v="2"/>
    <x v="1097"/>
    <n v="680434"/>
    <n v="0.24041686629415931"/>
  </r>
  <r>
    <x v="4"/>
    <s v="46"/>
    <x v="79"/>
    <x v="0"/>
    <x v="1098"/>
    <n v="174094"/>
    <n v="0.21748561122152402"/>
  </r>
  <r>
    <x v="4"/>
    <s v="46"/>
    <x v="79"/>
    <x v="1"/>
    <x v="1099"/>
    <n v="174094"/>
    <n v="0.1437301113191724"/>
  </r>
  <r>
    <x v="4"/>
    <s v="46"/>
    <x v="79"/>
    <x v="2"/>
    <x v="1100"/>
    <n v="174094"/>
    <n v="0.22909255919216057"/>
  </r>
  <r>
    <x v="4"/>
    <s v="47"/>
    <x v="67"/>
    <x v="0"/>
    <x v="1101"/>
    <n v="331271"/>
    <n v="0.2469523441532763"/>
  </r>
  <r>
    <x v="4"/>
    <s v="47"/>
    <x v="67"/>
    <x v="1"/>
    <x v="1102"/>
    <n v="331271"/>
    <n v="0.10217169628491476"/>
  </r>
  <r>
    <x v="4"/>
    <s v="47"/>
    <x v="67"/>
    <x v="2"/>
    <x v="1103"/>
    <n v="331271"/>
    <n v="0.23040039725783423"/>
  </r>
  <r>
    <x v="4"/>
    <s v="48"/>
    <x v="80"/>
    <x v="0"/>
    <x v="1104"/>
    <n v="76604"/>
    <n v="0.25784632656258161"/>
  </r>
  <r>
    <x v="4"/>
    <s v="48"/>
    <x v="80"/>
    <x v="1"/>
    <x v="1105"/>
    <n v="76604"/>
    <n v="8.3105059788000632E-2"/>
  </r>
  <r>
    <x v="4"/>
    <s v="48"/>
    <x v="80"/>
    <x v="2"/>
    <x v="1106"/>
    <n v="76604"/>
    <n v="0.18259294553809202"/>
  </r>
  <r>
    <x v="4"/>
    <s v="49"/>
    <x v="86"/>
    <x v="0"/>
    <x v="1107"/>
    <n v="818273"/>
    <n v="0.14598009466278369"/>
  </r>
  <r>
    <x v="4"/>
    <s v="49"/>
    <x v="86"/>
    <x v="1"/>
    <x v="1108"/>
    <n v="818273"/>
    <n v="9.7512773854202706E-2"/>
  </r>
  <r>
    <x v="4"/>
    <s v="49"/>
    <x v="86"/>
    <x v="2"/>
    <x v="1109"/>
    <n v="818273"/>
    <n v="0.17329348518159587"/>
  </r>
  <r>
    <x v="4"/>
    <s v="50"/>
    <x v="57"/>
    <x v="0"/>
    <x v="1110"/>
    <n v="495045"/>
    <n v="0.21963274045793815"/>
  </r>
  <r>
    <x v="4"/>
    <s v="50"/>
    <x v="57"/>
    <x v="1"/>
    <x v="1111"/>
    <n v="495045"/>
    <n v="0.10244834307992202"/>
  </r>
  <r>
    <x v="4"/>
    <s v="50"/>
    <x v="57"/>
    <x v="2"/>
    <x v="1112"/>
    <n v="495045"/>
    <n v="0.31454540496318517"/>
  </r>
  <r>
    <x v="3"/>
    <s v="08"/>
    <x v="32"/>
    <x v="0"/>
    <x v="1113"/>
    <n v="280907"/>
    <n v="0.25221696148547385"/>
  </r>
  <r>
    <x v="3"/>
    <s v="08"/>
    <x v="32"/>
    <x v="1"/>
    <x v="1114"/>
    <n v="280907"/>
    <n v="0.10854574645701245"/>
  </r>
  <r>
    <x v="3"/>
    <s v="08"/>
    <x v="32"/>
    <x v="2"/>
    <x v="1115"/>
    <n v="280907"/>
    <n v="0.13205730010288103"/>
  </r>
  <r>
    <x v="4"/>
    <s v="51"/>
    <x v="34"/>
    <x v="0"/>
    <x v="1116"/>
    <n v="566855"/>
    <n v="0.23172761993807939"/>
  </r>
  <r>
    <x v="4"/>
    <s v="51"/>
    <x v="34"/>
    <x v="1"/>
    <x v="1117"/>
    <n v="566855"/>
    <n v="0.10396074833952244"/>
  </r>
  <r>
    <x v="4"/>
    <s v="51"/>
    <x v="34"/>
    <x v="2"/>
    <x v="1118"/>
    <n v="566855"/>
    <n v="0.15433830521032715"/>
  </r>
  <r>
    <x v="4"/>
    <s v="52"/>
    <x v="35"/>
    <x v="0"/>
    <x v="1119"/>
    <n v="172512"/>
    <n v="0.23091257419773698"/>
  </r>
  <r>
    <x v="4"/>
    <s v="52"/>
    <x v="35"/>
    <x v="1"/>
    <x v="1120"/>
    <n v="172512"/>
    <n v="8.2234453255425707E-2"/>
  </r>
  <r>
    <x v="4"/>
    <s v="52"/>
    <x v="35"/>
    <x v="2"/>
    <x v="1121"/>
    <n v="172512"/>
    <n v="0.18118496104618811"/>
  </r>
  <r>
    <x v="4"/>
    <s v="53"/>
    <x v="87"/>
    <x v="0"/>
    <x v="1122"/>
    <n v="307062"/>
    <n v="0.16304381525555098"/>
  </r>
  <r>
    <x v="4"/>
    <s v="53"/>
    <x v="87"/>
    <x v="1"/>
    <x v="1123"/>
    <n v="307062"/>
    <n v="0.13869273957702352"/>
  </r>
  <r>
    <x v="4"/>
    <s v="53"/>
    <x v="87"/>
    <x v="2"/>
    <x v="1124"/>
    <n v="307062"/>
    <n v="0.28720085845855237"/>
  </r>
  <r>
    <x v="3"/>
    <s v="10"/>
    <x v="33"/>
    <x v="0"/>
    <x v="1125"/>
    <n v="306581"/>
    <n v="0.26072091877839787"/>
  </r>
  <r>
    <x v="3"/>
    <s v="10"/>
    <x v="33"/>
    <x v="1"/>
    <x v="1126"/>
    <n v="306581"/>
    <n v="0.11046744579735861"/>
  </r>
  <r>
    <x v="3"/>
    <s v="10"/>
    <x v="33"/>
    <x v="2"/>
    <x v="1127"/>
    <n v="306581"/>
    <n v="0.12628704975194158"/>
  </r>
  <r>
    <x v="4"/>
    <s v="54"/>
    <x v="36"/>
    <x v="0"/>
    <x v="1128"/>
    <n v="733760"/>
    <n v="0.23275205789358919"/>
  </r>
  <r>
    <x v="4"/>
    <s v="54"/>
    <x v="36"/>
    <x v="1"/>
    <x v="1129"/>
    <n v="733760"/>
    <n v="0.10613722470562582"/>
  </r>
  <r>
    <x v="4"/>
    <s v="54"/>
    <x v="36"/>
    <x v="2"/>
    <x v="1130"/>
    <n v="733760"/>
    <n v="0.13544406890536415"/>
  </r>
  <r>
    <x v="4"/>
    <s v="55"/>
    <x v="37"/>
    <x v="0"/>
    <x v="1131"/>
    <n v="184083"/>
    <n v="0.19894449786237731"/>
  </r>
  <r>
    <x v="4"/>
    <s v="55"/>
    <x v="37"/>
    <x v="1"/>
    <x v="1132"/>
    <n v="184083"/>
    <n v="9.1261115909671175E-2"/>
  </r>
  <r>
    <x v="4"/>
    <s v="55"/>
    <x v="37"/>
    <x v="2"/>
    <x v="1133"/>
    <n v="184083"/>
    <n v="0.1715787443707458"/>
  </r>
  <r>
    <x v="4"/>
    <s v="56"/>
    <x v="23"/>
    <x v="0"/>
    <x v="1134"/>
    <n v="759684"/>
    <n v="0.18870443500192183"/>
  </r>
  <r>
    <x v="4"/>
    <s v="56"/>
    <x v="23"/>
    <x v="1"/>
    <x v="1135"/>
    <n v="759684"/>
    <n v="0.13323344969750581"/>
  </r>
  <r>
    <x v="4"/>
    <s v="56"/>
    <x v="23"/>
    <x v="2"/>
    <x v="1136"/>
    <n v="759684"/>
    <n v="0.28668109371791428"/>
  </r>
  <r>
    <x v="3"/>
    <s v="51"/>
    <x v="34"/>
    <x v="0"/>
    <x v="1137"/>
    <n v="569999"/>
    <n v="0.2475195044201832"/>
  </r>
  <r>
    <x v="3"/>
    <s v="51"/>
    <x v="34"/>
    <x v="1"/>
    <x v="1138"/>
    <n v="569999"/>
    <n v="0.10477627153731849"/>
  </r>
  <r>
    <x v="3"/>
    <s v="51"/>
    <x v="34"/>
    <x v="2"/>
    <x v="1139"/>
    <n v="569999"/>
    <n v="0.12820215474062235"/>
  </r>
  <r>
    <x v="4"/>
    <s v="57"/>
    <x v="38"/>
    <x v="0"/>
    <x v="1140"/>
    <n v="1046543"/>
    <n v="0.20728549137493632"/>
  </r>
  <r>
    <x v="4"/>
    <s v="57"/>
    <x v="38"/>
    <x v="1"/>
    <x v="1141"/>
    <n v="1046543"/>
    <n v="0.12113153496798507"/>
  </r>
  <r>
    <x v="4"/>
    <s v="57"/>
    <x v="38"/>
    <x v="2"/>
    <x v="1142"/>
    <n v="1046543"/>
    <n v="0.17798920827906736"/>
  </r>
  <r>
    <x v="4"/>
    <s v="58"/>
    <x v="15"/>
    <x v="0"/>
    <x v="1143"/>
    <n v="204452"/>
    <n v="0.19160624498659831"/>
  </r>
  <r>
    <x v="4"/>
    <s v="58"/>
    <x v="15"/>
    <x v="1"/>
    <x v="1144"/>
    <n v="204452"/>
    <n v="0.12394312601490813"/>
  </r>
  <r>
    <x v="4"/>
    <s v="58"/>
    <x v="15"/>
    <x v="2"/>
    <x v="1145"/>
    <n v="204452"/>
    <n v="0.19146562518341712"/>
  </r>
  <r>
    <x v="4"/>
    <s v="59"/>
    <x v="43"/>
    <x v="0"/>
    <x v="1146"/>
    <n v="2608346"/>
    <n v="0.23540267663875883"/>
  </r>
  <r>
    <x v="4"/>
    <s v="59"/>
    <x v="43"/>
    <x v="1"/>
    <x v="1147"/>
    <n v="2608346"/>
    <n v="0.15041876346159597"/>
  </r>
  <r>
    <x v="4"/>
    <s v="59"/>
    <x v="43"/>
    <x v="2"/>
    <x v="1148"/>
    <n v="2608346"/>
    <n v="0.12423832574359382"/>
  </r>
  <r>
    <x v="3"/>
    <s v="52"/>
    <x v="35"/>
    <x v="0"/>
    <x v="1149"/>
    <n v="181521"/>
    <n v="0.24637265109822004"/>
  </r>
  <r>
    <x v="3"/>
    <s v="52"/>
    <x v="35"/>
    <x v="1"/>
    <x v="1150"/>
    <n v="181521"/>
    <n v="8.4200450636565463E-2"/>
  </r>
  <r>
    <x v="3"/>
    <s v="52"/>
    <x v="35"/>
    <x v="2"/>
    <x v="1151"/>
    <n v="181521"/>
    <n v="0.1525915458817437"/>
  </r>
  <r>
    <x v="4"/>
    <s v="60"/>
    <x v="44"/>
    <x v="0"/>
    <x v="1152"/>
    <n v="829419"/>
    <n v="0.23025538358778858"/>
  </r>
  <r>
    <x v="4"/>
    <s v="60"/>
    <x v="44"/>
    <x v="1"/>
    <x v="1153"/>
    <n v="829419"/>
    <n v="0.15418468831796717"/>
  </r>
  <r>
    <x v="4"/>
    <s v="60"/>
    <x v="44"/>
    <x v="2"/>
    <x v="1154"/>
    <n v="829419"/>
    <n v="0.1749223492589391"/>
  </r>
  <r>
    <x v="4"/>
    <s v="61"/>
    <x v="58"/>
    <x v="0"/>
    <x v="1155"/>
    <n v="279942"/>
    <n v="0.2063373484507505"/>
  </r>
  <r>
    <x v="4"/>
    <s v="61"/>
    <x v="58"/>
    <x v="1"/>
    <x v="1156"/>
    <n v="279942"/>
    <n v="8.636017460759729E-2"/>
  </r>
  <r>
    <x v="4"/>
    <s v="61"/>
    <x v="58"/>
    <x v="2"/>
    <x v="1157"/>
    <n v="279942"/>
    <n v="0.26237581356138057"/>
  </r>
  <r>
    <x v="4"/>
    <s v="62"/>
    <x v="45"/>
    <x v="0"/>
    <x v="1158"/>
    <n v="1465278"/>
    <n v="0.25790518932243572"/>
  </r>
  <r>
    <x v="4"/>
    <s v="62"/>
    <x v="45"/>
    <x v="1"/>
    <x v="1159"/>
    <n v="1465278"/>
    <n v="0.14720883682140862"/>
  </r>
  <r>
    <x v="4"/>
    <s v="62"/>
    <x v="45"/>
    <x v="2"/>
    <x v="1160"/>
    <n v="1465278"/>
    <n v="0.14759608074372235"/>
  </r>
  <r>
    <x v="3"/>
    <s v="54"/>
    <x v="36"/>
    <x v="0"/>
    <x v="1161"/>
    <n v="731004"/>
    <n v="0.26357740860515128"/>
  </r>
  <r>
    <x v="3"/>
    <s v="54"/>
    <x v="36"/>
    <x v="1"/>
    <x v="1162"/>
    <n v="731004"/>
    <n v="0.10344905089438634"/>
  </r>
  <r>
    <x v="3"/>
    <s v="54"/>
    <x v="36"/>
    <x v="2"/>
    <x v="1163"/>
    <n v="731004"/>
    <n v="0.11036274767306335"/>
  </r>
  <r>
    <x v="4"/>
    <s v="63"/>
    <x v="8"/>
    <x v="0"/>
    <x v="1164"/>
    <n v="662152"/>
    <n v="0.20083763244693062"/>
  </r>
  <r>
    <x v="4"/>
    <s v="63"/>
    <x v="8"/>
    <x v="1"/>
    <x v="1165"/>
    <n v="662152"/>
    <n v="0.10874790078410999"/>
  </r>
  <r>
    <x v="4"/>
    <s v="63"/>
    <x v="8"/>
    <x v="2"/>
    <x v="1166"/>
    <n v="662152"/>
    <n v="0.14814285843733765"/>
  </r>
  <r>
    <x v="4"/>
    <s v="64"/>
    <x v="68"/>
    <x v="0"/>
    <x v="1167"/>
    <n v="682621"/>
    <n v="0.24101123463825458"/>
  </r>
  <r>
    <x v="4"/>
    <s v="64"/>
    <x v="68"/>
    <x v="1"/>
    <x v="1168"/>
    <n v="682621"/>
    <n v="0.11169000074712029"/>
  </r>
  <r>
    <x v="4"/>
    <s v="64"/>
    <x v="68"/>
    <x v="2"/>
    <x v="1169"/>
    <n v="682621"/>
    <n v="0.19595837221532883"/>
  </r>
  <r>
    <x v="4"/>
    <s v="65"/>
    <x v="81"/>
    <x v="0"/>
    <x v="1170"/>
    <n v="229567"/>
    <n v="0.24645062225842565"/>
  </r>
  <r>
    <x v="4"/>
    <s v="65"/>
    <x v="81"/>
    <x v="1"/>
    <x v="1171"/>
    <n v="229567"/>
    <n v="9.9076130280048968E-2"/>
  </r>
  <r>
    <x v="4"/>
    <s v="65"/>
    <x v="81"/>
    <x v="2"/>
    <x v="1172"/>
    <n v="229567"/>
    <n v="0.21861042745690801"/>
  </r>
  <r>
    <x v="3"/>
    <s v="55"/>
    <x v="37"/>
    <x v="0"/>
    <x v="1173"/>
    <n v="192094"/>
    <n v="0.24132508042937312"/>
  </r>
  <r>
    <x v="3"/>
    <s v="55"/>
    <x v="37"/>
    <x v="1"/>
    <x v="1174"/>
    <n v="192094"/>
    <n v="7.9654335898049919E-2"/>
  </r>
  <r>
    <x v="3"/>
    <s v="55"/>
    <x v="37"/>
    <x v="2"/>
    <x v="1175"/>
    <n v="192094"/>
    <n v="0.13407050714754234"/>
  </r>
  <r>
    <x v="4"/>
    <s v="66"/>
    <x v="82"/>
    <x v="0"/>
    <x v="1176"/>
    <n v="479979"/>
    <n v="0.33365997262380231"/>
  </r>
  <r>
    <x v="4"/>
    <s v="66"/>
    <x v="82"/>
    <x v="1"/>
    <x v="1177"/>
    <n v="479979"/>
    <n v="0.10224497321757828"/>
  </r>
  <r>
    <x v="4"/>
    <s v="66"/>
    <x v="82"/>
    <x v="2"/>
    <x v="1178"/>
    <n v="479979"/>
    <n v="0.20432312663679036"/>
  </r>
  <r>
    <x v="4"/>
    <s v="67"/>
    <x v="39"/>
    <x v="0"/>
    <x v="1179"/>
    <n v="1140057"/>
    <n v="0.19309144191913211"/>
  </r>
  <r>
    <x v="4"/>
    <s v="67"/>
    <x v="39"/>
    <x v="1"/>
    <x v="1180"/>
    <n v="1140057"/>
    <n v="0.10428689969010321"/>
  </r>
  <r>
    <x v="4"/>
    <s v="67"/>
    <x v="39"/>
    <x v="2"/>
    <x v="1181"/>
    <n v="1140057"/>
    <n v="0.14679674788190417"/>
  </r>
  <r>
    <x v="4"/>
    <s v="68"/>
    <x v="40"/>
    <x v="0"/>
    <x v="1182"/>
    <n v="767086"/>
    <n v="0.17792758569443323"/>
  </r>
  <r>
    <x v="4"/>
    <s v="68"/>
    <x v="40"/>
    <x v="1"/>
    <x v="1183"/>
    <n v="767086"/>
    <n v="0.17682057813595867"/>
  </r>
  <r>
    <x v="4"/>
    <s v="68"/>
    <x v="40"/>
    <x v="2"/>
    <x v="1184"/>
    <n v="767086"/>
    <n v="0.17297945732290773"/>
  </r>
  <r>
    <x v="3"/>
    <s v="57"/>
    <x v="38"/>
    <x v="0"/>
    <x v="1185"/>
    <n v="1046873"/>
    <n v="0.25015809940651829"/>
  </r>
  <r>
    <x v="3"/>
    <s v="57"/>
    <x v="38"/>
    <x v="1"/>
    <x v="1186"/>
    <n v="1046873"/>
    <n v="0.11443525623451936"/>
  </r>
  <r>
    <x v="3"/>
    <s v="57"/>
    <x v="38"/>
    <x v="2"/>
    <x v="1187"/>
    <n v="1046873"/>
    <n v="0.14880678936222444"/>
  </r>
  <r>
    <x v="4"/>
    <s v="69"/>
    <x v="9"/>
    <x v="0"/>
    <x v="1188"/>
    <n v="1875747"/>
    <n v="0.21729787652599206"/>
  </r>
  <r>
    <x v="4"/>
    <s v="69"/>
    <x v="9"/>
    <x v="1"/>
    <x v="1189"/>
    <n v="1875747"/>
    <n v="6.723801237586946E-2"/>
  </r>
  <r>
    <x v="4"/>
    <s v="69"/>
    <x v="9"/>
    <x v="2"/>
    <x v="1190"/>
    <n v="1875747"/>
    <n v="0.1016715260640161"/>
  </r>
  <r>
    <x v="4"/>
    <s v="70"/>
    <x v="16"/>
    <x v="0"/>
    <x v="1191"/>
    <n v="235313"/>
    <n v="0.13419700569029336"/>
  </r>
  <r>
    <x v="4"/>
    <s v="70"/>
    <x v="16"/>
    <x v="1"/>
    <x v="1192"/>
    <n v="235313"/>
    <n v="0.11620913421697909"/>
  </r>
  <r>
    <x v="4"/>
    <s v="70"/>
    <x v="16"/>
    <x v="2"/>
    <x v="1193"/>
    <n v="235313"/>
    <n v="0.24544810528955049"/>
  </r>
  <r>
    <x v="4"/>
    <s v="71"/>
    <x v="17"/>
    <x v="0"/>
    <x v="1194"/>
    <n v="551493"/>
    <n v="0.19642871260378644"/>
  </r>
  <r>
    <x v="4"/>
    <s v="71"/>
    <x v="17"/>
    <x v="1"/>
    <x v="1195"/>
    <n v="551493"/>
    <n v="9.974462051195572E-2"/>
  </r>
  <r>
    <x v="4"/>
    <s v="71"/>
    <x v="17"/>
    <x v="2"/>
    <x v="1196"/>
    <n v="551493"/>
    <n v="0.19957595110001397"/>
  </r>
  <r>
    <x v="3"/>
    <s v="67"/>
    <x v="39"/>
    <x v="0"/>
    <x v="1197"/>
    <n v="1109460"/>
    <n v="0.21241650893227335"/>
  </r>
  <r>
    <x v="3"/>
    <s v="67"/>
    <x v="39"/>
    <x v="1"/>
    <x v="1198"/>
    <n v="1109460"/>
    <n v="9.4775052728354334E-2"/>
  </r>
  <r>
    <x v="3"/>
    <s v="67"/>
    <x v="39"/>
    <x v="2"/>
    <x v="1199"/>
    <n v="1109460"/>
    <n v="0.14813368665837434"/>
  </r>
  <r>
    <x v="4"/>
    <s v="72"/>
    <x v="88"/>
    <x v="0"/>
    <x v="1200"/>
    <n v="566412"/>
    <n v="0.17332079828817185"/>
  </r>
  <r>
    <x v="4"/>
    <s v="72"/>
    <x v="88"/>
    <x v="1"/>
    <x v="1201"/>
    <n v="566412"/>
    <n v="0.10630097879282219"/>
  </r>
  <r>
    <x v="4"/>
    <s v="72"/>
    <x v="88"/>
    <x v="2"/>
    <x v="1202"/>
    <n v="566412"/>
    <n v="0.19851043056997381"/>
  </r>
  <r>
    <x v="4"/>
    <s v="73"/>
    <x v="10"/>
    <x v="0"/>
    <x v="1203"/>
    <n v="436434"/>
    <n v="0.29476814363683856"/>
  </r>
  <r>
    <x v="4"/>
    <s v="73"/>
    <x v="10"/>
    <x v="1"/>
    <x v="1204"/>
    <n v="436434"/>
    <n v="0.11870388191570777"/>
  </r>
  <r>
    <x v="4"/>
    <s v="73"/>
    <x v="10"/>
    <x v="2"/>
    <x v="1205"/>
    <n v="436434"/>
    <n v="0.2189216009751761"/>
  </r>
  <r>
    <x v="4"/>
    <s v="74"/>
    <x v="11"/>
    <x v="0"/>
    <x v="1206"/>
    <n v="826094"/>
    <n v="0.26970505777792841"/>
  </r>
  <r>
    <x v="4"/>
    <s v="74"/>
    <x v="11"/>
    <x v="1"/>
    <x v="1207"/>
    <n v="826094"/>
    <n v="9.3259084317281082E-2"/>
  </r>
  <r>
    <x v="4"/>
    <s v="74"/>
    <x v="11"/>
    <x v="2"/>
    <x v="1208"/>
    <n v="826094"/>
    <n v="0.21178724212983027"/>
  </r>
  <r>
    <x v="3"/>
    <s v="68"/>
    <x v="40"/>
    <x v="0"/>
    <x v="1209"/>
    <n v="758723"/>
    <n v="0.21053157740044784"/>
  </r>
  <r>
    <x v="3"/>
    <s v="68"/>
    <x v="40"/>
    <x v="1"/>
    <x v="1210"/>
    <n v="758723"/>
    <n v="0.14652948440998889"/>
  </r>
  <r>
    <x v="3"/>
    <s v="68"/>
    <x v="40"/>
    <x v="2"/>
    <x v="1211"/>
    <n v="758723"/>
    <n v="0.15681844362171701"/>
  </r>
  <r>
    <x v="4"/>
    <s v="75"/>
    <x v="47"/>
    <x v="0"/>
    <x v="1212"/>
    <n v="2165423"/>
    <n v="0.34588669280782552"/>
  </r>
  <r>
    <x v="4"/>
    <s v="75"/>
    <x v="47"/>
    <x v="1"/>
    <x v="1213"/>
    <n v="2165423"/>
    <n v="0.12664621184867805"/>
  </r>
  <r>
    <x v="4"/>
    <s v="75"/>
    <x v="47"/>
    <x v="2"/>
    <x v="1214"/>
    <n v="2165423"/>
    <n v="8.010305607726527E-4"/>
  </r>
  <r>
    <x v="4"/>
    <s v="76"/>
    <x v="59"/>
    <x v="0"/>
    <x v="1215"/>
    <n v="1255633"/>
    <n v="0.25995812470682117"/>
  </r>
  <r>
    <x v="4"/>
    <s v="76"/>
    <x v="59"/>
    <x v="1"/>
    <x v="1216"/>
    <n v="1255633"/>
    <n v="0.11435445707463886"/>
  </r>
  <r>
    <x v="4"/>
    <s v="76"/>
    <x v="59"/>
    <x v="2"/>
    <x v="1217"/>
    <n v="1255633"/>
    <n v="0.21344846782459526"/>
  </r>
  <r>
    <x v="4"/>
    <s v="77"/>
    <x v="48"/>
    <x v="0"/>
    <x v="1218"/>
    <n v="1421197"/>
    <n v="0.27227057895562684"/>
  </r>
  <r>
    <x v="4"/>
    <s v="77"/>
    <x v="48"/>
    <x v="1"/>
    <x v="1219"/>
    <n v="1421197"/>
    <n v="0.10768447301816708"/>
  </r>
  <r>
    <x v="4"/>
    <s v="77"/>
    <x v="48"/>
    <x v="2"/>
    <x v="1220"/>
    <n v="1421197"/>
    <n v="9.4274502408884908E-2"/>
  </r>
  <r>
    <x v="3"/>
    <s v="88"/>
    <x v="41"/>
    <x v="0"/>
    <x v="1221"/>
    <n v="375226"/>
    <n v="0.23903905912703277"/>
  </r>
  <r>
    <x v="3"/>
    <s v="88"/>
    <x v="41"/>
    <x v="1"/>
    <x v="1222"/>
    <n v="375226"/>
    <n v="9.9603065885626271E-2"/>
  </r>
  <r>
    <x v="3"/>
    <s v="88"/>
    <x v="41"/>
    <x v="2"/>
    <x v="1223"/>
    <n v="375226"/>
    <n v="0.17152620021000675"/>
  </r>
  <r>
    <x v="4"/>
    <s v="78"/>
    <x v="49"/>
    <x v="0"/>
    <x v="1224"/>
    <n v="1448207"/>
    <n v="0.25034101478586968"/>
  </r>
  <r>
    <x v="4"/>
    <s v="78"/>
    <x v="49"/>
    <x v="1"/>
    <x v="1225"/>
    <n v="1448207"/>
    <n v="0.12855738164502728"/>
  </r>
  <r>
    <x v="4"/>
    <s v="78"/>
    <x v="49"/>
    <x v="2"/>
    <x v="1226"/>
    <n v="1448207"/>
    <n v="7.7313995858326878E-2"/>
  </r>
  <r>
    <x v="4"/>
    <s v="79"/>
    <x v="69"/>
    <x v="0"/>
    <x v="1227"/>
    <n v="374878"/>
    <n v="0.16642379654180828"/>
  </r>
  <r>
    <x v="4"/>
    <s v="79"/>
    <x v="69"/>
    <x v="1"/>
    <x v="1228"/>
    <n v="374878"/>
    <n v="0.10037281462235713"/>
  </r>
  <r>
    <x v="4"/>
    <s v="79"/>
    <x v="69"/>
    <x v="2"/>
    <x v="1229"/>
    <n v="374878"/>
    <n v="0.23219097946531936"/>
  </r>
  <r>
    <x v="4"/>
    <s v="80"/>
    <x v="46"/>
    <x v="0"/>
    <x v="1230"/>
    <n v="570559"/>
    <n v="0.25533997360483313"/>
  </r>
  <r>
    <x v="4"/>
    <s v="80"/>
    <x v="46"/>
    <x v="1"/>
    <x v="1231"/>
    <n v="570559"/>
    <n v="0.11267733924098998"/>
  </r>
  <r>
    <x v="4"/>
    <s v="80"/>
    <x v="46"/>
    <x v="2"/>
    <x v="1232"/>
    <n v="570559"/>
    <n v="0.20317073256227663"/>
  </r>
  <r>
    <x v="3"/>
    <s v="02"/>
    <x v="42"/>
    <x v="0"/>
    <x v="1233"/>
    <n v="540067"/>
    <n v="0.24514113989560557"/>
  </r>
  <r>
    <x v="3"/>
    <s v="02"/>
    <x v="42"/>
    <x v="1"/>
    <x v="1234"/>
    <n v="540067"/>
    <n v="0.12024580283557411"/>
  </r>
  <r>
    <x v="3"/>
    <s v="02"/>
    <x v="42"/>
    <x v="2"/>
    <x v="1235"/>
    <n v="540067"/>
    <n v="0.15614042331784758"/>
  </r>
  <r>
    <x v="4"/>
    <s v="81"/>
    <x v="83"/>
    <x v="0"/>
    <x v="1236"/>
    <n v="389844"/>
    <n v="0.23530127435589618"/>
  </r>
  <r>
    <x v="4"/>
    <s v="81"/>
    <x v="83"/>
    <x v="1"/>
    <x v="1237"/>
    <n v="389844"/>
    <n v="9.4891135941556098E-2"/>
  </r>
  <r>
    <x v="4"/>
    <s v="81"/>
    <x v="83"/>
    <x v="2"/>
    <x v="1238"/>
    <n v="389844"/>
    <n v="0.20944834343994007"/>
  </r>
  <r>
    <x v="4"/>
    <s v="82"/>
    <x v="84"/>
    <x v="0"/>
    <x v="1239"/>
    <n v="260669"/>
    <n v="0.24215952031119928"/>
  </r>
  <r>
    <x v="4"/>
    <s v="82"/>
    <x v="84"/>
    <x v="1"/>
    <x v="1240"/>
    <n v="260669"/>
    <n v="0.10522267703486031"/>
  </r>
  <r>
    <x v="4"/>
    <s v="82"/>
    <x v="84"/>
    <x v="2"/>
    <x v="1241"/>
    <n v="260669"/>
    <n v="0.18180903751500946"/>
  </r>
  <r>
    <x v="4"/>
    <s v="83"/>
    <x v="94"/>
    <x v="0"/>
    <x v="1242"/>
    <n v="1076711"/>
    <n v="0.39716056583428611"/>
  </r>
  <r>
    <x v="4"/>
    <s v="83"/>
    <x v="94"/>
    <x v="1"/>
    <x v="1243"/>
    <n v="1076711"/>
    <n v="9.0742734122712596E-2"/>
  </r>
  <r>
    <x v="4"/>
    <s v="83"/>
    <x v="94"/>
    <x v="2"/>
    <x v="1244"/>
    <n v="1076711"/>
    <n v="0.24190969535929324"/>
  </r>
  <r>
    <x v="3"/>
    <s v="59"/>
    <x v="43"/>
    <x v="0"/>
    <x v="1245"/>
    <n v="2595536"/>
    <n v="0.25073965454534247"/>
  </r>
  <r>
    <x v="3"/>
    <s v="59"/>
    <x v="43"/>
    <x v="1"/>
    <x v="1246"/>
    <n v="2595536"/>
    <n v="0.16462749890581366"/>
  </r>
  <r>
    <x v="3"/>
    <s v="59"/>
    <x v="43"/>
    <x v="2"/>
    <x v="1247"/>
    <n v="2595536"/>
    <n v="0.11070451729430839"/>
  </r>
  <r>
    <x v="4"/>
    <s v="84"/>
    <x v="95"/>
    <x v="0"/>
    <x v="1248"/>
    <n v="561469"/>
    <n v="0.32973870329439381"/>
  </r>
  <r>
    <x v="4"/>
    <s v="84"/>
    <x v="95"/>
    <x v="1"/>
    <x v="1249"/>
    <n v="561469"/>
    <n v="7.356062400595581E-2"/>
  </r>
  <r>
    <x v="4"/>
    <s v="84"/>
    <x v="95"/>
    <x v="2"/>
    <x v="1250"/>
    <n v="561469"/>
    <n v="0.20441114291260962"/>
  </r>
  <r>
    <x v="4"/>
    <s v="85"/>
    <x v="89"/>
    <x v="0"/>
    <x v="1251"/>
    <n v="685442"/>
    <n v="0.1608111116622559"/>
  </r>
  <r>
    <x v="4"/>
    <s v="85"/>
    <x v="89"/>
    <x v="1"/>
    <x v="1252"/>
    <n v="685442"/>
    <n v="0.12958968081909192"/>
  </r>
  <r>
    <x v="4"/>
    <s v="85"/>
    <x v="89"/>
    <x v="2"/>
    <x v="1253"/>
    <n v="685442"/>
    <n v="0.2796922423779109"/>
  </r>
  <r>
    <x v="4"/>
    <s v="86"/>
    <x v="70"/>
    <x v="0"/>
    <x v="1254"/>
    <n v="438435"/>
    <n v="0.19261575832221425"/>
  </r>
  <r>
    <x v="4"/>
    <s v="86"/>
    <x v="70"/>
    <x v="1"/>
    <x v="1255"/>
    <n v="438435"/>
    <n v="9.4226122458289138E-2"/>
  </r>
  <r>
    <x v="4"/>
    <s v="86"/>
    <x v="70"/>
    <x v="2"/>
    <x v="1256"/>
    <n v="438435"/>
    <n v="0.21391670373031352"/>
  </r>
  <r>
    <x v="3"/>
    <s v="60"/>
    <x v="44"/>
    <x v="0"/>
    <x v="1257"/>
    <n v="815400"/>
    <n v="0.26055067451557518"/>
  </r>
  <r>
    <x v="3"/>
    <s v="60"/>
    <x v="44"/>
    <x v="1"/>
    <x v="1258"/>
    <n v="815400"/>
    <n v="0.1356368776060829"/>
  </r>
  <r>
    <x v="3"/>
    <s v="60"/>
    <x v="44"/>
    <x v="2"/>
    <x v="1259"/>
    <n v="815400"/>
    <n v="0.1579203581064508"/>
  </r>
  <r>
    <x v="4"/>
    <s v="87"/>
    <x v="71"/>
    <x v="0"/>
    <x v="1260"/>
    <n v="372359"/>
    <n v="0.21576857280205392"/>
  </r>
  <r>
    <x v="4"/>
    <s v="87"/>
    <x v="71"/>
    <x v="1"/>
    <x v="1261"/>
    <n v="372359"/>
    <n v="9.150113197210219E-2"/>
  </r>
  <r>
    <x v="4"/>
    <s v="87"/>
    <x v="71"/>
    <x v="2"/>
    <x v="1262"/>
    <n v="372359"/>
    <n v="0.18237958529268794"/>
  </r>
  <r>
    <x v="4"/>
    <s v="88"/>
    <x v="41"/>
    <x v="0"/>
    <x v="1263"/>
    <n v="364499"/>
    <n v="0.21373029829985815"/>
  </r>
  <r>
    <x v="4"/>
    <s v="88"/>
    <x v="41"/>
    <x v="1"/>
    <x v="1264"/>
    <n v="364499"/>
    <n v="0.10369309655170521"/>
  </r>
  <r>
    <x v="4"/>
    <s v="88"/>
    <x v="41"/>
    <x v="2"/>
    <x v="1265"/>
    <n v="364499"/>
    <n v="0.19132749335389121"/>
  </r>
  <r>
    <x v="4"/>
    <s v="89"/>
    <x v="18"/>
    <x v="0"/>
    <x v="1266"/>
    <n v="335707"/>
    <n v="0.18917961198306857"/>
  </r>
  <r>
    <x v="4"/>
    <s v="89"/>
    <x v="18"/>
    <x v="1"/>
    <x v="1267"/>
    <n v="335707"/>
    <n v="0.11428063757979427"/>
  </r>
  <r>
    <x v="4"/>
    <s v="89"/>
    <x v="18"/>
    <x v="2"/>
    <x v="1268"/>
    <n v="335707"/>
    <n v="0.21409601229643707"/>
  </r>
  <r>
    <x v="3"/>
    <s v="62"/>
    <x v="45"/>
    <x v="0"/>
    <x v="1269"/>
    <n v="1465205"/>
    <n v="0.28498703594377578"/>
  </r>
  <r>
    <x v="3"/>
    <s v="62"/>
    <x v="45"/>
    <x v="1"/>
    <x v="1270"/>
    <n v="1465205"/>
    <n v="0.18251480168304093"/>
  </r>
  <r>
    <x v="3"/>
    <s v="62"/>
    <x v="45"/>
    <x v="2"/>
    <x v="1271"/>
    <n v="1465205"/>
    <n v="0.13565671015318675"/>
  </r>
  <r>
    <x v="4"/>
    <s v="90"/>
    <x v="19"/>
    <x v="0"/>
    <x v="1272"/>
    <n v="141318"/>
    <n v="0.20090349424701737"/>
  </r>
  <r>
    <x v="4"/>
    <s v="90"/>
    <x v="19"/>
    <x v="1"/>
    <x v="1273"/>
    <n v="141318"/>
    <n v="0.15176078065073098"/>
  </r>
  <r>
    <x v="4"/>
    <s v="90"/>
    <x v="19"/>
    <x v="2"/>
    <x v="1274"/>
    <n v="141318"/>
    <n v="0.14966345405397755"/>
  </r>
  <r>
    <x v="4"/>
    <s v="91"/>
    <x v="50"/>
    <x v="0"/>
    <x v="1275"/>
    <n v="1301659"/>
    <n v="0.24646325189623394"/>
  </r>
  <r>
    <x v="4"/>
    <s v="91"/>
    <x v="50"/>
    <x v="1"/>
    <x v="1276"/>
    <n v="1301659"/>
    <n v="0.13204131035855013"/>
  </r>
  <r>
    <x v="4"/>
    <s v="91"/>
    <x v="50"/>
    <x v="2"/>
    <x v="1277"/>
    <n v="1301659"/>
    <n v="0.1078413240334066"/>
  </r>
  <r>
    <x v="4"/>
    <s v="92"/>
    <x v="51"/>
    <x v="0"/>
    <x v="1278"/>
    <n v="1624357"/>
    <n v="0.26606870903378999"/>
  </r>
  <r>
    <x v="4"/>
    <s v="92"/>
    <x v="51"/>
    <x v="1"/>
    <x v="1279"/>
    <n v="1624357"/>
    <n v="0.10116599368242327"/>
  </r>
  <r>
    <x v="4"/>
    <s v="92"/>
    <x v="51"/>
    <x v="2"/>
    <x v="1280"/>
    <n v="1624357"/>
    <n v="2.0567215211926934E-2"/>
  </r>
  <r>
    <x v="3"/>
    <s v="80"/>
    <x v="46"/>
    <x v="0"/>
    <x v="1281"/>
    <n v="571675"/>
    <n v="0.27763521231468924"/>
  </r>
  <r>
    <x v="3"/>
    <s v="80"/>
    <x v="46"/>
    <x v="1"/>
    <x v="1282"/>
    <n v="571675"/>
    <n v="0.11152849083832597"/>
  </r>
  <r>
    <x v="3"/>
    <s v="80"/>
    <x v="46"/>
    <x v="2"/>
    <x v="1283"/>
    <n v="571675"/>
    <n v="0.16060543140770542"/>
  </r>
  <r>
    <x v="4"/>
    <s v="93"/>
    <x v="52"/>
    <x v="0"/>
    <x v="1284"/>
    <n v="1644903"/>
    <n v="0.30391590871923757"/>
  </r>
  <r>
    <x v="4"/>
    <s v="93"/>
    <x v="52"/>
    <x v="1"/>
    <x v="1285"/>
    <n v="1644903"/>
    <n v="6.8830332244515333E-2"/>
  </r>
  <r>
    <x v="4"/>
    <s v="93"/>
    <x v="52"/>
    <x v="2"/>
    <x v="1286"/>
    <n v="1644903"/>
    <n v="5.973378369423607E-2"/>
  </r>
  <r>
    <x v="4"/>
    <s v="94"/>
    <x v="53"/>
    <x v="0"/>
    <x v="1287"/>
    <n v="1407124"/>
    <n v="0.26130904596894089"/>
  </r>
  <r>
    <x v="4"/>
    <s v="94"/>
    <x v="53"/>
    <x v="1"/>
    <x v="1288"/>
    <n v="1407124"/>
    <n v="9.4152889155468891E-2"/>
  </r>
  <r>
    <x v="4"/>
    <s v="94"/>
    <x v="53"/>
    <x v="2"/>
    <x v="1289"/>
    <n v="1407124"/>
    <n v="3.2579822389498012E-2"/>
  </r>
  <r>
    <x v="4"/>
    <s v="95"/>
    <x v="54"/>
    <x v="0"/>
    <x v="1290"/>
    <n v="1249674"/>
    <n v="0.27140841531471405"/>
  </r>
  <r>
    <x v="4"/>
    <s v="95"/>
    <x v="54"/>
    <x v="1"/>
    <x v="1291"/>
    <n v="1249674"/>
    <n v="0.11626801869927676"/>
  </r>
  <r>
    <x v="4"/>
    <s v="95"/>
    <x v="54"/>
    <x v="2"/>
    <x v="1292"/>
    <n v="1249674"/>
    <n v="7.5768304373780682E-2"/>
  </r>
  <r>
    <x v="3"/>
    <s v="75"/>
    <x v="47"/>
    <x v="0"/>
    <x v="1293"/>
    <n v="2229621"/>
    <n v="0.36033433484883753"/>
  </r>
  <r>
    <x v="3"/>
    <s v="75"/>
    <x v="47"/>
    <x v="1"/>
    <x v="1294"/>
    <n v="2229621"/>
    <n v="0.10526285409044855"/>
  </r>
  <r>
    <x v="3"/>
    <s v="75"/>
    <x v="47"/>
    <x v="2"/>
    <x v="1295"/>
    <n v="2229621"/>
    <n v="2.5658172397909781E-3"/>
  </r>
  <r>
    <x v="3"/>
    <s v="77"/>
    <x v="48"/>
    <x v="0"/>
    <x v="1296"/>
    <n v="1365200"/>
    <n v="0.28952289774392026"/>
  </r>
  <r>
    <x v="3"/>
    <s v="77"/>
    <x v="48"/>
    <x v="1"/>
    <x v="1297"/>
    <n v="1365200"/>
    <n v="0.11226289188397304"/>
  </r>
  <r>
    <x v="3"/>
    <s v="77"/>
    <x v="48"/>
    <x v="2"/>
    <x v="1298"/>
    <n v="1365200"/>
    <n v="9.6001355112803985E-2"/>
  </r>
  <r>
    <x v="3"/>
    <s v="78"/>
    <x v="49"/>
    <x v="0"/>
    <x v="1299"/>
    <n v="1418484"/>
    <n v="0.25468235806678113"/>
  </r>
  <r>
    <x v="3"/>
    <s v="78"/>
    <x v="49"/>
    <x v="1"/>
    <x v="1300"/>
    <n v="1418484"/>
    <n v="0.12789027581558904"/>
  </r>
  <r>
    <x v="3"/>
    <s v="78"/>
    <x v="49"/>
    <x v="2"/>
    <x v="1301"/>
    <n v="1418484"/>
    <n v="5.8820571821747721E-2"/>
  </r>
  <r>
    <x v="3"/>
    <s v="91"/>
    <x v="50"/>
    <x v="0"/>
    <x v="1302"/>
    <n v="1253931"/>
    <n v="0.25741699503401705"/>
  </r>
  <r>
    <x v="3"/>
    <s v="91"/>
    <x v="50"/>
    <x v="1"/>
    <x v="1303"/>
    <n v="1253931"/>
    <n v="0.13863724559006835"/>
  </r>
  <r>
    <x v="3"/>
    <s v="91"/>
    <x v="50"/>
    <x v="2"/>
    <x v="1304"/>
    <n v="1253931"/>
    <n v="7.8504008593774294E-2"/>
  </r>
  <r>
    <x v="3"/>
    <s v="92"/>
    <x v="51"/>
    <x v="0"/>
    <x v="1305"/>
    <n v="1591403"/>
    <n v="0.27813988662833994"/>
  </r>
  <r>
    <x v="3"/>
    <s v="92"/>
    <x v="51"/>
    <x v="1"/>
    <x v="1306"/>
    <n v="1591403"/>
    <n v="9.5614605477053888E-2"/>
  </r>
  <r>
    <x v="3"/>
    <s v="92"/>
    <x v="51"/>
    <x v="2"/>
    <x v="1307"/>
    <n v="1591403"/>
    <n v="1.3242352816979733E-2"/>
  </r>
  <r>
    <x v="3"/>
    <s v="93"/>
    <x v="52"/>
    <x v="0"/>
    <x v="1308"/>
    <n v="1552482"/>
    <n v="0.32221081468255347"/>
  </r>
  <r>
    <x v="3"/>
    <s v="93"/>
    <x v="52"/>
    <x v="1"/>
    <x v="1309"/>
    <n v="1552482"/>
    <n v="6.2597440743274321E-2"/>
  </r>
  <r>
    <x v="3"/>
    <s v="93"/>
    <x v="52"/>
    <x v="2"/>
    <x v="1310"/>
    <n v="1552482"/>
    <n v="5.1076585751074731E-2"/>
  </r>
  <r>
    <x v="3"/>
    <s v="94"/>
    <x v="53"/>
    <x v="0"/>
    <x v="1311"/>
    <n v="1354005"/>
    <n v="0.27359825849978398"/>
  </r>
  <r>
    <x v="3"/>
    <s v="94"/>
    <x v="53"/>
    <x v="1"/>
    <x v="1312"/>
    <n v="1354005"/>
    <n v="9.0519229988072422E-2"/>
  </r>
  <r>
    <x v="3"/>
    <s v="94"/>
    <x v="53"/>
    <x v="2"/>
    <x v="1313"/>
    <n v="1354005"/>
    <n v="2.9400186853076615E-2"/>
  </r>
  <r>
    <x v="3"/>
    <s v="95"/>
    <x v="54"/>
    <x v="0"/>
    <x v="1314"/>
    <n v="1194681"/>
    <n v="0.29250066754221421"/>
  </r>
  <r>
    <x v="3"/>
    <s v="95"/>
    <x v="54"/>
    <x v="1"/>
    <x v="1315"/>
    <n v="1194681"/>
    <n v="0.10246202124249067"/>
  </r>
  <r>
    <x v="3"/>
    <s v="95"/>
    <x v="54"/>
    <x v="2"/>
    <x v="1316"/>
    <n v="1194681"/>
    <n v="6.595188171570486E-2"/>
  </r>
  <r>
    <x v="3"/>
    <s v="14"/>
    <x v="55"/>
    <x v="0"/>
    <x v="1317"/>
    <n v="689945"/>
    <n v="0.27403435056417541"/>
  </r>
  <r>
    <x v="3"/>
    <s v="14"/>
    <x v="55"/>
    <x v="1"/>
    <x v="1318"/>
    <n v="689945"/>
    <n v="0.1299666060338143"/>
  </r>
  <r>
    <x v="3"/>
    <s v="14"/>
    <x v="55"/>
    <x v="2"/>
    <x v="1319"/>
    <n v="689945"/>
    <n v="0.21289331758328561"/>
  </r>
  <r>
    <x v="3"/>
    <s v="27"/>
    <x v="56"/>
    <x v="0"/>
    <x v="1320"/>
    <n v="595043"/>
    <n v="0.26605435237453429"/>
  </r>
  <r>
    <x v="3"/>
    <s v="27"/>
    <x v="56"/>
    <x v="1"/>
    <x v="1321"/>
    <n v="595043"/>
    <n v="0.12058394099249971"/>
  </r>
  <r>
    <x v="3"/>
    <s v="27"/>
    <x v="56"/>
    <x v="2"/>
    <x v="1322"/>
    <n v="595043"/>
    <n v="0.21922256038639226"/>
  </r>
  <r>
    <x v="3"/>
    <s v="50"/>
    <x v="57"/>
    <x v="0"/>
    <x v="1323"/>
    <n v="499919"/>
    <n v="0.23330827594070241"/>
  </r>
  <r>
    <x v="3"/>
    <s v="50"/>
    <x v="57"/>
    <x v="1"/>
    <x v="1324"/>
    <n v="499919"/>
    <n v="0.11383836181461397"/>
  </r>
  <r>
    <x v="3"/>
    <s v="50"/>
    <x v="57"/>
    <x v="2"/>
    <x v="1325"/>
    <n v="499919"/>
    <n v="0.24738201588657363"/>
  </r>
  <r>
    <x v="3"/>
    <s v="61"/>
    <x v="58"/>
    <x v="0"/>
    <x v="1326"/>
    <n v="288848"/>
    <n v="0.24996326787791504"/>
  </r>
  <r>
    <x v="3"/>
    <s v="61"/>
    <x v="58"/>
    <x v="1"/>
    <x v="1327"/>
    <n v="288848"/>
    <n v="7.8504992245056221E-2"/>
  </r>
  <r>
    <x v="3"/>
    <s v="61"/>
    <x v="58"/>
    <x v="2"/>
    <x v="1328"/>
    <n v="288848"/>
    <n v="0.23321200077549439"/>
  </r>
  <r>
    <x v="3"/>
    <s v="76"/>
    <x v="59"/>
    <x v="0"/>
    <x v="1329"/>
    <n v="1254609"/>
    <n v="0.28345779442041308"/>
  </r>
  <r>
    <x v="3"/>
    <s v="76"/>
    <x v="59"/>
    <x v="1"/>
    <x v="1330"/>
    <n v="1254609"/>
    <n v="0.11150063485914737"/>
  </r>
  <r>
    <x v="3"/>
    <s v="76"/>
    <x v="59"/>
    <x v="2"/>
    <x v="1331"/>
    <n v="1254609"/>
    <n v="0.20816802685139355"/>
  </r>
  <r>
    <x v="3"/>
    <s v="16"/>
    <x v="60"/>
    <x v="0"/>
    <x v="1332"/>
    <n v="353482"/>
    <n v="0.21051363294312014"/>
  </r>
  <r>
    <x v="3"/>
    <s v="16"/>
    <x v="60"/>
    <x v="1"/>
    <x v="1333"/>
    <n v="353482"/>
    <n v="9.5953004679163303E-2"/>
  </r>
  <r>
    <x v="3"/>
    <s v="16"/>
    <x v="60"/>
    <x v="2"/>
    <x v="1334"/>
    <n v="353482"/>
    <n v="0.20065785527975966"/>
  </r>
  <r>
    <x v="3"/>
    <s v="17"/>
    <x v="61"/>
    <x v="0"/>
    <x v="1335"/>
    <n v="633417"/>
    <n v="0.28969604541715804"/>
  </r>
  <r>
    <x v="3"/>
    <s v="17"/>
    <x v="61"/>
    <x v="1"/>
    <x v="1336"/>
    <n v="633417"/>
    <n v="0.11706583498706224"/>
  </r>
  <r>
    <x v="3"/>
    <s v="17"/>
    <x v="61"/>
    <x v="2"/>
    <x v="1337"/>
    <n v="633417"/>
    <n v="0.2362762445592714"/>
  </r>
  <r>
    <x v="3"/>
    <s v="19"/>
    <x v="62"/>
    <x v="0"/>
    <x v="1338"/>
    <n v="240781"/>
    <n v="0.25390520846744552"/>
  </r>
  <r>
    <x v="3"/>
    <s v="19"/>
    <x v="62"/>
    <x v="1"/>
    <x v="1339"/>
    <n v="240781"/>
    <n v="7.2750175470655903E-2"/>
  </r>
  <r>
    <x v="3"/>
    <s v="19"/>
    <x v="62"/>
    <x v="2"/>
    <x v="1340"/>
    <n v="240781"/>
    <n v="0.13948941153994709"/>
  </r>
  <r>
    <x v="3"/>
    <s v="23"/>
    <x v="63"/>
    <x v="0"/>
    <x v="1341"/>
    <n v="120872"/>
    <n v="0.24076436230061551"/>
  </r>
  <r>
    <x v="3"/>
    <s v="23"/>
    <x v="63"/>
    <x v="1"/>
    <x v="1342"/>
    <n v="120872"/>
    <n v="9.3348749089946392E-2"/>
  </r>
  <r>
    <x v="3"/>
    <s v="23"/>
    <x v="63"/>
    <x v="2"/>
    <x v="1343"/>
    <n v="120872"/>
    <n v="0.13656156926335297"/>
  </r>
  <r>
    <x v="3"/>
    <s v="24"/>
    <x v="64"/>
    <x v="0"/>
    <x v="1344"/>
    <n v="416909"/>
    <n v="0.25076721778613559"/>
  </r>
  <r>
    <x v="3"/>
    <s v="24"/>
    <x v="64"/>
    <x v="1"/>
    <x v="1345"/>
    <n v="416909"/>
    <n v="9.6309626321331512E-2"/>
  </r>
  <r>
    <x v="3"/>
    <s v="24"/>
    <x v="64"/>
    <x v="2"/>
    <x v="1346"/>
    <n v="416909"/>
    <n v="0.15771568855553608"/>
  </r>
  <r>
    <x v="3"/>
    <s v="33"/>
    <x v="65"/>
    <x v="0"/>
    <x v="1347"/>
    <n v="1505517"/>
    <n v="0.24521104710209185"/>
  </r>
  <r>
    <x v="3"/>
    <s v="33"/>
    <x v="65"/>
    <x v="1"/>
    <x v="1348"/>
    <n v="1505517"/>
    <n v="0.10483936083086408"/>
  </r>
  <r>
    <x v="3"/>
    <s v="33"/>
    <x v="65"/>
    <x v="2"/>
    <x v="1349"/>
    <n v="1505517"/>
    <n v="0.19237946167329892"/>
  </r>
  <r>
    <x v="3"/>
    <s v="40"/>
    <x v="66"/>
    <x v="0"/>
    <x v="1350"/>
    <n v="397226"/>
    <n v="0.30959061088649786"/>
  </r>
  <r>
    <x v="3"/>
    <s v="40"/>
    <x v="66"/>
    <x v="1"/>
    <x v="1351"/>
    <n v="397226"/>
    <n v="8.4822519170447044E-2"/>
  </r>
  <r>
    <x v="3"/>
    <s v="40"/>
    <x v="66"/>
    <x v="2"/>
    <x v="1352"/>
    <n v="397226"/>
    <n v="0.36058125601043234"/>
  </r>
  <r>
    <x v="3"/>
    <s v="47"/>
    <x v="67"/>
    <x v="0"/>
    <x v="1353"/>
    <n v="333180"/>
    <n v="0.26168341437061043"/>
  </r>
  <r>
    <x v="3"/>
    <s v="47"/>
    <x v="67"/>
    <x v="1"/>
    <x v="1354"/>
    <n v="333180"/>
    <n v="0.10166282489945373"/>
  </r>
  <r>
    <x v="3"/>
    <s v="47"/>
    <x v="67"/>
    <x v="2"/>
    <x v="1355"/>
    <n v="333180"/>
    <n v="0.16202359085179183"/>
  </r>
  <r>
    <x v="3"/>
    <s v="64"/>
    <x v="68"/>
    <x v="0"/>
    <x v="1356"/>
    <n v="664057"/>
    <n v="0.26188992812363998"/>
  </r>
  <r>
    <x v="3"/>
    <s v="64"/>
    <x v="68"/>
    <x v="1"/>
    <x v="1357"/>
    <n v="664057"/>
    <n v="0.10641151286711834"/>
  </r>
  <r>
    <x v="3"/>
    <s v="64"/>
    <x v="68"/>
    <x v="2"/>
    <x v="1358"/>
    <n v="664057"/>
    <n v="0.16792806942777502"/>
  </r>
  <r>
    <x v="3"/>
    <s v="79"/>
    <x v="69"/>
    <x v="0"/>
    <x v="1359"/>
    <n v="371632"/>
    <n v="0.19814964803892021"/>
  </r>
  <r>
    <x v="3"/>
    <s v="79"/>
    <x v="69"/>
    <x v="1"/>
    <x v="1360"/>
    <n v="371632"/>
    <n v="0.10288497761226159"/>
  </r>
  <r>
    <x v="3"/>
    <s v="79"/>
    <x v="69"/>
    <x v="2"/>
    <x v="1361"/>
    <n v="371632"/>
    <n v="0.20670851810393076"/>
  </r>
  <r>
    <x v="3"/>
    <s v="86"/>
    <x v="70"/>
    <x v="0"/>
    <x v="1362"/>
    <n v="431248"/>
    <n v="0.21580343561013618"/>
  </r>
  <r>
    <x v="3"/>
    <s v="86"/>
    <x v="70"/>
    <x v="1"/>
    <x v="1363"/>
    <n v="431248"/>
    <n v="8.5226366267205866E-2"/>
  </r>
  <r>
    <x v="3"/>
    <s v="86"/>
    <x v="70"/>
    <x v="2"/>
    <x v="1364"/>
    <n v="431248"/>
    <n v="0.20690883204096019"/>
  </r>
  <r>
    <x v="3"/>
    <s v="87"/>
    <x v="71"/>
    <x v="0"/>
    <x v="1365"/>
    <n v="375856"/>
    <n v="0.23387558000936526"/>
  </r>
  <r>
    <x v="3"/>
    <s v="87"/>
    <x v="71"/>
    <x v="1"/>
    <x v="1366"/>
    <n v="375856"/>
    <n v="8.5176211102124227E-2"/>
  </r>
  <r>
    <x v="3"/>
    <s v="87"/>
    <x v="71"/>
    <x v="2"/>
    <x v="1367"/>
    <n v="375856"/>
    <n v="0.14908534119450004"/>
  </r>
  <r>
    <x v="3"/>
    <s v="09"/>
    <x v="72"/>
    <x v="0"/>
    <x v="1368"/>
    <n v="152684"/>
    <n v="0.29948128160121557"/>
  </r>
  <r>
    <x v="3"/>
    <s v="09"/>
    <x v="72"/>
    <x v="1"/>
    <x v="1369"/>
    <n v="152684"/>
    <n v="0.12753589112153205"/>
  </r>
  <r>
    <x v="3"/>
    <s v="09"/>
    <x v="72"/>
    <x v="2"/>
    <x v="1370"/>
    <n v="152684"/>
    <n v="0.19201828613345209"/>
  </r>
  <r>
    <x v="3"/>
    <s v="11"/>
    <x v="73"/>
    <x v="0"/>
    <x v="1371"/>
    <n v="364877"/>
    <n v="0.35601405405109116"/>
  </r>
  <r>
    <x v="3"/>
    <s v="11"/>
    <x v="73"/>
    <x v="1"/>
    <x v="1372"/>
    <n v="364877"/>
    <n v="7.9213625413495511E-2"/>
  </r>
  <r>
    <x v="3"/>
    <s v="11"/>
    <x v="73"/>
    <x v="2"/>
    <x v="1373"/>
    <n v="364877"/>
    <n v="0.1718524050570466"/>
  </r>
  <r>
    <x v="3"/>
    <s v="12"/>
    <x v="74"/>
    <x v="0"/>
    <x v="1374"/>
    <n v="277740"/>
    <n v="0.22616969107798662"/>
  </r>
  <r>
    <x v="3"/>
    <s v="12"/>
    <x v="74"/>
    <x v="1"/>
    <x v="1375"/>
    <n v="277740"/>
    <n v="9.7711420753222436E-2"/>
  </r>
  <r>
    <x v="3"/>
    <s v="12"/>
    <x v="74"/>
    <x v="2"/>
    <x v="1376"/>
    <n v="277740"/>
    <n v="0.13551335781666307"/>
  </r>
  <r>
    <x v="3"/>
    <s v="30"/>
    <x v="75"/>
    <x v="0"/>
    <x v="1377"/>
    <n v="733201"/>
    <n v="0.28515111135964077"/>
  </r>
  <r>
    <x v="3"/>
    <s v="30"/>
    <x v="75"/>
    <x v="1"/>
    <x v="1378"/>
    <n v="733201"/>
    <n v="7.4472620741106471E-2"/>
  </r>
  <r>
    <x v="3"/>
    <s v="30"/>
    <x v="75"/>
    <x v="2"/>
    <x v="1379"/>
    <n v="733201"/>
    <n v="0.1618514568310736"/>
  </r>
  <r>
    <x v="3"/>
    <s v="31"/>
    <x v="76"/>
    <x v="0"/>
    <x v="1380"/>
    <n v="1298562"/>
    <n v="0.27319305508708863"/>
  </r>
  <r>
    <x v="3"/>
    <s v="31"/>
    <x v="76"/>
    <x v="1"/>
    <x v="1381"/>
    <n v="1298562"/>
    <n v="8.1576251268711084E-2"/>
  </r>
  <r>
    <x v="3"/>
    <s v="31"/>
    <x v="76"/>
    <x v="2"/>
    <x v="1382"/>
    <n v="1298562"/>
    <n v="9.1084391811865742E-2"/>
  </r>
  <r>
    <x v="3"/>
    <s v="32"/>
    <x v="77"/>
    <x v="0"/>
    <x v="1383"/>
    <n v="190276"/>
    <n v="0.24112499737223825"/>
  </r>
  <r>
    <x v="3"/>
    <s v="32"/>
    <x v="77"/>
    <x v="1"/>
    <x v="1384"/>
    <n v="190276"/>
    <n v="8.5265456494776001E-2"/>
  </r>
  <r>
    <x v="3"/>
    <s v="32"/>
    <x v="77"/>
    <x v="2"/>
    <x v="1385"/>
    <n v="190276"/>
    <n v="0.15669874287876556"/>
  </r>
  <r>
    <x v="3"/>
    <s v="34"/>
    <x v="78"/>
    <x v="0"/>
    <x v="1386"/>
    <n v="1092331"/>
    <n v="0.3112394777773404"/>
  </r>
  <r>
    <x v="3"/>
    <s v="34"/>
    <x v="78"/>
    <x v="1"/>
    <x v="1387"/>
    <n v="1092331"/>
    <n v="0.11164018049474014"/>
  </r>
  <r>
    <x v="3"/>
    <s v="34"/>
    <x v="78"/>
    <x v="2"/>
    <x v="1388"/>
    <n v="1092331"/>
    <n v="0.18603886550871485"/>
  </r>
  <r>
    <x v="3"/>
    <s v="46"/>
    <x v="79"/>
    <x v="0"/>
    <x v="1389"/>
    <n v="173758"/>
    <n v="0.23565061752552402"/>
  </r>
  <r>
    <x v="3"/>
    <s v="46"/>
    <x v="79"/>
    <x v="1"/>
    <x v="1390"/>
    <n v="173758"/>
    <n v="0.13622860530162642"/>
  </r>
  <r>
    <x v="3"/>
    <s v="46"/>
    <x v="79"/>
    <x v="2"/>
    <x v="1391"/>
    <n v="173758"/>
    <n v="0.18032073343385627"/>
  </r>
  <r>
    <x v="3"/>
    <s v="48"/>
    <x v="80"/>
    <x v="0"/>
    <x v="1392"/>
    <n v="76607"/>
    <n v="0.27953946767266702"/>
  </r>
  <r>
    <x v="3"/>
    <s v="48"/>
    <x v="80"/>
    <x v="1"/>
    <x v="1393"/>
    <n v="76607"/>
    <n v="6.629263644314487E-2"/>
  </r>
  <r>
    <x v="3"/>
    <s v="48"/>
    <x v="80"/>
    <x v="2"/>
    <x v="1394"/>
    <n v="76607"/>
    <n v="0.14740036811257456"/>
  </r>
  <r>
    <x v="3"/>
    <s v="65"/>
    <x v="81"/>
    <x v="0"/>
    <x v="1395"/>
    <n v="228868"/>
    <n v="0.30668887743153261"/>
  </r>
  <r>
    <x v="3"/>
    <s v="65"/>
    <x v="81"/>
    <x v="1"/>
    <x v="1396"/>
    <n v="228868"/>
    <n v="8.0250362654455856E-2"/>
  </r>
  <r>
    <x v="3"/>
    <s v="65"/>
    <x v="81"/>
    <x v="2"/>
    <x v="1397"/>
    <n v="228868"/>
    <n v="0.14055761399584041"/>
  </r>
  <r>
    <x v="3"/>
    <s v="66"/>
    <x v="82"/>
    <x v="0"/>
    <x v="1398"/>
    <n v="462705"/>
    <n v="0.35770328827222531"/>
  </r>
  <r>
    <x v="3"/>
    <s v="66"/>
    <x v="82"/>
    <x v="1"/>
    <x v="1399"/>
    <n v="462705"/>
    <n v="0.1026144735846814"/>
  </r>
  <r>
    <x v="3"/>
    <s v="66"/>
    <x v="82"/>
    <x v="2"/>
    <x v="1400"/>
    <n v="462705"/>
    <n v="0.18389812083292811"/>
  </r>
  <r>
    <x v="3"/>
    <s v="81"/>
    <x v="83"/>
    <x v="0"/>
    <x v="1401"/>
    <n v="381927"/>
    <n v="0.24385783147041187"/>
  </r>
  <r>
    <x v="3"/>
    <s v="81"/>
    <x v="83"/>
    <x v="1"/>
    <x v="1402"/>
    <n v="381927"/>
    <n v="8.7164248665320854E-2"/>
  </r>
  <r>
    <x v="3"/>
    <s v="81"/>
    <x v="83"/>
    <x v="2"/>
    <x v="1403"/>
    <n v="381927"/>
    <n v="0.14696808552419705"/>
  </r>
  <r>
    <x v="3"/>
    <s v="82"/>
    <x v="84"/>
    <x v="0"/>
    <x v="1404"/>
    <n v="250342"/>
    <n v="0.25591854343258424"/>
  </r>
  <r>
    <x v="3"/>
    <s v="82"/>
    <x v="84"/>
    <x v="1"/>
    <x v="1405"/>
    <n v="250342"/>
    <n v="9.271041215617036E-2"/>
  </r>
  <r>
    <x v="3"/>
    <s v="82"/>
    <x v="84"/>
    <x v="2"/>
    <x v="1406"/>
    <n v="250342"/>
    <n v="0.11759620838692669"/>
  </r>
  <r>
    <x v="3"/>
    <s v="44"/>
    <x v="85"/>
    <x v="0"/>
    <x v="1407"/>
    <n v="1328620"/>
    <n v="0.21011452484532822"/>
  </r>
  <r>
    <x v="3"/>
    <s v="44"/>
    <x v="85"/>
    <x v="1"/>
    <x v="1408"/>
    <n v="1328620"/>
    <n v="9.4175098974876192E-2"/>
  </r>
  <r>
    <x v="3"/>
    <s v="44"/>
    <x v="85"/>
    <x v="2"/>
    <x v="1409"/>
    <n v="1328620"/>
    <n v="0.19980293838719873"/>
  </r>
  <r>
    <x v="3"/>
    <s v="49"/>
    <x v="86"/>
    <x v="0"/>
    <x v="1410"/>
    <n v="800191"/>
    <n v="0.1667207454220305"/>
  </r>
  <r>
    <x v="3"/>
    <s v="49"/>
    <x v="86"/>
    <x v="1"/>
    <x v="1411"/>
    <n v="800191"/>
    <n v="9.673939097040582E-2"/>
  </r>
  <r>
    <x v="3"/>
    <s v="49"/>
    <x v="86"/>
    <x v="2"/>
    <x v="1412"/>
    <n v="800191"/>
    <n v="0.18193962441467101"/>
  </r>
  <r>
    <x v="3"/>
    <s v="53"/>
    <x v="87"/>
    <x v="0"/>
    <x v="1413"/>
    <n v="307500"/>
    <n v="0.19126035772357722"/>
  </r>
  <r>
    <x v="3"/>
    <s v="53"/>
    <x v="87"/>
    <x v="1"/>
    <x v="1414"/>
    <n v="307500"/>
    <n v="8.6417691056910564E-2"/>
  </r>
  <r>
    <x v="3"/>
    <s v="53"/>
    <x v="87"/>
    <x v="2"/>
    <x v="1415"/>
    <n v="307500"/>
    <n v="0.19410520325203251"/>
  </r>
  <r>
    <x v="3"/>
    <s v="72"/>
    <x v="88"/>
    <x v="0"/>
    <x v="1416"/>
    <n v="569035"/>
    <n v="0.20039503721212226"/>
  </r>
  <r>
    <x v="3"/>
    <s v="72"/>
    <x v="88"/>
    <x v="1"/>
    <x v="1417"/>
    <n v="569035"/>
    <n v="9.7914152907993365E-2"/>
  </r>
  <r>
    <x v="3"/>
    <s v="72"/>
    <x v="88"/>
    <x v="2"/>
    <x v="1418"/>
    <n v="569035"/>
    <n v="0.15910625884172327"/>
  </r>
  <r>
    <x v="3"/>
    <s v="85"/>
    <x v="89"/>
    <x v="0"/>
    <x v="1419"/>
    <n v="655506"/>
    <n v="0.19874919527815152"/>
  </r>
  <r>
    <x v="3"/>
    <s v="85"/>
    <x v="89"/>
    <x v="1"/>
    <x v="1420"/>
    <n v="655506"/>
    <n v="0.1170520483412814"/>
  </r>
  <r>
    <x v="3"/>
    <s v="85"/>
    <x v="89"/>
    <x v="2"/>
    <x v="1421"/>
    <n v="655506"/>
    <n v="0.26434291982071867"/>
  </r>
  <r>
    <x v="5"/>
    <s v="01"/>
    <x v="0"/>
    <x v="0"/>
    <x v="1422"/>
    <n v="643350"/>
    <n v="0.18770892982047097"/>
  </r>
  <r>
    <x v="5"/>
    <s v="01"/>
    <x v="0"/>
    <x v="1"/>
    <x v="1423"/>
    <n v="643350"/>
    <n v="8.0187129867101886E-2"/>
  </r>
  <r>
    <x v="5"/>
    <s v="01"/>
    <x v="0"/>
    <x v="2"/>
    <x v="1424"/>
    <n v="643350"/>
    <n v="0.19403868811688815"/>
  </r>
  <r>
    <x v="5"/>
    <s v="02"/>
    <x v="42"/>
    <x v="0"/>
    <x v="1425"/>
    <n v="534490"/>
    <n v="0.22608864525061273"/>
  </r>
  <r>
    <x v="5"/>
    <s v="02"/>
    <x v="42"/>
    <x v="1"/>
    <x v="1426"/>
    <n v="534490"/>
    <n v="0.11009433291548953"/>
  </r>
  <r>
    <x v="5"/>
    <s v="02"/>
    <x v="42"/>
    <x v="2"/>
    <x v="1427"/>
    <n v="534490"/>
    <n v="0.19125040692997061"/>
  </r>
  <r>
    <x v="5"/>
    <s v="03"/>
    <x v="1"/>
    <x v="0"/>
    <x v="1428"/>
    <n v="337988"/>
    <n v="0.25916973383670422"/>
  </r>
  <r>
    <x v="5"/>
    <s v="03"/>
    <x v="1"/>
    <x v="1"/>
    <x v="1429"/>
    <n v="337988"/>
    <n v="9.3463288637466418E-2"/>
  </r>
  <r>
    <x v="5"/>
    <s v="03"/>
    <x v="1"/>
    <x v="2"/>
    <x v="1430"/>
    <n v="337988"/>
    <n v="0.19551271051043231"/>
  </r>
  <r>
    <x v="3"/>
    <s v="04"/>
    <x v="90"/>
    <x v="0"/>
    <x v="1431"/>
    <n v="161916"/>
    <n v="0.37166444329158327"/>
  </r>
  <r>
    <x v="3"/>
    <s v="04"/>
    <x v="90"/>
    <x v="1"/>
    <x v="1432"/>
    <n v="161916"/>
    <n v="6.0194483559376469E-2"/>
  </r>
  <r>
    <x v="3"/>
    <s v="04"/>
    <x v="90"/>
    <x v="2"/>
    <x v="1433"/>
    <n v="161916"/>
    <n v="0.17290663059858197"/>
  </r>
  <r>
    <x v="5"/>
    <s v="04"/>
    <x v="90"/>
    <x v="0"/>
    <x v="1434"/>
    <n v="163915"/>
    <n v="0.36148253668059666"/>
  </r>
  <r>
    <x v="5"/>
    <s v="04"/>
    <x v="90"/>
    <x v="1"/>
    <x v="1435"/>
    <n v="163915"/>
    <n v="6.3990360857761636E-2"/>
  </r>
  <r>
    <x v="5"/>
    <s v="04"/>
    <x v="90"/>
    <x v="2"/>
    <x v="1436"/>
    <n v="163915"/>
    <n v="0.21697080804075281"/>
  </r>
  <r>
    <x v="5"/>
    <s v="05"/>
    <x v="91"/>
    <x v="0"/>
    <x v="1437"/>
    <n v="141284"/>
    <n v="0.31438436057869257"/>
  </r>
  <r>
    <x v="5"/>
    <s v="05"/>
    <x v="91"/>
    <x v="1"/>
    <x v="1438"/>
    <n v="141284"/>
    <n v="9.8081877636533504E-2"/>
  </r>
  <r>
    <x v="5"/>
    <s v="05"/>
    <x v="91"/>
    <x v="2"/>
    <x v="1439"/>
    <n v="141284"/>
    <n v="0.21566950256221512"/>
  </r>
  <r>
    <x v="5"/>
    <s v="06"/>
    <x v="92"/>
    <x v="0"/>
    <x v="1440"/>
    <n v="1083310"/>
    <n v="0.39302664980476504"/>
  </r>
  <r>
    <x v="5"/>
    <s v="06"/>
    <x v="92"/>
    <x v="1"/>
    <x v="1441"/>
    <n v="1083310"/>
    <n v="0.13106080438655604"/>
  </r>
  <r>
    <x v="5"/>
    <s v="06"/>
    <x v="92"/>
    <x v="2"/>
    <x v="1442"/>
    <n v="1083310"/>
    <n v="0.16923514044917889"/>
  </r>
  <r>
    <x v="3"/>
    <s v="05"/>
    <x v="91"/>
    <x v="0"/>
    <x v="1443"/>
    <n v="139279"/>
    <n v="0.33583698906511389"/>
  </r>
  <r>
    <x v="3"/>
    <s v="05"/>
    <x v="91"/>
    <x v="1"/>
    <x v="1444"/>
    <n v="139279"/>
    <n v="9.8756452875164241E-2"/>
  </r>
  <r>
    <x v="3"/>
    <s v="05"/>
    <x v="91"/>
    <x v="2"/>
    <x v="1445"/>
    <n v="139279"/>
    <n v="0.20741389584933839"/>
  </r>
  <r>
    <x v="5"/>
    <s v="07"/>
    <x v="2"/>
    <x v="0"/>
    <x v="1446"/>
    <n v="325712"/>
    <n v="0.24160586653239668"/>
  </r>
  <r>
    <x v="5"/>
    <s v="07"/>
    <x v="2"/>
    <x v="1"/>
    <x v="1447"/>
    <n v="325712"/>
    <n v="8.0143009775507201E-2"/>
  </r>
  <r>
    <x v="5"/>
    <s v="07"/>
    <x v="2"/>
    <x v="2"/>
    <x v="1448"/>
    <n v="325712"/>
    <n v="0.2000853514761507"/>
  </r>
  <r>
    <x v="5"/>
    <s v="08"/>
    <x v="32"/>
    <x v="0"/>
    <x v="1449"/>
    <n v="273579"/>
    <n v="0.24024640049126575"/>
  </r>
  <r>
    <x v="5"/>
    <s v="08"/>
    <x v="32"/>
    <x v="1"/>
    <x v="1450"/>
    <n v="273579"/>
    <n v="0.10291791402117853"/>
  </r>
  <r>
    <x v="5"/>
    <s v="08"/>
    <x v="32"/>
    <x v="2"/>
    <x v="1451"/>
    <n v="273579"/>
    <n v="0.18120031142741219"/>
  </r>
  <r>
    <x v="5"/>
    <s v="09"/>
    <x v="72"/>
    <x v="0"/>
    <x v="1452"/>
    <n v="153153"/>
    <n v="0.29215190038719452"/>
  </r>
  <r>
    <x v="5"/>
    <s v="09"/>
    <x v="72"/>
    <x v="1"/>
    <x v="1453"/>
    <n v="153153"/>
    <n v="0.14952230775760189"/>
  </r>
  <r>
    <x v="5"/>
    <s v="09"/>
    <x v="72"/>
    <x v="2"/>
    <x v="1454"/>
    <n v="153153"/>
    <n v="0.22946870123340712"/>
  </r>
  <r>
    <x v="3"/>
    <s v="06"/>
    <x v="92"/>
    <x v="0"/>
    <x v="1455"/>
    <n v="1080771"/>
    <n v="0.43952366412496263"/>
  </r>
  <r>
    <x v="3"/>
    <s v="06"/>
    <x v="92"/>
    <x v="1"/>
    <x v="1456"/>
    <n v="1080771"/>
    <n v="9.9111680457747292E-2"/>
  </r>
  <r>
    <x v="3"/>
    <s v="06"/>
    <x v="92"/>
    <x v="2"/>
    <x v="1457"/>
    <n v="1080771"/>
    <n v="0.14215938436542061"/>
  </r>
  <r>
    <x v="5"/>
    <s v="10"/>
    <x v="33"/>
    <x v="0"/>
    <x v="1458"/>
    <n v="310020"/>
    <n v="0.23464182955938329"/>
  </r>
  <r>
    <x v="5"/>
    <s v="10"/>
    <x v="33"/>
    <x v="1"/>
    <x v="1459"/>
    <n v="310020"/>
    <n v="0.12564366815044192"/>
  </r>
  <r>
    <x v="5"/>
    <s v="10"/>
    <x v="33"/>
    <x v="2"/>
    <x v="1460"/>
    <n v="310020"/>
    <n v="0.13782978517514999"/>
  </r>
  <r>
    <x v="5"/>
    <s v="11"/>
    <x v="73"/>
    <x v="0"/>
    <x v="1461"/>
    <n v="370260"/>
    <n v="0.33926124885215792"/>
  </r>
  <r>
    <x v="5"/>
    <s v="11"/>
    <x v="73"/>
    <x v="1"/>
    <x v="1462"/>
    <n v="370260"/>
    <n v="7.8022389672122286E-2"/>
  </r>
  <r>
    <x v="5"/>
    <s v="11"/>
    <x v="73"/>
    <x v="2"/>
    <x v="1463"/>
    <n v="370260"/>
    <n v="0.19534351536757955"/>
  </r>
  <r>
    <x v="5"/>
    <s v="12"/>
    <x v="74"/>
    <x v="0"/>
    <x v="1464"/>
    <n v="279206"/>
    <n v="0.23040643825705751"/>
  </r>
  <r>
    <x v="5"/>
    <s v="12"/>
    <x v="74"/>
    <x v="1"/>
    <x v="1465"/>
    <n v="279206"/>
    <n v="9.6383852782533336E-2"/>
  </r>
  <r>
    <x v="5"/>
    <s v="12"/>
    <x v="74"/>
    <x v="2"/>
    <x v="1466"/>
    <n v="279206"/>
    <n v="0.17450445191005926"/>
  </r>
  <r>
    <x v="3"/>
    <s v="13"/>
    <x v="93"/>
    <x v="0"/>
    <x v="1467"/>
    <n v="1993177"/>
    <n v="0.37904662756995489"/>
  </r>
  <r>
    <x v="3"/>
    <s v="13"/>
    <x v="93"/>
    <x v="1"/>
    <x v="1468"/>
    <n v="1993177"/>
    <n v="5.3983635171387191E-2"/>
  </r>
  <r>
    <x v="3"/>
    <s v="13"/>
    <x v="93"/>
    <x v="2"/>
    <x v="1469"/>
    <n v="1993177"/>
    <n v="0.1362190111565606"/>
  </r>
  <r>
    <x v="5"/>
    <s v="13"/>
    <x v="93"/>
    <x v="0"/>
    <x v="1470"/>
    <n v="2024162"/>
    <n v="0.36959570429639521"/>
  </r>
  <r>
    <x v="5"/>
    <s v="13"/>
    <x v="93"/>
    <x v="1"/>
    <x v="1471"/>
    <n v="2024162"/>
    <n v="5.3828241020234549E-2"/>
  </r>
  <r>
    <x v="5"/>
    <s v="13"/>
    <x v="93"/>
    <x v="2"/>
    <x v="1472"/>
    <n v="2024162"/>
    <n v="0.14584718515612882"/>
  </r>
  <r>
    <x v="5"/>
    <s v="14"/>
    <x v="55"/>
    <x v="0"/>
    <x v="1473"/>
    <n v="694002"/>
    <n v="0.26073933504514396"/>
  </r>
  <r>
    <x v="5"/>
    <s v="14"/>
    <x v="55"/>
    <x v="1"/>
    <x v="1474"/>
    <n v="694002"/>
    <n v="0.14611429073691432"/>
  </r>
  <r>
    <x v="5"/>
    <s v="14"/>
    <x v="55"/>
    <x v="2"/>
    <x v="1475"/>
    <n v="694002"/>
    <n v="0.24023155552865841"/>
  </r>
  <r>
    <x v="5"/>
    <s v="15"/>
    <x v="3"/>
    <x v="0"/>
    <x v="1476"/>
    <n v="145143"/>
    <n v="0.24626995445870625"/>
  </r>
  <r>
    <x v="5"/>
    <s v="15"/>
    <x v="3"/>
    <x v="1"/>
    <x v="1477"/>
    <n v="145143"/>
    <n v="9.6825062180056903E-2"/>
  </r>
  <r>
    <x v="5"/>
    <s v="15"/>
    <x v="3"/>
    <x v="2"/>
    <x v="1478"/>
    <n v="145143"/>
    <n v="0.17244104090448731"/>
  </r>
  <r>
    <x v="3"/>
    <s v="83"/>
    <x v="94"/>
    <x v="0"/>
    <x v="1479"/>
    <n v="1028583"/>
    <n v="0.44686380194889475"/>
  </r>
  <r>
    <x v="3"/>
    <s v="83"/>
    <x v="94"/>
    <x v="1"/>
    <x v="1480"/>
    <n v="1028583"/>
    <n v="6.9638279069360473E-2"/>
  </r>
  <r>
    <x v="3"/>
    <s v="83"/>
    <x v="94"/>
    <x v="2"/>
    <x v="1481"/>
    <n v="1028583"/>
    <n v="0.19275436206898228"/>
  </r>
  <r>
    <x v="5"/>
    <s v="16"/>
    <x v="60"/>
    <x v="0"/>
    <x v="1482"/>
    <n v="352335"/>
    <n v="0.19287904976797648"/>
  </r>
  <r>
    <x v="5"/>
    <s v="16"/>
    <x v="60"/>
    <x v="1"/>
    <x v="1483"/>
    <n v="352335"/>
    <n v="0.10832182440007379"/>
  </r>
  <r>
    <x v="5"/>
    <s v="16"/>
    <x v="60"/>
    <x v="2"/>
    <x v="1484"/>
    <n v="352335"/>
    <n v="0.22435877786765435"/>
  </r>
  <r>
    <x v="5"/>
    <s v="17"/>
    <x v="61"/>
    <x v="0"/>
    <x v="1485"/>
    <n v="644303"/>
    <n v="0.2630102917416185"/>
  </r>
  <r>
    <x v="5"/>
    <s v="17"/>
    <x v="61"/>
    <x v="1"/>
    <x v="1486"/>
    <n v="644303"/>
    <n v="0.13020679711253869"/>
  </r>
  <r>
    <x v="5"/>
    <s v="17"/>
    <x v="61"/>
    <x v="2"/>
    <x v="1487"/>
    <n v="644303"/>
    <n v="0.25755211445546583"/>
  </r>
  <r>
    <x v="5"/>
    <s v="18"/>
    <x v="24"/>
    <x v="0"/>
    <x v="1488"/>
    <n v="304256"/>
    <n v="0.20265526398822045"/>
  </r>
  <r>
    <x v="5"/>
    <s v="18"/>
    <x v="24"/>
    <x v="1"/>
    <x v="1489"/>
    <n v="304256"/>
    <n v="9.1814951882625159E-2"/>
  </r>
  <r>
    <x v="5"/>
    <s v="18"/>
    <x v="24"/>
    <x v="2"/>
    <x v="1490"/>
    <n v="304256"/>
    <n v="0.2298695835086243"/>
  </r>
  <r>
    <x v="3"/>
    <s v="84"/>
    <x v="95"/>
    <x v="0"/>
    <x v="1491"/>
    <n v="549949"/>
    <n v="0.35093014079487367"/>
  </r>
  <r>
    <x v="3"/>
    <s v="84"/>
    <x v="95"/>
    <x v="1"/>
    <x v="1492"/>
    <n v="549949"/>
    <n v="6.6530460097209018E-2"/>
  </r>
  <r>
    <x v="3"/>
    <s v="84"/>
    <x v="95"/>
    <x v="2"/>
    <x v="1493"/>
    <n v="549949"/>
    <n v="0.15427605105200665"/>
  </r>
  <r>
    <x v="5"/>
    <s v="19"/>
    <x v="62"/>
    <x v="0"/>
    <x v="1494"/>
    <n v="241464"/>
    <n v="0.23410007288871218"/>
  </r>
  <r>
    <x v="5"/>
    <s v="19"/>
    <x v="62"/>
    <x v="1"/>
    <x v="1495"/>
    <n v="241464"/>
    <n v="9.9775991452141943E-2"/>
  </r>
  <r>
    <x v="5"/>
    <s v="19"/>
    <x v="62"/>
    <x v="2"/>
    <x v="1496"/>
    <n v="241464"/>
    <n v="0.19836555345724413"/>
  </r>
  <r>
    <x v="5"/>
    <s v="2A"/>
    <x v="30"/>
    <x v="0"/>
    <x v="1497"/>
    <n v="157249"/>
    <n v="0.4691069577548983"/>
  </r>
  <r>
    <x v="5"/>
    <s v="2A"/>
    <x v="30"/>
    <x v="1"/>
    <x v="1498"/>
    <n v="157249"/>
    <n v="9.6152598744666098E-2"/>
  </r>
  <r>
    <x v="5"/>
    <s v="2A"/>
    <x v="30"/>
    <x v="2"/>
    <x v="1499"/>
    <n v="157249"/>
    <n v="0.14421516194061645"/>
  </r>
  <r>
    <x v="5"/>
    <s v="2B"/>
    <x v="31"/>
    <x v="0"/>
    <x v="1500"/>
    <n v="177689"/>
    <n v="0.39955635970712877"/>
  </r>
  <r>
    <x v="5"/>
    <s v="2B"/>
    <x v="31"/>
    <x v="1"/>
    <x v="1501"/>
    <n v="177689"/>
    <n v="0.10164168856822876"/>
  </r>
  <r>
    <x v="5"/>
    <s v="2B"/>
    <x v="31"/>
    <x v="2"/>
    <x v="1502"/>
    <n v="177689"/>
    <n v="0.15247966953497402"/>
  </r>
  <r>
    <x v="6"/>
    <s v="01"/>
    <x v="0"/>
    <x v="0"/>
    <x v="1503"/>
    <n v="631877"/>
    <n v="0.19217803464914851"/>
  </r>
  <r>
    <x v="6"/>
    <s v="01"/>
    <x v="0"/>
    <x v="1"/>
    <x v="1504"/>
    <n v="631877"/>
    <n v="7.4058400606447139E-2"/>
  </r>
  <r>
    <x v="6"/>
    <s v="01"/>
    <x v="0"/>
    <x v="2"/>
    <x v="1505"/>
    <n v="631877"/>
    <n v="0.19330024672523291"/>
  </r>
  <r>
    <x v="5"/>
    <s v="21"/>
    <x v="12"/>
    <x v="0"/>
    <x v="1506"/>
    <n v="533819"/>
    <n v="0.2176338609154039"/>
  </r>
  <r>
    <x v="5"/>
    <s v="21"/>
    <x v="12"/>
    <x v="1"/>
    <x v="1507"/>
    <n v="533819"/>
    <n v="0.11756838928550688"/>
  </r>
  <r>
    <x v="5"/>
    <s v="21"/>
    <x v="12"/>
    <x v="2"/>
    <x v="1508"/>
    <n v="533819"/>
    <n v="0.15976941622534979"/>
  </r>
  <r>
    <x v="5"/>
    <s v="22"/>
    <x v="20"/>
    <x v="0"/>
    <x v="1509"/>
    <n v="598814"/>
    <n v="0.21898948588376357"/>
  </r>
  <r>
    <x v="5"/>
    <s v="22"/>
    <x v="20"/>
    <x v="1"/>
    <x v="1510"/>
    <n v="598814"/>
    <n v="0.12825424923264989"/>
  </r>
  <r>
    <x v="5"/>
    <s v="22"/>
    <x v="20"/>
    <x v="2"/>
    <x v="1511"/>
    <n v="598814"/>
    <n v="0.38241569168389516"/>
  </r>
  <r>
    <x v="5"/>
    <s v="23"/>
    <x v="63"/>
    <x v="0"/>
    <x v="1512"/>
    <n v="118638"/>
    <n v="0.22668293464151451"/>
  </r>
  <r>
    <x v="5"/>
    <s v="23"/>
    <x v="63"/>
    <x v="1"/>
    <x v="1513"/>
    <n v="118638"/>
    <n v="0.10981312901431245"/>
  </r>
  <r>
    <x v="5"/>
    <s v="23"/>
    <x v="63"/>
    <x v="2"/>
    <x v="1514"/>
    <n v="118638"/>
    <n v="0.17634577454104083"/>
  </r>
  <r>
    <x v="6"/>
    <s v="03"/>
    <x v="1"/>
    <x v="0"/>
    <x v="1515"/>
    <n v="341613"/>
    <n v="0.26818633951284054"/>
  </r>
  <r>
    <x v="6"/>
    <s v="03"/>
    <x v="1"/>
    <x v="1"/>
    <x v="1516"/>
    <n v="341613"/>
    <n v="8.5124160965771203E-2"/>
  </r>
  <r>
    <x v="6"/>
    <s v="03"/>
    <x v="1"/>
    <x v="2"/>
    <x v="1517"/>
    <n v="341613"/>
    <n v="0.17944320034659103"/>
  </r>
  <r>
    <x v="5"/>
    <s v="24"/>
    <x v="64"/>
    <x v="0"/>
    <x v="1518"/>
    <n v="413606"/>
    <n v="0.23898720037910473"/>
  </r>
  <r>
    <x v="5"/>
    <s v="24"/>
    <x v="64"/>
    <x v="1"/>
    <x v="1519"/>
    <n v="413606"/>
    <n v="0.10369078301572027"/>
  </r>
  <r>
    <x v="5"/>
    <s v="24"/>
    <x v="64"/>
    <x v="2"/>
    <x v="1520"/>
    <n v="413606"/>
    <n v="0.21054375420085783"/>
  </r>
  <r>
    <x v="5"/>
    <s v="25"/>
    <x v="13"/>
    <x v="0"/>
    <x v="1521"/>
    <n v="539067"/>
    <n v="0.17475588377697021"/>
  </r>
  <r>
    <x v="5"/>
    <s v="25"/>
    <x v="13"/>
    <x v="1"/>
    <x v="1522"/>
    <n v="539067"/>
    <n v="9.7233776135433991E-2"/>
  </r>
  <r>
    <x v="5"/>
    <s v="25"/>
    <x v="13"/>
    <x v="2"/>
    <x v="1523"/>
    <n v="539067"/>
    <n v="0.17591668568100069"/>
  </r>
  <r>
    <x v="5"/>
    <s v="26"/>
    <x v="4"/>
    <x v="0"/>
    <x v="1524"/>
    <n v="511553"/>
    <n v="0.2466491253105739"/>
  </r>
  <r>
    <x v="5"/>
    <s v="26"/>
    <x v="4"/>
    <x v="1"/>
    <x v="1525"/>
    <n v="511553"/>
    <n v="7.092784129894654E-2"/>
  </r>
  <r>
    <x v="5"/>
    <s v="26"/>
    <x v="4"/>
    <x v="2"/>
    <x v="1526"/>
    <n v="511553"/>
    <n v="0.19715861308603411"/>
  </r>
  <r>
    <x v="6"/>
    <s v="07"/>
    <x v="2"/>
    <x v="0"/>
    <x v="1527"/>
    <n v="324209"/>
    <n v="0.24762847422495984"/>
  </r>
  <r>
    <x v="6"/>
    <s v="07"/>
    <x v="2"/>
    <x v="1"/>
    <x v="1528"/>
    <n v="324209"/>
    <n v="7.6553858776283207E-2"/>
  </r>
  <r>
    <x v="6"/>
    <s v="07"/>
    <x v="2"/>
    <x v="2"/>
    <x v="1529"/>
    <n v="324209"/>
    <n v="0.19102171747237121"/>
  </r>
  <r>
    <x v="5"/>
    <s v="27"/>
    <x v="56"/>
    <x v="0"/>
    <x v="1530"/>
    <n v="601843"/>
    <n v="0.24459043305313846"/>
  </r>
  <r>
    <x v="5"/>
    <s v="27"/>
    <x v="56"/>
    <x v="1"/>
    <x v="1531"/>
    <n v="601843"/>
    <n v="0.10369350478447037"/>
  </r>
  <r>
    <x v="5"/>
    <s v="27"/>
    <x v="56"/>
    <x v="2"/>
    <x v="1532"/>
    <n v="601843"/>
    <n v="0.20758842422359319"/>
  </r>
  <r>
    <x v="5"/>
    <s v="28"/>
    <x v="25"/>
    <x v="0"/>
    <x v="1533"/>
    <n v="433233"/>
    <n v="0.23885645830303787"/>
  </r>
  <r>
    <x v="5"/>
    <s v="28"/>
    <x v="25"/>
    <x v="1"/>
    <x v="1534"/>
    <n v="433233"/>
    <n v="0.12168816779885189"/>
  </r>
  <r>
    <x v="5"/>
    <s v="28"/>
    <x v="25"/>
    <x v="2"/>
    <x v="1535"/>
    <n v="433233"/>
    <n v="0.2060886866882255"/>
  </r>
  <r>
    <x v="5"/>
    <s v="29"/>
    <x v="21"/>
    <x v="0"/>
    <x v="1536"/>
    <n v="909028"/>
    <n v="0.23111191294437577"/>
  </r>
  <r>
    <x v="5"/>
    <s v="29"/>
    <x v="21"/>
    <x v="1"/>
    <x v="1537"/>
    <n v="909028"/>
    <n v="0.15678954883677951"/>
  </r>
  <r>
    <x v="5"/>
    <s v="29"/>
    <x v="21"/>
    <x v="2"/>
    <x v="1538"/>
    <n v="909028"/>
    <n v="0.30594069709623906"/>
  </r>
  <r>
    <x v="6"/>
    <s v="15"/>
    <x v="3"/>
    <x v="0"/>
    <x v="1539"/>
    <n v="146219"/>
    <n v="0.25840957741469989"/>
  </r>
  <r>
    <x v="6"/>
    <s v="15"/>
    <x v="3"/>
    <x v="1"/>
    <x v="1540"/>
    <n v="146219"/>
    <n v="8.4448532680431398E-2"/>
  </r>
  <r>
    <x v="6"/>
    <s v="15"/>
    <x v="3"/>
    <x v="2"/>
    <x v="1541"/>
    <n v="146219"/>
    <n v="0.16392438739151546"/>
  </r>
  <r>
    <x v="5"/>
    <s v="30"/>
    <x v="75"/>
    <x v="0"/>
    <x v="1542"/>
    <n v="744178"/>
    <n v="0.28508281620795023"/>
  </r>
  <r>
    <x v="5"/>
    <s v="30"/>
    <x v="75"/>
    <x v="1"/>
    <x v="1543"/>
    <n v="744178"/>
    <n v="8.5789219783438911E-2"/>
  </r>
  <r>
    <x v="5"/>
    <s v="30"/>
    <x v="75"/>
    <x v="2"/>
    <x v="1544"/>
    <n v="744178"/>
    <n v="0.20591120672742275"/>
  </r>
  <r>
    <x v="5"/>
    <s v="31"/>
    <x v="76"/>
    <x v="0"/>
    <x v="1545"/>
    <n v="1362672"/>
    <n v="0.25580292983197717"/>
  </r>
  <r>
    <x v="5"/>
    <s v="31"/>
    <x v="76"/>
    <x v="1"/>
    <x v="1546"/>
    <n v="1362672"/>
    <n v="0.11175807531085985"/>
  </r>
  <r>
    <x v="5"/>
    <s v="31"/>
    <x v="76"/>
    <x v="2"/>
    <x v="1547"/>
    <n v="1362672"/>
    <n v="0.10924313407775312"/>
  </r>
  <r>
    <x v="5"/>
    <s v="32"/>
    <x v="77"/>
    <x v="0"/>
    <x v="1548"/>
    <n v="191091"/>
    <n v="0.23312908509558275"/>
  </r>
  <r>
    <x v="5"/>
    <s v="32"/>
    <x v="77"/>
    <x v="1"/>
    <x v="1549"/>
    <n v="191091"/>
    <n v="9.8763364051682193E-2"/>
  </r>
  <r>
    <x v="5"/>
    <s v="32"/>
    <x v="77"/>
    <x v="2"/>
    <x v="1550"/>
    <n v="191091"/>
    <n v="0.16306257228231577"/>
  </r>
  <r>
    <x v="6"/>
    <s v="26"/>
    <x v="4"/>
    <x v="0"/>
    <x v="1551"/>
    <n v="504637"/>
    <n v="0.25449566718254901"/>
  </r>
  <r>
    <x v="6"/>
    <s v="26"/>
    <x v="4"/>
    <x v="1"/>
    <x v="1552"/>
    <n v="504637"/>
    <n v="7.0383047616405459E-2"/>
  </r>
  <r>
    <x v="6"/>
    <s v="26"/>
    <x v="4"/>
    <x v="2"/>
    <x v="1553"/>
    <n v="504637"/>
    <n v="0.18253871594829549"/>
  </r>
  <r>
    <x v="5"/>
    <s v="33"/>
    <x v="65"/>
    <x v="0"/>
    <x v="1554"/>
    <n v="1583384"/>
    <n v="0.24864255291199103"/>
  </r>
  <r>
    <x v="5"/>
    <s v="33"/>
    <x v="65"/>
    <x v="1"/>
    <x v="1555"/>
    <n v="1583384"/>
    <n v="0.10158925440701687"/>
  </r>
  <r>
    <x v="5"/>
    <s v="33"/>
    <x v="65"/>
    <x v="2"/>
    <x v="1556"/>
    <n v="1583384"/>
    <n v="0.19666192155535234"/>
  </r>
  <r>
    <x v="5"/>
    <s v="34"/>
    <x v="78"/>
    <x v="0"/>
    <x v="1557"/>
    <n v="1144892"/>
    <n v="0.29730649703203449"/>
  </r>
  <r>
    <x v="5"/>
    <s v="34"/>
    <x v="78"/>
    <x v="1"/>
    <x v="1558"/>
    <n v="1144892"/>
    <n v="9.7866750750289111E-2"/>
  </r>
  <r>
    <x v="5"/>
    <s v="34"/>
    <x v="78"/>
    <x v="2"/>
    <x v="1559"/>
    <n v="1144892"/>
    <n v="0.19696698029159082"/>
  </r>
  <r>
    <x v="5"/>
    <s v="35"/>
    <x v="22"/>
    <x v="0"/>
    <x v="1560"/>
    <n v="1060199"/>
    <n v="0.18034389770222384"/>
  </r>
  <r>
    <x v="5"/>
    <s v="35"/>
    <x v="22"/>
    <x v="1"/>
    <x v="1561"/>
    <n v="1060199"/>
    <n v="0.10432337702638844"/>
  </r>
  <r>
    <x v="5"/>
    <s v="35"/>
    <x v="22"/>
    <x v="2"/>
    <x v="1562"/>
    <n v="1060199"/>
    <n v="0.18768956582679291"/>
  </r>
  <r>
    <x v="6"/>
    <s v="38"/>
    <x v="5"/>
    <x v="0"/>
    <x v="1563"/>
    <n v="1251060"/>
    <n v="0.21784061515834571"/>
  </r>
  <r>
    <x v="6"/>
    <s v="38"/>
    <x v="5"/>
    <x v="1"/>
    <x v="1564"/>
    <n v="1251060"/>
    <n v="7.6549086374754202E-2"/>
  </r>
  <r>
    <x v="6"/>
    <s v="38"/>
    <x v="5"/>
    <x v="2"/>
    <x v="1565"/>
    <n v="1251060"/>
    <n v="0.21871413841062778"/>
  </r>
  <r>
    <x v="5"/>
    <s v="36"/>
    <x v="26"/>
    <x v="0"/>
    <x v="1566"/>
    <n v="222232"/>
    <n v="0.1784733521725044"/>
  </r>
  <r>
    <x v="5"/>
    <s v="36"/>
    <x v="26"/>
    <x v="1"/>
    <x v="1567"/>
    <n v="222232"/>
    <n v="0.13472843694877426"/>
  </r>
  <r>
    <x v="5"/>
    <s v="36"/>
    <x v="26"/>
    <x v="2"/>
    <x v="1568"/>
    <n v="222232"/>
    <n v="0.19118785773425967"/>
  </r>
  <r>
    <x v="5"/>
    <s v="37"/>
    <x v="27"/>
    <x v="0"/>
    <x v="1569"/>
    <n v="606511"/>
    <n v="0.21204649214935919"/>
  </r>
  <r>
    <x v="5"/>
    <s v="37"/>
    <x v="27"/>
    <x v="1"/>
    <x v="1570"/>
    <n v="606511"/>
    <n v="0.12881899916077366"/>
  </r>
  <r>
    <x v="5"/>
    <s v="37"/>
    <x v="27"/>
    <x v="2"/>
    <x v="1571"/>
    <n v="606511"/>
    <n v="0.1670154374776385"/>
  </r>
  <r>
    <x v="5"/>
    <s v="38"/>
    <x v="5"/>
    <x v="0"/>
    <x v="1572"/>
    <n v="1258722"/>
    <n v="0.21519806597485383"/>
  </r>
  <r>
    <x v="5"/>
    <s v="38"/>
    <x v="5"/>
    <x v="1"/>
    <x v="1573"/>
    <n v="1258722"/>
    <n v="7.6961990018447279E-2"/>
  </r>
  <r>
    <x v="5"/>
    <s v="38"/>
    <x v="5"/>
    <x v="2"/>
    <x v="1574"/>
    <n v="1258722"/>
    <n v="0.21626829434934797"/>
  </r>
  <r>
    <x v="6"/>
    <s v="42"/>
    <x v="6"/>
    <x v="0"/>
    <x v="1575"/>
    <n v="759411"/>
    <n v="0.22780148035780362"/>
  </r>
  <r>
    <x v="6"/>
    <s v="42"/>
    <x v="6"/>
    <x v="1"/>
    <x v="1576"/>
    <n v="759411"/>
    <n v="7.886103835735854E-2"/>
  </r>
  <r>
    <x v="6"/>
    <s v="42"/>
    <x v="6"/>
    <x v="2"/>
    <x v="1577"/>
    <n v="759411"/>
    <n v="0.17670534137640884"/>
  </r>
  <r>
    <x v="5"/>
    <s v="39"/>
    <x v="14"/>
    <x v="0"/>
    <x v="1578"/>
    <n v="260188"/>
    <n v="0.19176699155994897"/>
  </r>
  <r>
    <x v="5"/>
    <s v="39"/>
    <x v="14"/>
    <x v="1"/>
    <x v="1579"/>
    <n v="260188"/>
    <n v="0.13277061201900164"/>
  </r>
  <r>
    <x v="5"/>
    <s v="39"/>
    <x v="14"/>
    <x v="2"/>
    <x v="1580"/>
    <n v="260188"/>
    <n v="0.16690054883392008"/>
  </r>
  <r>
    <x v="5"/>
    <s v="40"/>
    <x v="66"/>
    <x v="0"/>
    <x v="1581"/>
    <n v="407444"/>
    <n v="0.30048529368453086"/>
  </r>
  <r>
    <x v="5"/>
    <s v="40"/>
    <x v="66"/>
    <x v="1"/>
    <x v="1582"/>
    <n v="407444"/>
    <n v="9.973380390924888E-2"/>
  </r>
  <r>
    <x v="5"/>
    <s v="40"/>
    <x v="66"/>
    <x v="2"/>
    <x v="1583"/>
    <n v="407444"/>
    <n v="0.43374748431686316"/>
  </r>
  <r>
    <x v="5"/>
    <s v="41"/>
    <x v="28"/>
    <x v="0"/>
    <x v="1584"/>
    <n v="331915"/>
    <n v="0.22277272795745898"/>
  </r>
  <r>
    <x v="5"/>
    <s v="41"/>
    <x v="28"/>
    <x v="1"/>
    <x v="1585"/>
    <n v="331915"/>
    <n v="8.0595604296280668E-2"/>
  </r>
  <r>
    <x v="5"/>
    <s v="41"/>
    <x v="28"/>
    <x v="2"/>
    <x v="1586"/>
    <n v="331915"/>
    <n v="0.22758227256978444"/>
  </r>
  <r>
    <x v="6"/>
    <s v="43"/>
    <x v="7"/>
    <x v="0"/>
    <x v="1587"/>
    <n v="227034"/>
    <n v="0.22149911467004943"/>
  </r>
  <r>
    <x v="6"/>
    <s v="43"/>
    <x v="7"/>
    <x v="1"/>
    <x v="1588"/>
    <n v="227034"/>
    <n v="8.3719486949091315E-2"/>
  </r>
  <r>
    <x v="6"/>
    <s v="43"/>
    <x v="7"/>
    <x v="2"/>
    <x v="1589"/>
    <n v="227034"/>
    <n v="0.15878216478589108"/>
  </r>
  <r>
    <x v="5"/>
    <s v="42"/>
    <x v="6"/>
    <x v="0"/>
    <x v="1590"/>
    <n v="762941"/>
    <n v="0.22448823696720979"/>
  </r>
  <r>
    <x v="5"/>
    <s v="42"/>
    <x v="6"/>
    <x v="1"/>
    <x v="1591"/>
    <n v="762941"/>
    <n v="8.1142185306596448E-2"/>
  </r>
  <r>
    <x v="5"/>
    <s v="42"/>
    <x v="6"/>
    <x v="2"/>
    <x v="1592"/>
    <n v="762941"/>
    <n v="0.17382722910421647"/>
  </r>
  <r>
    <x v="5"/>
    <s v="43"/>
    <x v="7"/>
    <x v="0"/>
    <x v="1593"/>
    <n v="227283"/>
    <n v="0.21322932203464404"/>
  </r>
  <r>
    <x v="5"/>
    <s v="43"/>
    <x v="7"/>
    <x v="1"/>
    <x v="1594"/>
    <n v="227283"/>
    <n v="8.8044772376288605E-2"/>
  </r>
  <r>
    <x v="5"/>
    <s v="43"/>
    <x v="7"/>
    <x v="2"/>
    <x v="1595"/>
    <n v="227283"/>
    <n v="0.1682697342080138"/>
  </r>
  <r>
    <x v="5"/>
    <s v="44"/>
    <x v="85"/>
    <x v="0"/>
    <x v="1596"/>
    <n v="1394909"/>
    <n v="0.19514743972545878"/>
  </r>
  <r>
    <x v="5"/>
    <s v="44"/>
    <x v="85"/>
    <x v="1"/>
    <x v="1597"/>
    <n v="1394909"/>
    <n v="8.6470142496750682E-2"/>
  </r>
  <r>
    <x v="5"/>
    <s v="44"/>
    <x v="85"/>
    <x v="2"/>
    <x v="1598"/>
    <n v="1394909"/>
    <n v="0.21543200309124105"/>
  </r>
  <r>
    <x v="6"/>
    <s v="63"/>
    <x v="8"/>
    <x v="0"/>
    <x v="1599"/>
    <n v="647501"/>
    <n v="0.21944795452053353"/>
  </r>
  <r>
    <x v="6"/>
    <s v="63"/>
    <x v="8"/>
    <x v="1"/>
    <x v="1600"/>
    <n v="647501"/>
    <n v="0.10929847212591176"/>
  </r>
  <r>
    <x v="6"/>
    <s v="63"/>
    <x v="8"/>
    <x v="2"/>
    <x v="1601"/>
    <n v="647501"/>
    <n v="0.14337551602236906"/>
  </r>
  <r>
    <x v="5"/>
    <s v="45"/>
    <x v="29"/>
    <x v="0"/>
    <x v="1602"/>
    <n v="678105"/>
    <n v="0.21484376313402792"/>
  </r>
  <r>
    <x v="5"/>
    <s v="45"/>
    <x v="29"/>
    <x v="1"/>
    <x v="1603"/>
    <n v="678105"/>
    <n v="7.7596139240973014E-2"/>
  </r>
  <r>
    <x v="5"/>
    <s v="45"/>
    <x v="29"/>
    <x v="2"/>
    <x v="1604"/>
    <n v="678105"/>
    <n v="0.20846814283923581"/>
  </r>
  <r>
    <x v="5"/>
    <s v="46"/>
    <x v="79"/>
    <x v="0"/>
    <x v="1605"/>
    <n v="173828"/>
    <n v="0.22632982028211795"/>
  </r>
  <r>
    <x v="5"/>
    <s v="46"/>
    <x v="79"/>
    <x v="1"/>
    <x v="1606"/>
    <n v="173828"/>
    <n v="0.13970758450882481"/>
  </r>
  <r>
    <x v="5"/>
    <s v="46"/>
    <x v="79"/>
    <x v="2"/>
    <x v="1607"/>
    <n v="173828"/>
    <n v="0.21704995742918287"/>
  </r>
  <r>
    <x v="5"/>
    <s v="47"/>
    <x v="67"/>
    <x v="0"/>
    <x v="1608"/>
    <n v="332842"/>
    <n v="0.25614168284050692"/>
  </r>
  <r>
    <x v="5"/>
    <s v="47"/>
    <x v="67"/>
    <x v="1"/>
    <x v="1609"/>
    <n v="332842"/>
    <n v="0.1004659568203532"/>
  </r>
  <r>
    <x v="5"/>
    <s v="47"/>
    <x v="67"/>
    <x v="2"/>
    <x v="1610"/>
    <n v="332842"/>
    <n v="0.19741096376058312"/>
  </r>
  <r>
    <x v="6"/>
    <s v="69"/>
    <x v="9"/>
    <x v="0"/>
    <x v="1611"/>
    <n v="1821995"/>
    <n v="0.22060339353291311"/>
  </r>
  <r>
    <x v="6"/>
    <s v="69"/>
    <x v="9"/>
    <x v="1"/>
    <x v="1612"/>
    <n v="1821995"/>
    <n v="6.877906360884635E-2"/>
  </r>
  <r>
    <x v="6"/>
    <s v="69"/>
    <x v="9"/>
    <x v="2"/>
    <x v="1613"/>
    <n v="1821995"/>
    <n v="9.5727156221614221E-2"/>
  </r>
  <r>
    <x v="5"/>
    <s v="48"/>
    <x v="80"/>
    <x v="0"/>
    <x v="1614"/>
    <n v="76601"/>
    <n v="0.26446691296458269"/>
  </r>
  <r>
    <x v="5"/>
    <s v="48"/>
    <x v="80"/>
    <x v="1"/>
    <x v="1615"/>
    <n v="76601"/>
    <n v="7.6470672706622625E-2"/>
  </r>
  <r>
    <x v="5"/>
    <s v="48"/>
    <x v="80"/>
    <x v="2"/>
    <x v="1616"/>
    <n v="76601"/>
    <n v="0.16934883356614144"/>
  </r>
  <r>
    <x v="5"/>
    <s v="49"/>
    <x v="86"/>
    <x v="0"/>
    <x v="1617"/>
    <n v="813493"/>
    <n v="0.15941030838618156"/>
  </r>
  <r>
    <x v="5"/>
    <s v="49"/>
    <x v="86"/>
    <x v="1"/>
    <x v="1618"/>
    <n v="813493"/>
    <n v="0.10009896827630969"/>
  </r>
  <r>
    <x v="5"/>
    <s v="49"/>
    <x v="86"/>
    <x v="2"/>
    <x v="1619"/>
    <n v="813493"/>
    <n v="0.20279976594758653"/>
  </r>
  <r>
    <x v="5"/>
    <s v="50"/>
    <x v="57"/>
    <x v="0"/>
    <x v="1620"/>
    <n v="496883"/>
    <n v="0.22986302610473694"/>
  </r>
  <r>
    <x v="5"/>
    <s v="50"/>
    <x v="57"/>
    <x v="1"/>
    <x v="1621"/>
    <n v="496883"/>
    <n v="0.10928522408695809"/>
  </r>
  <r>
    <x v="5"/>
    <s v="50"/>
    <x v="57"/>
    <x v="2"/>
    <x v="1622"/>
    <n v="496883"/>
    <n v="0.3082999820883387"/>
  </r>
  <r>
    <x v="6"/>
    <s v="73"/>
    <x v="10"/>
    <x v="0"/>
    <x v="1623"/>
    <n v="428204"/>
    <n v="0.30258112955507188"/>
  </r>
  <r>
    <x v="6"/>
    <s v="73"/>
    <x v="10"/>
    <x v="1"/>
    <x v="1624"/>
    <n v="428204"/>
    <n v="0.1101583123931584"/>
  </r>
  <r>
    <x v="6"/>
    <s v="73"/>
    <x v="10"/>
    <x v="2"/>
    <x v="1625"/>
    <n v="428204"/>
    <n v="0.22454806587514364"/>
  </r>
  <r>
    <x v="5"/>
    <s v="51"/>
    <x v="34"/>
    <x v="0"/>
    <x v="1626"/>
    <n v="568895"/>
    <n v="0.23835502157691668"/>
  </r>
  <r>
    <x v="5"/>
    <s v="51"/>
    <x v="34"/>
    <x v="1"/>
    <x v="1627"/>
    <n v="568895"/>
    <n v="0.10222612257094894"/>
  </r>
  <r>
    <x v="5"/>
    <s v="51"/>
    <x v="34"/>
    <x v="2"/>
    <x v="1628"/>
    <n v="568895"/>
    <n v="0.14841167526520713"/>
  </r>
  <r>
    <x v="5"/>
    <s v="52"/>
    <x v="35"/>
    <x v="0"/>
    <x v="1629"/>
    <n v="175640"/>
    <n v="0.23157572306991572"/>
  </r>
  <r>
    <x v="5"/>
    <s v="52"/>
    <x v="35"/>
    <x v="1"/>
    <x v="1630"/>
    <n v="175640"/>
    <n v="8.6193919380551126E-2"/>
  </r>
  <r>
    <x v="5"/>
    <s v="52"/>
    <x v="35"/>
    <x v="2"/>
    <x v="1631"/>
    <n v="175640"/>
    <n v="0.17254497836483718"/>
  </r>
  <r>
    <x v="5"/>
    <s v="53"/>
    <x v="87"/>
    <x v="0"/>
    <x v="1632"/>
    <n v="307445"/>
    <n v="0.17150143928182277"/>
  </r>
  <r>
    <x v="5"/>
    <s v="53"/>
    <x v="87"/>
    <x v="1"/>
    <x v="1633"/>
    <n v="307445"/>
    <n v="0.10409335003008668"/>
  </r>
  <r>
    <x v="5"/>
    <s v="53"/>
    <x v="87"/>
    <x v="2"/>
    <x v="1634"/>
    <n v="307445"/>
    <n v="0.24529668721234693"/>
  </r>
  <r>
    <x v="6"/>
    <s v="74"/>
    <x v="11"/>
    <x v="0"/>
    <x v="1635"/>
    <n v="793938"/>
    <n v="0.28496849879965441"/>
  </r>
  <r>
    <x v="6"/>
    <s v="74"/>
    <x v="11"/>
    <x v="1"/>
    <x v="1636"/>
    <n v="793938"/>
    <n v="8.3806115842798803E-2"/>
  </r>
  <r>
    <x v="6"/>
    <s v="74"/>
    <x v="11"/>
    <x v="2"/>
    <x v="1637"/>
    <n v="793938"/>
    <n v="0.21462290506311577"/>
  </r>
  <r>
    <x v="5"/>
    <s v="54"/>
    <x v="36"/>
    <x v="0"/>
    <x v="1638"/>
    <n v="733481"/>
    <n v="0.24153082356598193"/>
  </r>
  <r>
    <x v="5"/>
    <s v="54"/>
    <x v="36"/>
    <x v="1"/>
    <x v="1639"/>
    <n v="733481"/>
    <n v="0.10140960706548637"/>
  </r>
  <r>
    <x v="5"/>
    <s v="54"/>
    <x v="36"/>
    <x v="2"/>
    <x v="1640"/>
    <n v="733481"/>
    <n v="0.12873302784939214"/>
  </r>
  <r>
    <x v="5"/>
    <s v="55"/>
    <x v="37"/>
    <x v="0"/>
    <x v="1641"/>
    <n v="187187"/>
    <n v="0.22532280553670928"/>
  </r>
  <r>
    <x v="5"/>
    <s v="55"/>
    <x v="37"/>
    <x v="1"/>
    <x v="1642"/>
    <n v="187187"/>
    <n v="9.1511857126830395E-2"/>
  </r>
  <r>
    <x v="5"/>
    <s v="55"/>
    <x v="37"/>
    <x v="2"/>
    <x v="1643"/>
    <n v="187187"/>
    <n v="0.16398307574778162"/>
  </r>
  <r>
    <x v="5"/>
    <s v="56"/>
    <x v="23"/>
    <x v="0"/>
    <x v="1644"/>
    <n v="750863"/>
    <n v="0.19894627914812688"/>
  </r>
  <r>
    <x v="5"/>
    <s v="56"/>
    <x v="23"/>
    <x v="1"/>
    <x v="1645"/>
    <n v="750863"/>
    <n v="0.12580388166682871"/>
  </r>
  <r>
    <x v="5"/>
    <s v="56"/>
    <x v="23"/>
    <x v="2"/>
    <x v="1646"/>
    <n v="750863"/>
    <n v="0.25890406106040653"/>
  </r>
  <r>
    <x v="6"/>
    <s v="21"/>
    <x v="12"/>
    <x v="0"/>
    <x v="1647"/>
    <n v="533147"/>
    <n v="0.22229281980391899"/>
  </r>
  <r>
    <x v="6"/>
    <s v="21"/>
    <x v="12"/>
    <x v="1"/>
    <x v="1648"/>
    <n v="533147"/>
    <n v="0.10716646628415803"/>
  </r>
  <r>
    <x v="6"/>
    <s v="21"/>
    <x v="12"/>
    <x v="2"/>
    <x v="1649"/>
    <n v="533147"/>
    <n v="0.16429787657062686"/>
  </r>
  <r>
    <x v="5"/>
    <s v="57"/>
    <x v="38"/>
    <x v="0"/>
    <x v="1650"/>
    <n v="1043522"/>
    <n v="0.22033885246310092"/>
  </r>
  <r>
    <x v="5"/>
    <s v="57"/>
    <x v="38"/>
    <x v="1"/>
    <x v="1651"/>
    <n v="1043522"/>
    <n v="0.11899477921883775"/>
  </r>
  <r>
    <x v="5"/>
    <s v="57"/>
    <x v="38"/>
    <x v="2"/>
    <x v="1652"/>
    <n v="1043522"/>
    <n v="0.1650347477101585"/>
  </r>
  <r>
    <x v="5"/>
    <s v="58"/>
    <x v="15"/>
    <x v="0"/>
    <x v="1653"/>
    <n v="207182"/>
    <n v="0.19430568292612294"/>
  </r>
  <r>
    <x v="5"/>
    <s v="58"/>
    <x v="15"/>
    <x v="1"/>
    <x v="1654"/>
    <n v="207182"/>
    <n v="0.11146745373632844"/>
  </r>
  <r>
    <x v="5"/>
    <s v="58"/>
    <x v="15"/>
    <x v="2"/>
    <x v="1655"/>
    <n v="207182"/>
    <n v="0.20332881234856309"/>
  </r>
  <r>
    <x v="5"/>
    <s v="59"/>
    <x v="43"/>
    <x v="0"/>
    <x v="1656"/>
    <n v="2604361"/>
    <n v="0.24001639941620995"/>
  </r>
  <r>
    <x v="5"/>
    <s v="59"/>
    <x v="43"/>
    <x v="1"/>
    <x v="1657"/>
    <n v="2604361"/>
    <n v="0.14349448482756422"/>
  </r>
  <r>
    <x v="5"/>
    <s v="59"/>
    <x v="43"/>
    <x v="2"/>
    <x v="1658"/>
    <n v="2604361"/>
    <n v="0.1293515760679875"/>
  </r>
  <r>
    <x v="6"/>
    <s v="25"/>
    <x v="13"/>
    <x v="0"/>
    <x v="1659"/>
    <n v="536959"/>
    <n v="0.18425213098206752"/>
  </r>
  <r>
    <x v="6"/>
    <s v="25"/>
    <x v="13"/>
    <x v="1"/>
    <x v="1660"/>
    <n v="536959"/>
    <n v="9.7524112641747318E-2"/>
  </r>
  <r>
    <x v="6"/>
    <s v="25"/>
    <x v="13"/>
    <x v="2"/>
    <x v="1661"/>
    <n v="536959"/>
    <n v="0.17958629988509364"/>
  </r>
  <r>
    <x v="5"/>
    <s v="60"/>
    <x v="44"/>
    <x v="0"/>
    <x v="1662"/>
    <n v="824503"/>
    <n v="0.24254034248510919"/>
  </r>
  <r>
    <x v="5"/>
    <s v="60"/>
    <x v="44"/>
    <x v="1"/>
    <x v="1663"/>
    <n v="824503"/>
    <n v="0.14327621609624222"/>
  </r>
  <r>
    <x v="5"/>
    <s v="60"/>
    <x v="44"/>
    <x v="2"/>
    <x v="1664"/>
    <n v="824503"/>
    <n v="0.18287523514165502"/>
  </r>
  <r>
    <x v="5"/>
    <s v="61"/>
    <x v="58"/>
    <x v="0"/>
    <x v="1665"/>
    <n v="283372"/>
    <n v="0.22203164038790002"/>
  </r>
  <r>
    <x v="5"/>
    <s v="61"/>
    <x v="58"/>
    <x v="1"/>
    <x v="1666"/>
    <n v="283372"/>
    <n v="7.7780620527080999E-2"/>
  </r>
  <r>
    <x v="5"/>
    <s v="61"/>
    <x v="58"/>
    <x v="2"/>
    <x v="1667"/>
    <n v="283372"/>
    <n v="0.26362272913343593"/>
  </r>
  <r>
    <x v="5"/>
    <s v="62"/>
    <x v="45"/>
    <x v="0"/>
    <x v="1668"/>
    <n v="1468018"/>
    <n v="0.27093856478599038"/>
  </r>
  <r>
    <x v="5"/>
    <s v="62"/>
    <x v="45"/>
    <x v="1"/>
    <x v="1669"/>
    <n v="1468018"/>
    <n v="0.16458700097682724"/>
  </r>
  <r>
    <x v="5"/>
    <s v="62"/>
    <x v="45"/>
    <x v="2"/>
    <x v="1670"/>
    <n v="1468018"/>
    <n v="0.21535545204486592"/>
  </r>
  <r>
    <x v="6"/>
    <s v="39"/>
    <x v="14"/>
    <x v="0"/>
    <x v="1671"/>
    <n v="260587"/>
    <n v="0.19270028819549709"/>
  </r>
  <r>
    <x v="6"/>
    <s v="39"/>
    <x v="14"/>
    <x v="1"/>
    <x v="1672"/>
    <n v="260587"/>
    <n v="0.13206806172218877"/>
  </r>
  <r>
    <x v="6"/>
    <s v="39"/>
    <x v="14"/>
    <x v="2"/>
    <x v="1673"/>
    <n v="260587"/>
    <n v="0.15128490676818107"/>
  </r>
  <r>
    <x v="5"/>
    <s v="63"/>
    <x v="8"/>
    <x v="0"/>
    <x v="1674"/>
    <n v="653742"/>
    <n v="0.20907570570653256"/>
  </r>
  <r>
    <x v="5"/>
    <s v="63"/>
    <x v="8"/>
    <x v="1"/>
    <x v="1675"/>
    <n v="653742"/>
    <n v="0.11127918964973951"/>
  </r>
  <r>
    <x v="5"/>
    <s v="63"/>
    <x v="8"/>
    <x v="2"/>
    <x v="1676"/>
    <n v="653742"/>
    <n v="0.15011265912240609"/>
  </r>
  <r>
    <x v="5"/>
    <s v="64"/>
    <x v="68"/>
    <x v="0"/>
    <x v="1677"/>
    <n v="677309"/>
    <n v="0.24832177041793332"/>
  </r>
  <r>
    <x v="5"/>
    <s v="64"/>
    <x v="68"/>
    <x v="1"/>
    <x v="1678"/>
    <n v="677309"/>
    <n v="0.1095062224184235"/>
  </r>
  <r>
    <x v="5"/>
    <s v="64"/>
    <x v="68"/>
    <x v="2"/>
    <x v="1679"/>
    <n v="677309"/>
    <n v="0.18657680615494551"/>
  </r>
  <r>
    <x v="5"/>
    <s v="65"/>
    <x v="81"/>
    <x v="0"/>
    <x v="1680"/>
    <n v="228530"/>
    <n v="0.26329628495164747"/>
  </r>
  <r>
    <x v="5"/>
    <s v="65"/>
    <x v="81"/>
    <x v="1"/>
    <x v="1681"/>
    <n v="228530"/>
    <n v="9.1928718330197348E-2"/>
  </r>
  <r>
    <x v="5"/>
    <s v="65"/>
    <x v="81"/>
    <x v="2"/>
    <x v="1682"/>
    <n v="228530"/>
    <n v="0.18907867676016279"/>
  </r>
  <r>
    <x v="6"/>
    <s v="58"/>
    <x v="15"/>
    <x v="0"/>
    <x v="1683"/>
    <n v="211747"/>
    <n v="0.19855043991178151"/>
  </r>
  <r>
    <x v="6"/>
    <s v="58"/>
    <x v="15"/>
    <x v="1"/>
    <x v="1684"/>
    <n v="211747"/>
    <n v="9.9846089909184074E-2"/>
  </r>
  <r>
    <x v="6"/>
    <s v="58"/>
    <x v="15"/>
    <x v="2"/>
    <x v="1685"/>
    <n v="211747"/>
    <n v="0.19074796809399897"/>
  </r>
  <r>
    <x v="5"/>
    <s v="66"/>
    <x v="82"/>
    <x v="0"/>
    <x v="1686"/>
    <n v="474452"/>
    <n v="0.33624010437304513"/>
  </r>
  <r>
    <x v="5"/>
    <s v="66"/>
    <x v="82"/>
    <x v="1"/>
    <x v="1687"/>
    <n v="474452"/>
    <n v="9.9802677615438443E-2"/>
  </r>
  <r>
    <x v="5"/>
    <s v="66"/>
    <x v="82"/>
    <x v="2"/>
    <x v="1688"/>
    <n v="474452"/>
    <n v="0.24561005117482906"/>
  </r>
  <r>
    <x v="5"/>
    <s v="67"/>
    <x v="39"/>
    <x v="0"/>
    <x v="1689"/>
    <n v="1125559"/>
    <n v="0.19599918795904966"/>
  </r>
  <r>
    <x v="5"/>
    <s v="67"/>
    <x v="39"/>
    <x v="1"/>
    <x v="1690"/>
    <n v="1125559"/>
    <n v="0.10309145944370753"/>
  </r>
  <r>
    <x v="5"/>
    <s v="67"/>
    <x v="39"/>
    <x v="2"/>
    <x v="1691"/>
    <n v="1125559"/>
    <n v="0.14125129824380597"/>
  </r>
  <r>
    <x v="5"/>
    <s v="68"/>
    <x v="40"/>
    <x v="0"/>
    <x v="1692"/>
    <n v="764030"/>
    <n v="0.18748292606311268"/>
  </r>
  <r>
    <x v="5"/>
    <s v="68"/>
    <x v="40"/>
    <x v="1"/>
    <x v="1693"/>
    <n v="764030"/>
    <n v="0.16837081004672591"/>
  </r>
  <r>
    <x v="5"/>
    <s v="68"/>
    <x v="40"/>
    <x v="2"/>
    <x v="1694"/>
    <n v="764030"/>
    <n v="0.15416909021897046"/>
  </r>
  <r>
    <x v="6"/>
    <s v="70"/>
    <x v="16"/>
    <x v="0"/>
    <x v="1695"/>
    <n v="237706"/>
    <n v="0.15643988792878596"/>
  </r>
  <r>
    <x v="6"/>
    <s v="70"/>
    <x v="16"/>
    <x v="1"/>
    <x v="1696"/>
    <n v="237706"/>
    <n v="0.16291486121511445"/>
  </r>
  <r>
    <x v="6"/>
    <s v="70"/>
    <x v="16"/>
    <x v="2"/>
    <x v="1697"/>
    <n v="237706"/>
    <n v="0.19797670231294121"/>
  </r>
  <r>
    <x v="5"/>
    <s v="69"/>
    <x v="9"/>
    <x v="0"/>
    <x v="1698"/>
    <n v="1843319"/>
    <n v="0.21932181027809078"/>
  </r>
  <r>
    <x v="5"/>
    <s v="69"/>
    <x v="9"/>
    <x v="1"/>
    <x v="1699"/>
    <n v="1843319"/>
    <n v="6.9974887689000106E-2"/>
  </r>
  <r>
    <x v="5"/>
    <s v="69"/>
    <x v="9"/>
    <x v="2"/>
    <x v="1700"/>
    <n v="1843319"/>
    <n v="9.6307383583633652E-2"/>
  </r>
  <r>
    <x v="5"/>
    <s v="70"/>
    <x v="16"/>
    <x v="0"/>
    <x v="1701"/>
    <n v="236659"/>
    <n v="0.13734153359897575"/>
  </r>
  <r>
    <x v="5"/>
    <s v="70"/>
    <x v="16"/>
    <x v="1"/>
    <x v="1702"/>
    <n v="236659"/>
    <n v="0.12758200617766491"/>
  </r>
  <r>
    <x v="5"/>
    <s v="70"/>
    <x v="16"/>
    <x v="2"/>
    <x v="1703"/>
    <n v="236659"/>
    <n v="0.22989309512843373"/>
  </r>
  <r>
    <x v="5"/>
    <s v="71"/>
    <x v="17"/>
    <x v="0"/>
    <x v="1704"/>
    <n v="553595"/>
    <n v="0.20268987256026519"/>
  </r>
  <r>
    <x v="5"/>
    <s v="71"/>
    <x v="17"/>
    <x v="1"/>
    <x v="1705"/>
    <n v="553595"/>
    <n v="9.7393961289390249E-2"/>
  </r>
  <r>
    <x v="5"/>
    <s v="71"/>
    <x v="17"/>
    <x v="2"/>
    <x v="1706"/>
    <n v="553595"/>
    <n v="0.20927811848011635"/>
  </r>
  <r>
    <x v="6"/>
    <s v="71"/>
    <x v="17"/>
    <x v="0"/>
    <x v="1707"/>
    <n v="555408"/>
    <n v="0.20832903019041857"/>
  </r>
  <r>
    <x v="6"/>
    <s v="71"/>
    <x v="17"/>
    <x v="1"/>
    <x v="1708"/>
    <n v="555408"/>
    <n v="9.1673130383429835E-2"/>
  </r>
  <r>
    <x v="6"/>
    <s v="71"/>
    <x v="17"/>
    <x v="2"/>
    <x v="1709"/>
    <n v="555408"/>
    <n v="0.19980616051623312"/>
  </r>
  <r>
    <x v="5"/>
    <s v="72"/>
    <x v="88"/>
    <x v="0"/>
    <x v="1710"/>
    <n v="566506"/>
    <n v="0.1820186547009211"/>
  </r>
  <r>
    <x v="5"/>
    <s v="72"/>
    <x v="88"/>
    <x v="1"/>
    <x v="1711"/>
    <n v="566506"/>
    <n v="9.9881625260809237E-2"/>
  </r>
  <r>
    <x v="5"/>
    <s v="72"/>
    <x v="88"/>
    <x v="2"/>
    <x v="1712"/>
    <n v="566506"/>
    <n v="0.19244625829205694"/>
  </r>
  <r>
    <x v="5"/>
    <s v="73"/>
    <x v="10"/>
    <x v="0"/>
    <x v="1713"/>
    <n v="431174"/>
    <n v="0.29681100901260282"/>
  </r>
  <r>
    <x v="5"/>
    <s v="73"/>
    <x v="10"/>
    <x v="1"/>
    <x v="1714"/>
    <n v="431174"/>
    <n v="0.11315536187246912"/>
  </r>
  <r>
    <x v="5"/>
    <s v="73"/>
    <x v="10"/>
    <x v="2"/>
    <x v="1715"/>
    <n v="431174"/>
    <n v="0.21026328118114729"/>
  </r>
  <r>
    <x v="5"/>
    <s v="74"/>
    <x v="11"/>
    <x v="0"/>
    <x v="1716"/>
    <n v="807360"/>
    <n v="0.27923155717399922"/>
  </r>
  <r>
    <x v="5"/>
    <s v="74"/>
    <x v="11"/>
    <x v="1"/>
    <x v="1717"/>
    <n v="807360"/>
    <n v="8.7793759908838684E-2"/>
  </r>
  <r>
    <x v="5"/>
    <s v="74"/>
    <x v="11"/>
    <x v="2"/>
    <x v="1718"/>
    <n v="807360"/>
    <n v="0.21536258917954818"/>
  </r>
  <r>
    <x v="6"/>
    <s v="89"/>
    <x v="18"/>
    <x v="0"/>
    <x v="1719"/>
    <n v="340903"/>
    <n v="0.22208983200499849"/>
  </r>
  <r>
    <x v="6"/>
    <s v="89"/>
    <x v="18"/>
    <x v="1"/>
    <x v="1720"/>
    <n v="340903"/>
    <n v="9.9952039143099344E-2"/>
  </r>
  <r>
    <x v="6"/>
    <s v="89"/>
    <x v="18"/>
    <x v="2"/>
    <x v="1721"/>
    <n v="340903"/>
    <n v="0.1883291728145543"/>
  </r>
  <r>
    <x v="5"/>
    <s v="75"/>
    <x v="47"/>
    <x v="0"/>
    <x v="1722"/>
    <n v="2187526"/>
    <n v="0.35498640930439229"/>
  </r>
  <r>
    <x v="5"/>
    <s v="75"/>
    <x v="47"/>
    <x v="1"/>
    <x v="1723"/>
    <n v="2187526"/>
    <n v="0.12061653210064703"/>
  </r>
  <r>
    <x v="5"/>
    <s v="75"/>
    <x v="47"/>
    <x v="2"/>
    <x v="1724"/>
    <n v="2187526"/>
    <n v="1.6889627826137839E-3"/>
  </r>
  <r>
    <x v="5"/>
    <s v="76"/>
    <x v="59"/>
    <x v="0"/>
    <x v="1725"/>
    <n v="1254378"/>
    <n v="0.26806599764983124"/>
  </r>
  <r>
    <x v="5"/>
    <s v="76"/>
    <x v="59"/>
    <x v="1"/>
    <x v="1726"/>
    <n v="1254378"/>
    <n v="0.10898760182337382"/>
  </r>
  <r>
    <x v="5"/>
    <s v="76"/>
    <x v="59"/>
    <x v="2"/>
    <x v="1727"/>
    <n v="1254378"/>
    <n v="0.21270177729520129"/>
  </r>
  <r>
    <x v="5"/>
    <s v="77"/>
    <x v="48"/>
    <x v="0"/>
    <x v="1728"/>
    <n v="1403997"/>
    <n v="0.28149931232046793"/>
  </r>
  <r>
    <x v="5"/>
    <s v="77"/>
    <x v="48"/>
    <x v="1"/>
    <x v="1729"/>
    <n v="1403997"/>
    <n v="0.10884535365816309"/>
  </r>
  <r>
    <x v="5"/>
    <s v="77"/>
    <x v="48"/>
    <x v="2"/>
    <x v="1730"/>
    <n v="1403997"/>
    <n v="9.3240078148315128E-2"/>
  </r>
  <r>
    <x v="6"/>
    <s v="90"/>
    <x v="19"/>
    <x v="0"/>
    <x v="1731"/>
    <n v="144483"/>
    <n v="0.22101472145511927"/>
  </r>
  <r>
    <x v="6"/>
    <s v="90"/>
    <x v="19"/>
    <x v="1"/>
    <x v="1732"/>
    <n v="144483"/>
    <n v="9.2809188624267222E-2"/>
  </r>
  <r>
    <x v="6"/>
    <s v="90"/>
    <x v="19"/>
    <x v="2"/>
    <x v="1733"/>
    <n v="144483"/>
    <n v="0.12403625340005399"/>
  </r>
  <r>
    <x v="5"/>
    <s v="78"/>
    <x v="49"/>
    <x v="0"/>
    <x v="1734"/>
    <n v="1438266"/>
    <n v="0.25106971172231007"/>
  </r>
  <r>
    <x v="5"/>
    <s v="78"/>
    <x v="49"/>
    <x v="1"/>
    <x v="1735"/>
    <n v="1438266"/>
    <n v="0.12807800504218272"/>
  </r>
  <r>
    <x v="5"/>
    <s v="78"/>
    <x v="49"/>
    <x v="2"/>
    <x v="1736"/>
    <n v="1438266"/>
    <n v="7.6690806846577753E-2"/>
  </r>
  <r>
    <x v="5"/>
    <s v="79"/>
    <x v="69"/>
    <x v="0"/>
    <x v="1737"/>
    <n v="374351"/>
    <n v="0.18252108315457952"/>
  </r>
  <r>
    <x v="5"/>
    <s v="79"/>
    <x v="69"/>
    <x v="1"/>
    <x v="1738"/>
    <n v="374351"/>
    <n v="0.10876348667427094"/>
  </r>
  <r>
    <x v="5"/>
    <s v="79"/>
    <x v="69"/>
    <x v="2"/>
    <x v="1739"/>
    <n v="374351"/>
    <n v="0.21001375714236103"/>
  </r>
  <r>
    <x v="5"/>
    <s v="80"/>
    <x v="46"/>
    <x v="0"/>
    <x v="1740"/>
    <n v="572443"/>
    <n v="0.2615391226724757"/>
  </r>
  <r>
    <x v="5"/>
    <s v="80"/>
    <x v="46"/>
    <x v="1"/>
    <x v="1741"/>
    <n v="572443"/>
    <n v="0.13045181791025481"/>
  </r>
  <r>
    <x v="5"/>
    <s v="80"/>
    <x v="46"/>
    <x v="2"/>
    <x v="1742"/>
    <n v="572443"/>
    <n v="0.1871412000845499"/>
  </r>
  <r>
    <x v="6"/>
    <s v="22"/>
    <x v="20"/>
    <x v="0"/>
    <x v="1743"/>
    <n v="598357"/>
    <n v="0.2267913469717911"/>
  </r>
  <r>
    <x v="6"/>
    <s v="22"/>
    <x v="20"/>
    <x v="1"/>
    <x v="1744"/>
    <n v="598357"/>
    <n v="0.11267579388224756"/>
  </r>
  <r>
    <x v="6"/>
    <s v="22"/>
    <x v="20"/>
    <x v="2"/>
    <x v="1745"/>
    <n v="598357"/>
    <n v="0.32358998056344285"/>
  </r>
  <r>
    <x v="5"/>
    <s v="81"/>
    <x v="83"/>
    <x v="0"/>
    <x v="1746"/>
    <n v="387890"/>
    <n v="0.24024470855139346"/>
  </r>
  <r>
    <x v="5"/>
    <s v="81"/>
    <x v="83"/>
    <x v="1"/>
    <x v="1747"/>
    <n v="387890"/>
    <n v="9.4574750573616223E-2"/>
  </r>
  <r>
    <x v="5"/>
    <s v="81"/>
    <x v="83"/>
    <x v="2"/>
    <x v="1748"/>
    <n v="387890"/>
    <n v="0.17812573152182321"/>
  </r>
  <r>
    <x v="5"/>
    <s v="82"/>
    <x v="84"/>
    <x v="0"/>
    <x v="1749"/>
    <n v="258349"/>
    <n v="0.243426179315577"/>
  </r>
  <r>
    <x v="5"/>
    <s v="82"/>
    <x v="84"/>
    <x v="1"/>
    <x v="1750"/>
    <n v="258349"/>
    <n v="0.10675206793910563"/>
  </r>
  <r>
    <x v="5"/>
    <s v="82"/>
    <x v="84"/>
    <x v="2"/>
    <x v="1751"/>
    <n v="258349"/>
    <n v="0.17545873992157893"/>
  </r>
  <r>
    <x v="5"/>
    <s v="83"/>
    <x v="94"/>
    <x v="0"/>
    <x v="1752"/>
    <n v="1058740"/>
    <n v="0.41600545931956856"/>
  </r>
  <r>
    <x v="5"/>
    <s v="83"/>
    <x v="94"/>
    <x v="1"/>
    <x v="1753"/>
    <n v="1058740"/>
    <n v="9.0003598617224248E-2"/>
  </r>
  <r>
    <x v="5"/>
    <s v="83"/>
    <x v="94"/>
    <x v="2"/>
    <x v="1754"/>
    <n v="1058740"/>
    <n v="0.22009611424901299"/>
  </r>
  <r>
    <x v="6"/>
    <s v="29"/>
    <x v="21"/>
    <x v="0"/>
    <x v="1755"/>
    <n v="907796"/>
    <n v="0.23630979867723584"/>
  </r>
  <r>
    <x v="6"/>
    <s v="29"/>
    <x v="21"/>
    <x v="1"/>
    <x v="1756"/>
    <n v="907796"/>
    <n v="0.14873677566325474"/>
  </r>
  <r>
    <x v="6"/>
    <s v="29"/>
    <x v="21"/>
    <x v="2"/>
    <x v="1757"/>
    <n v="907796"/>
    <n v="0.28983043547228671"/>
  </r>
  <r>
    <x v="5"/>
    <s v="84"/>
    <x v="95"/>
    <x v="0"/>
    <x v="1758"/>
    <n v="559479"/>
    <n v="0.33249047774804774"/>
  </r>
  <r>
    <x v="5"/>
    <s v="84"/>
    <x v="95"/>
    <x v="1"/>
    <x v="1759"/>
    <n v="559479"/>
    <n v="7.2295546392268512E-2"/>
  </r>
  <r>
    <x v="5"/>
    <s v="84"/>
    <x v="95"/>
    <x v="2"/>
    <x v="1760"/>
    <n v="559479"/>
    <n v="0.18478196679410666"/>
  </r>
  <r>
    <x v="5"/>
    <s v="85"/>
    <x v="89"/>
    <x v="0"/>
    <x v="1761"/>
    <n v="675247"/>
    <n v="0.17458620327080313"/>
  </r>
  <r>
    <x v="5"/>
    <s v="85"/>
    <x v="89"/>
    <x v="1"/>
    <x v="1762"/>
    <n v="675247"/>
    <n v="0.12061328669360989"/>
  </r>
  <r>
    <x v="5"/>
    <s v="85"/>
    <x v="89"/>
    <x v="2"/>
    <x v="1763"/>
    <n v="675247"/>
    <n v="0.29136470062066178"/>
  </r>
  <r>
    <x v="5"/>
    <s v="86"/>
    <x v="70"/>
    <x v="0"/>
    <x v="1764"/>
    <n v="436876"/>
    <n v="0.20082300240800594"/>
  </r>
  <r>
    <x v="5"/>
    <s v="86"/>
    <x v="70"/>
    <x v="1"/>
    <x v="1765"/>
    <n v="436876"/>
    <n v="8.909171023356742E-2"/>
  </r>
  <r>
    <x v="5"/>
    <s v="86"/>
    <x v="70"/>
    <x v="2"/>
    <x v="1766"/>
    <n v="436876"/>
    <n v="0.21293009915857131"/>
  </r>
  <r>
    <x v="6"/>
    <s v="35"/>
    <x v="22"/>
    <x v="0"/>
    <x v="1767"/>
    <n v="1042884"/>
    <n v="0.18967056738812754"/>
  </r>
  <r>
    <x v="6"/>
    <s v="35"/>
    <x v="22"/>
    <x v="1"/>
    <x v="1768"/>
    <n v="1042884"/>
    <n v="0.10761572715661569"/>
  </r>
  <r>
    <x v="6"/>
    <s v="35"/>
    <x v="22"/>
    <x v="2"/>
    <x v="1769"/>
    <n v="1042884"/>
    <n v="0.17264791673858262"/>
  </r>
  <r>
    <x v="5"/>
    <s v="87"/>
    <x v="71"/>
    <x v="0"/>
    <x v="1770"/>
    <n v="374426"/>
    <n v="0.22147852980295174"/>
  </r>
  <r>
    <x v="5"/>
    <s v="87"/>
    <x v="71"/>
    <x v="1"/>
    <x v="1771"/>
    <n v="374426"/>
    <n v="9.3446528820113978E-2"/>
  </r>
  <r>
    <x v="5"/>
    <s v="87"/>
    <x v="71"/>
    <x v="2"/>
    <x v="1772"/>
    <n v="374426"/>
    <n v="0.18221218611955364"/>
  </r>
  <r>
    <x v="5"/>
    <s v="88"/>
    <x v="41"/>
    <x v="0"/>
    <x v="1773"/>
    <n v="367673"/>
    <n v="0.21930187965937126"/>
  </r>
  <r>
    <x v="5"/>
    <s v="88"/>
    <x v="41"/>
    <x v="1"/>
    <x v="1774"/>
    <n v="367673"/>
    <n v="0.1020912060445015"/>
  </r>
  <r>
    <x v="5"/>
    <s v="88"/>
    <x v="41"/>
    <x v="2"/>
    <x v="1775"/>
    <n v="367673"/>
    <n v="0.18557508982166218"/>
  </r>
  <r>
    <x v="5"/>
    <s v="89"/>
    <x v="18"/>
    <x v="0"/>
    <x v="1776"/>
    <n v="338291"/>
    <n v="0.20061491437844933"/>
  </r>
  <r>
    <x v="5"/>
    <s v="89"/>
    <x v="18"/>
    <x v="1"/>
    <x v="1777"/>
    <n v="338291"/>
    <n v="0.10662926297182013"/>
  </r>
  <r>
    <x v="5"/>
    <s v="89"/>
    <x v="18"/>
    <x v="2"/>
    <x v="1778"/>
    <n v="338291"/>
    <n v="0.21275472891682012"/>
  </r>
  <r>
    <x v="6"/>
    <s v="56"/>
    <x v="23"/>
    <x v="0"/>
    <x v="1779"/>
    <n v="744813"/>
    <n v="0.20568663543735138"/>
  </r>
  <r>
    <x v="6"/>
    <s v="56"/>
    <x v="23"/>
    <x v="1"/>
    <x v="1780"/>
    <n v="744813"/>
    <n v="0.12554574101150223"/>
  </r>
  <r>
    <x v="6"/>
    <s v="56"/>
    <x v="23"/>
    <x v="2"/>
    <x v="1781"/>
    <n v="744813"/>
    <n v="0.2419786174516288"/>
  </r>
  <r>
    <x v="5"/>
    <s v="90"/>
    <x v="19"/>
    <x v="0"/>
    <x v="1782"/>
    <n v="142622"/>
    <n v="0.22207162990282003"/>
  </r>
  <r>
    <x v="5"/>
    <s v="90"/>
    <x v="19"/>
    <x v="1"/>
    <x v="1783"/>
    <n v="142622"/>
    <n v="0.1744284892933769"/>
  </r>
  <r>
    <x v="5"/>
    <s v="90"/>
    <x v="19"/>
    <x v="2"/>
    <x v="1784"/>
    <n v="142622"/>
    <n v="0.12794709091164055"/>
  </r>
  <r>
    <x v="5"/>
    <s v="91"/>
    <x v="50"/>
    <x v="0"/>
    <x v="1785"/>
    <n v="1296130"/>
    <n v="0.2484919182489411"/>
  </r>
  <r>
    <x v="5"/>
    <s v="91"/>
    <x v="50"/>
    <x v="1"/>
    <x v="1786"/>
    <n v="1296130"/>
    <n v="0.13176386627884548"/>
  </r>
  <r>
    <x v="5"/>
    <s v="91"/>
    <x v="50"/>
    <x v="2"/>
    <x v="1787"/>
    <n v="1296130"/>
    <n v="8.5647327042812069E-2"/>
  </r>
  <r>
    <x v="5"/>
    <s v="92"/>
    <x v="51"/>
    <x v="0"/>
    <x v="1788"/>
    <n v="1609306"/>
    <n v="0.26617995583189274"/>
  </r>
  <r>
    <x v="5"/>
    <s v="92"/>
    <x v="51"/>
    <x v="1"/>
    <x v="1789"/>
    <n v="1609306"/>
    <n v="9.1346251116941099E-2"/>
  </r>
  <r>
    <x v="5"/>
    <s v="92"/>
    <x v="51"/>
    <x v="2"/>
    <x v="1790"/>
    <n v="1609306"/>
    <n v="1.4229667943821746E-2"/>
  </r>
  <r>
    <x v="6"/>
    <s v="18"/>
    <x v="24"/>
    <x v="0"/>
    <x v="1791"/>
    <n v="308992"/>
    <n v="0.20451561852734051"/>
  </r>
  <r>
    <x v="6"/>
    <s v="18"/>
    <x v="24"/>
    <x v="1"/>
    <x v="1792"/>
    <n v="308992"/>
    <n v="0.10009945241300745"/>
  </r>
  <r>
    <x v="6"/>
    <s v="18"/>
    <x v="24"/>
    <x v="2"/>
    <x v="1793"/>
    <n v="308992"/>
    <n v="0.19143275554059652"/>
  </r>
  <r>
    <x v="5"/>
    <s v="93"/>
    <x v="52"/>
    <x v="0"/>
    <x v="1794"/>
    <n v="1623111"/>
    <n v="0.30309142751173518"/>
  </r>
  <r>
    <x v="5"/>
    <s v="93"/>
    <x v="52"/>
    <x v="1"/>
    <x v="1795"/>
    <n v="1623111"/>
    <n v="7.0909432564994018E-2"/>
  </r>
  <r>
    <x v="5"/>
    <s v="93"/>
    <x v="52"/>
    <x v="2"/>
    <x v="1796"/>
    <n v="1623111"/>
    <n v="5.7479605522974091E-2"/>
  </r>
  <r>
    <x v="5"/>
    <s v="94"/>
    <x v="53"/>
    <x v="0"/>
    <x v="1797"/>
    <n v="1387926"/>
    <n v="0.26739664794808948"/>
  </r>
  <r>
    <x v="5"/>
    <s v="94"/>
    <x v="53"/>
    <x v="1"/>
    <x v="1798"/>
    <n v="1387926"/>
    <n v="9.4930572667418861E-2"/>
  </r>
  <r>
    <x v="5"/>
    <s v="94"/>
    <x v="53"/>
    <x v="2"/>
    <x v="1799"/>
    <n v="1387926"/>
    <n v="3.0416232565713158E-2"/>
  </r>
  <r>
    <x v="5"/>
    <s v="95"/>
    <x v="54"/>
    <x v="0"/>
    <x v="1800"/>
    <n v="1228618"/>
    <n v="0.26722259481791738"/>
  </r>
  <r>
    <x v="5"/>
    <s v="95"/>
    <x v="54"/>
    <x v="1"/>
    <x v="1801"/>
    <n v="1228618"/>
    <n v="0.10885197026252259"/>
  </r>
  <r>
    <x v="5"/>
    <s v="95"/>
    <x v="54"/>
    <x v="2"/>
    <x v="1802"/>
    <n v="1228618"/>
    <n v="7.7380585340602201E-2"/>
  </r>
  <r>
    <x v="6"/>
    <s v="28"/>
    <x v="25"/>
    <x v="0"/>
    <x v="1803"/>
    <n v="434035"/>
    <n v="0.24174773923761908"/>
  </r>
  <r>
    <x v="6"/>
    <s v="28"/>
    <x v="25"/>
    <x v="1"/>
    <x v="1804"/>
    <n v="434035"/>
    <n v="0.12074738212356145"/>
  </r>
  <r>
    <x v="6"/>
    <s v="28"/>
    <x v="25"/>
    <x v="2"/>
    <x v="1805"/>
    <n v="434035"/>
    <n v="0.19186010344787863"/>
  </r>
  <r>
    <x v="6"/>
    <s v="36"/>
    <x v="26"/>
    <x v="0"/>
    <x v="1806"/>
    <n v="224200"/>
    <n v="0.18961333630686886"/>
  </r>
  <r>
    <x v="6"/>
    <s v="36"/>
    <x v="26"/>
    <x v="1"/>
    <x v="1807"/>
    <n v="224200"/>
    <n v="0.13040004460303301"/>
  </r>
  <r>
    <x v="6"/>
    <s v="36"/>
    <x v="26"/>
    <x v="2"/>
    <x v="1808"/>
    <n v="224200"/>
    <n v="0.17054442462087421"/>
  </r>
  <r>
    <x v="6"/>
    <s v="37"/>
    <x v="27"/>
    <x v="0"/>
    <x v="1809"/>
    <n v="604966"/>
    <n v="0.21294920706287626"/>
  </r>
  <r>
    <x v="6"/>
    <s v="37"/>
    <x v="27"/>
    <x v="1"/>
    <x v="1810"/>
    <n v="604966"/>
    <n v="0.12505669740117628"/>
  </r>
  <r>
    <x v="6"/>
    <s v="37"/>
    <x v="27"/>
    <x v="2"/>
    <x v="1811"/>
    <n v="604966"/>
    <n v="0.15868053741863181"/>
  </r>
  <r>
    <x v="6"/>
    <s v="41"/>
    <x v="28"/>
    <x v="0"/>
    <x v="1812"/>
    <n v="333050"/>
    <n v="0.22646635640294249"/>
  </r>
  <r>
    <x v="6"/>
    <s v="41"/>
    <x v="28"/>
    <x v="1"/>
    <x v="1813"/>
    <n v="333050"/>
    <n v="8.0597387779612673E-2"/>
  </r>
  <r>
    <x v="6"/>
    <s v="41"/>
    <x v="28"/>
    <x v="2"/>
    <x v="1814"/>
    <n v="333050"/>
    <n v="0.20597414802582195"/>
  </r>
  <r>
    <x v="6"/>
    <s v="45"/>
    <x v="29"/>
    <x v="0"/>
    <x v="1815"/>
    <n v="673349"/>
    <n v="0.22204024955854987"/>
  </r>
  <r>
    <x v="6"/>
    <s v="45"/>
    <x v="29"/>
    <x v="1"/>
    <x v="1816"/>
    <n v="673349"/>
    <n v="7.6896334590234774E-2"/>
  </r>
  <r>
    <x v="6"/>
    <s v="45"/>
    <x v="29"/>
    <x v="2"/>
    <x v="1817"/>
    <n v="673349"/>
    <n v="0.190063651984335"/>
  </r>
  <r>
    <x v="6"/>
    <s v="2A"/>
    <x v="30"/>
    <x v="0"/>
    <x v="1818"/>
    <n v="152730"/>
    <n v="0.48273993321547826"/>
  </r>
  <r>
    <x v="6"/>
    <s v="2A"/>
    <x v="30"/>
    <x v="1"/>
    <x v="1819"/>
    <n v="152730"/>
    <n v="6.7308387350225887E-2"/>
  </r>
  <r>
    <x v="6"/>
    <s v="2A"/>
    <x v="30"/>
    <x v="2"/>
    <x v="1820"/>
    <n v="152730"/>
    <n v="0.14507064754796045"/>
  </r>
  <r>
    <x v="6"/>
    <s v="2B"/>
    <x v="31"/>
    <x v="0"/>
    <x v="1821"/>
    <n v="174553"/>
    <n v="0.43834101963300548"/>
  </r>
  <r>
    <x v="6"/>
    <s v="2B"/>
    <x v="31"/>
    <x v="1"/>
    <x v="1822"/>
    <n v="174553"/>
    <n v="5.4283169008839727E-2"/>
  </r>
  <r>
    <x v="6"/>
    <s v="2B"/>
    <x v="31"/>
    <x v="2"/>
    <x v="1823"/>
    <n v="174553"/>
    <n v="0.10643414894043644"/>
  </r>
  <r>
    <x v="6"/>
    <s v="08"/>
    <x v="32"/>
    <x v="0"/>
    <x v="1824"/>
    <n v="277752"/>
    <n v="0.2435390924277773"/>
  </r>
  <r>
    <x v="6"/>
    <s v="08"/>
    <x v="32"/>
    <x v="1"/>
    <x v="1825"/>
    <n v="277752"/>
    <n v="0.10346312537803508"/>
  </r>
  <r>
    <x v="6"/>
    <s v="08"/>
    <x v="32"/>
    <x v="2"/>
    <x v="1826"/>
    <n v="277752"/>
    <n v="0.16774467870618393"/>
  </r>
  <r>
    <x v="6"/>
    <s v="10"/>
    <x v="33"/>
    <x v="0"/>
    <x v="1827"/>
    <n v="309056"/>
    <n v="0.25088042296541729"/>
  </r>
  <r>
    <x v="6"/>
    <s v="10"/>
    <x v="33"/>
    <x v="1"/>
    <x v="1828"/>
    <n v="309056"/>
    <n v="0.10712103955270243"/>
  </r>
  <r>
    <x v="6"/>
    <s v="10"/>
    <x v="33"/>
    <x v="2"/>
    <x v="1829"/>
    <n v="309056"/>
    <n v="0.11400445226755022"/>
  </r>
  <r>
    <x v="6"/>
    <s v="51"/>
    <x v="34"/>
    <x v="0"/>
    <x v="1830"/>
    <n v="572293"/>
    <n v="0.23841041214902153"/>
  </r>
  <r>
    <x v="6"/>
    <s v="51"/>
    <x v="34"/>
    <x v="1"/>
    <x v="1831"/>
    <n v="572293"/>
    <n v="0.10103703871967681"/>
  </r>
  <r>
    <x v="6"/>
    <s v="51"/>
    <x v="34"/>
    <x v="2"/>
    <x v="1832"/>
    <n v="572293"/>
    <n v="0.14324438705348483"/>
  </r>
  <r>
    <x v="6"/>
    <s v="52"/>
    <x v="35"/>
    <x v="0"/>
    <x v="1833"/>
    <n v="179154"/>
    <n v="0.24266189981803363"/>
  </r>
  <r>
    <x v="6"/>
    <s v="52"/>
    <x v="35"/>
    <x v="1"/>
    <x v="1834"/>
    <n v="179154"/>
    <n v="8.3128481641492794E-2"/>
  </r>
  <r>
    <x v="6"/>
    <s v="52"/>
    <x v="35"/>
    <x v="2"/>
    <x v="1835"/>
    <n v="179154"/>
    <n v="0.15814466883240116"/>
  </r>
  <r>
    <x v="6"/>
    <s v="54"/>
    <x v="36"/>
    <x v="0"/>
    <x v="1836"/>
    <n v="734403"/>
    <n v="0.24957078062044954"/>
  </r>
  <r>
    <x v="6"/>
    <s v="54"/>
    <x v="36"/>
    <x v="1"/>
    <x v="1837"/>
    <n v="734403"/>
    <n v="8.8790595898981903E-2"/>
  </r>
  <r>
    <x v="6"/>
    <s v="54"/>
    <x v="36"/>
    <x v="2"/>
    <x v="1838"/>
    <n v="734403"/>
    <n v="9.6117336121992969E-2"/>
  </r>
  <r>
    <x v="6"/>
    <s v="55"/>
    <x v="37"/>
    <x v="0"/>
    <x v="1839"/>
    <n v="190626"/>
    <n v="0.22785270634645852"/>
  </r>
  <r>
    <x v="6"/>
    <s v="55"/>
    <x v="37"/>
    <x v="1"/>
    <x v="1840"/>
    <n v="190626"/>
    <n v="8.54506730456496E-2"/>
  </r>
  <r>
    <x v="6"/>
    <s v="55"/>
    <x v="37"/>
    <x v="2"/>
    <x v="1841"/>
    <n v="190626"/>
    <n v="0.13790474541772896"/>
  </r>
  <r>
    <x v="6"/>
    <s v="57"/>
    <x v="38"/>
    <x v="0"/>
    <x v="1842"/>
    <n v="1044486"/>
    <n v="0.23667793536725243"/>
  </r>
  <r>
    <x v="6"/>
    <s v="57"/>
    <x v="38"/>
    <x v="1"/>
    <x v="1843"/>
    <n v="1044486"/>
    <n v="0.11983253964150789"/>
  </r>
  <r>
    <x v="6"/>
    <s v="57"/>
    <x v="38"/>
    <x v="2"/>
    <x v="1844"/>
    <n v="1044486"/>
    <n v="0.1570789843042415"/>
  </r>
  <r>
    <x v="6"/>
    <s v="67"/>
    <x v="39"/>
    <x v="0"/>
    <x v="1845"/>
    <n v="1116658"/>
    <n v="0.20620558846128356"/>
  </r>
  <r>
    <x v="6"/>
    <s v="67"/>
    <x v="39"/>
    <x v="1"/>
    <x v="1846"/>
    <n v="1116658"/>
    <n v="9.8037348946588845E-2"/>
  </r>
  <r>
    <x v="6"/>
    <s v="67"/>
    <x v="39"/>
    <x v="2"/>
    <x v="1847"/>
    <n v="1116658"/>
    <n v="0.14556100435406363"/>
  </r>
  <r>
    <x v="6"/>
    <s v="68"/>
    <x v="40"/>
    <x v="0"/>
    <x v="1848"/>
    <n v="762607"/>
    <n v="0.19843796345955386"/>
  </r>
  <r>
    <x v="6"/>
    <s v="68"/>
    <x v="40"/>
    <x v="1"/>
    <x v="1849"/>
    <n v="762607"/>
    <n v="0.15230667958725791"/>
  </r>
  <r>
    <x v="6"/>
    <s v="68"/>
    <x v="40"/>
    <x v="2"/>
    <x v="1850"/>
    <n v="762607"/>
    <n v="0.13126778275048614"/>
  </r>
  <r>
    <x v="6"/>
    <s v="88"/>
    <x v="41"/>
    <x v="0"/>
    <x v="1851"/>
    <n v="372016"/>
    <n v="0.22853460603844997"/>
  </r>
  <r>
    <x v="6"/>
    <s v="88"/>
    <x v="41"/>
    <x v="1"/>
    <x v="1852"/>
    <n v="372016"/>
    <n v="9.4072378607371721E-2"/>
  </r>
  <r>
    <x v="6"/>
    <s v="88"/>
    <x v="41"/>
    <x v="2"/>
    <x v="1853"/>
    <n v="372016"/>
    <n v="0.17366016515418692"/>
  </r>
  <r>
    <x v="6"/>
    <s v="02"/>
    <x v="42"/>
    <x v="0"/>
    <x v="1854"/>
    <n v="538659"/>
    <n v="0.23390419541862292"/>
  </r>
  <r>
    <x v="6"/>
    <s v="02"/>
    <x v="42"/>
    <x v="1"/>
    <x v="1855"/>
    <n v="538659"/>
    <n v="0.10478094675852441"/>
  </r>
  <r>
    <x v="6"/>
    <s v="02"/>
    <x v="42"/>
    <x v="2"/>
    <x v="1856"/>
    <n v="538659"/>
    <n v="0.15692892906272798"/>
  </r>
  <r>
    <x v="6"/>
    <s v="59"/>
    <x v="43"/>
    <x v="0"/>
    <x v="1857"/>
    <n v="2605238"/>
    <n v="0.25044646592748915"/>
  </r>
  <r>
    <x v="6"/>
    <s v="59"/>
    <x v="43"/>
    <x v="1"/>
    <x v="1858"/>
    <n v="2605238"/>
    <n v="0.14899266784838852"/>
  </r>
  <r>
    <x v="6"/>
    <s v="59"/>
    <x v="43"/>
    <x v="2"/>
    <x v="1859"/>
    <n v="2605238"/>
    <n v="0.12586654654968182"/>
  </r>
  <r>
    <x v="6"/>
    <s v="60"/>
    <x v="44"/>
    <x v="0"/>
    <x v="1860"/>
    <n v="821552"/>
    <n v="0.25143546604475431"/>
  </r>
  <r>
    <x v="6"/>
    <s v="60"/>
    <x v="44"/>
    <x v="1"/>
    <x v="1861"/>
    <n v="821552"/>
    <n v="0.13387285284437259"/>
  </r>
  <r>
    <x v="6"/>
    <s v="60"/>
    <x v="44"/>
    <x v="2"/>
    <x v="1862"/>
    <n v="821552"/>
    <n v="0.16419023993612092"/>
  </r>
  <r>
    <x v="6"/>
    <s v="62"/>
    <x v="45"/>
    <x v="0"/>
    <x v="1863"/>
    <n v="1472648"/>
    <n v="0.26769130844573857"/>
  </r>
  <r>
    <x v="6"/>
    <s v="62"/>
    <x v="45"/>
    <x v="1"/>
    <x v="1864"/>
    <n v="1472648"/>
    <n v="0.20053468989194975"/>
  </r>
  <r>
    <x v="6"/>
    <s v="62"/>
    <x v="45"/>
    <x v="2"/>
    <x v="1865"/>
    <n v="1472648"/>
    <n v="0.12385139558129303"/>
  </r>
  <r>
    <x v="6"/>
    <s v="80"/>
    <x v="46"/>
    <x v="0"/>
    <x v="1866"/>
    <n v="571879"/>
    <n v="0.27922494094030381"/>
  </r>
  <r>
    <x v="6"/>
    <s v="80"/>
    <x v="46"/>
    <x v="1"/>
    <x v="1867"/>
    <n v="571879"/>
    <n v="0.10170747658158458"/>
  </r>
  <r>
    <x v="6"/>
    <s v="80"/>
    <x v="46"/>
    <x v="2"/>
    <x v="1868"/>
    <n v="571879"/>
    <n v="0.15816478660695707"/>
  </r>
  <r>
    <x v="6"/>
    <s v="75"/>
    <x v="47"/>
    <x v="0"/>
    <x v="1869"/>
    <n v="2206488"/>
    <n v="0.35685668809438348"/>
  </r>
  <r>
    <x v="6"/>
    <s v="75"/>
    <x v="47"/>
    <x v="1"/>
    <x v="1870"/>
    <n v="2206488"/>
    <n v="0.10599699613140882"/>
  </r>
  <r>
    <x v="6"/>
    <s v="75"/>
    <x v="47"/>
    <x v="2"/>
    <x v="1871"/>
    <n v="2206488"/>
    <n v="2.1192773312159411E-3"/>
  </r>
  <r>
    <x v="6"/>
    <s v="77"/>
    <x v="48"/>
    <x v="0"/>
    <x v="1872"/>
    <n v="1390121"/>
    <n v="0.28130687904146473"/>
  </r>
  <r>
    <x v="6"/>
    <s v="77"/>
    <x v="48"/>
    <x v="1"/>
    <x v="1873"/>
    <n v="1390121"/>
    <n v="0.11006168527775639"/>
  </r>
  <r>
    <x v="6"/>
    <s v="77"/>
    <x v="48"/>
    <x v="2"/>
    <x v="1874"/>
    <n v="1390121"/>
    <n v="8.7440409863601798E-2"/>
  </r>
  <r>
    <x v="6"/>
    <s v="78"/>
    <x v="49"/>
    <x v="0"/>
    <x v="1875"/>
    <n v="1427291"/>
    <n v="0.25043616193193963"/>
  </r>
  <r>
    <x v="6"/>
    <s v="78"/>
    <x v="49"/>
    <x v="1"/>
    <x v="1876"/>
    <n v="1427291"/>
    <n v="0.12523055915016632"/>
  </r>
  <r>
    <x v="6"/>
    <s v="78"/>
    <x v="49"/>
    <x v="2"/>
    <x v="1877"/>
    <n v="1427291"/>
    <n v="7.0021838573913794E-2"/>
  </r>
  <r>
    <x v="6"/>
    <s v="91"/>
    <x v="50"/>
    <x v="0"/>
    <x v="1878"/>
    <n v="1276233"/>
    <n v="0.25183689028570799"/>
  </r>
  <r>
    <x v="6"/>
    <s v="91"/>
    <x v="50"/>
    <x v="1"/>
    <x v="1879"/>
    <n v="1276233"/>
    <n v="0.13091065659640519"/>
  </r>
  <r>
    <x v="6"/>
    <s v="91"/>
    <x v="50"/>
    <x v="2"/>
    <x v="1880"/>
    <n v="1276233"/>
    <n v="7.050906064958358E-2"/>
  </r>
  <r>
    <x v="6"/>
    <s v="92"/>
    <x v="51"/>
    <x v="0"/>
    <x v="1881"/>
    <n v="1601569"/>
    <n v="0.26631530705202211"/>
  </r>
  <r>
    <x v="6"/>
    <s v="92"/>
    <x v="51"/>
    <x v="1"/>
    <x v="1882"/>
    <n v="1601569"/>
    <n v="8.4536282857622741E-2"/>
  </r>
  <r>
    <x v="6"/>
    <s v="92"/>
    <x v="51"/>
    <x v="2"/>
    <x v="1883"/>
    <n v="1601569"/>
    <n v="1.1630388700080983E-2"/>
  </r>
  <r>
    <x v="6"/>
    <s v="93"/>
    <x v="52"/>
    <x v="0"/>
    <x v="1884"/>
    <n v="1592663"/>
    <n v="0.3049316773228235"/>
  </r>
  <r>
    <x v="6"/>
    <s v="93"/>
    <x v="52"/>
    <x v="1"/>
    <x v="1885"/>
    <n v="1592663"/>
    <n v="6.6027062850081905E-2"/>
  </r>
  <r>
    <x v="6"/>
    <s v="93"/>
    <x v="52"/>
    <x v="2"/>
    <x v="1886"/>
    <n v="1592663"/>
    <n v="5.1243263640832995E-2"/>
  </r>
  <r>
    <x v="6"/>
    <s v="94"/>
    <x v="53"/>
    <x v="0"/>
    <x v="1887"/>
    <n v="1372389"/>
    <n v="0.2678242903433356"/>
  </r>
  <r>
    <x v="6"/>
    <s v="94"/>
    <x v="53"/>
    <x v="1"/>
    <x v="1888"/>
    <n v="1372389"/>
    <n v="8.8034806457935766E-2"/>
  </r>
  <r>
    <x v="6"/>
    <s v="94"/>
    <x v="53"/>
    <x v="2"/>
    <x v="1889"/>
    <n v="1372389"/>
    <n v="3.4797415310090653E-2"/>
  </r>
  <r>
    <x v="6"/>
    <s v="95"/>
    <x v="54"/>
    <x v="0"/>
    <x v="1890"/>
    <n v="1215390"/>
    <n v="0.28401076197763681"/>
  </r>
  <r>
    <x v="6"/>
    <s v="95"/>
    <x v="54"/>
    <x v="1"/>
    <x v="1891"/>
    <n v="1215390"/>
    <n v="9.7437242366647747E-2"/>
  </r>
  <r>
    <x v="6"/>
    <s v="95"/>
    <x v="54"/>
    <x v="2"/>
    <x v="1892"/>
    <n v="1215390"/>
    <n v="7.2599190383333748E-2"/>
  </r>
  <r>
    <x v="6"/>
    <s v="14"/>
    <x v="55"/>
    <x v="0"/>
    <x v="1893"/>
    <n v="693579"/>
    <n v="0.27041249807159673"/>
  </r>
  <r>
    <x v="6"/>
    <s v="14"/>
    <x v="55"/>
    <x v="1"/>
    <x v="1894"/>
    <n v="693579"/>
    <n v="0.12841617176990652"/>
  </r>
  <r>
    <x v="6"/>
    <s v="14"/>
    <x v="55"/>
    <x v="2"/>
    <x v="1895"/>
    <n v="693579"/>
    <n v="0.20597979465929622"/>
  </r>
  <r>
    <x v="6"/>
    <s v="27"/>
    <x v="56"/>
    <x v="0"/>
    <x v="1896"/>
    <n v="601948"/>
    <n v="0.25653543163196818"/>
  </r>
  <r>
    <x v="6"/>
    <s v="27"/>
    <x v="56"/>
    <x v="1"/>
    <x v="1897"/>
    <n v="601948"/>
    <n v="0.10647233648089204"/>
  </r>
  <r>
    <x v="6"/>
    <s v="27"/>
    <x v="56"/>
    <x v="2"/>
    <x v="1898"/>
    <n v="601948"/>
    <n v="0.21243205393156883"/>
  </r>
  <r>
    <x v="6"/>
    <s v="50"/>
    <x v="57"/>
    <x v="0"/>
    <x v="1899"/>
    <n v="499287"/>
    <n v="0.26260144966722543"/>
  </r>
  <r>
    <x v="6"/>
    <s v="50"/>
    <x v="57"/>
    <x v="1"/>
    <x v="1900"/>
    <n v="499287"/>
    <n v="0.10874370852836145"/>
  </r>
  <r>
    <x v="6"/>
    <s v="50"/>
    <x v="57"/>
    <x v="2"/>
    <x v="1901"/>
    <n v="499287"/>
    <n v="0.27099523921111501"/>
  </r>
  <r>
    <x v="6"/>
    <s v="61"/>
    <x v="58"/>
    <x v="0"/>
    <x v="1902"/>
    <n v="286618"/>
    <n v="0.22747692050045706"/>
  </r>
  <r>
    <x v="6"/>
    <s v="61"/>
    <x v="58"/>
    <x v="1"/>
    <x v="1903"/>
    <n v="286618"/>
    <n v="7.6387247137304701E-2"/>
  </r>
  <r>
    <x v="6"/>
    <s v="61"/>
    <x v="58"/>
    <x v="2"/>
    <x v="1904"/>
    <n v="286618"/>
    <n v="0.24776102687200385"/>
  </r>
  <r>
    <x v="6"/>
    <s v="76"/>
    <x v="59"/>
    <x v="0"/>
    <x v="1905"/>
    <n v="1257699"/>
    <n v="0.27222573127592536"/>
  </r>
  <r>
    <x v="6"/>
    <s v="76"/>
    <x v="59"/>
    <x v="1"/>
    <x v="1906"/>
    <n v="1257699"/>
    <n v="0.10964772970321197"/>
  </r>
  <r>
    <x v="6"/>
    <s v="76"/>
    <x v="59"/>
    <x v="2"/>
    <x v="1907"/>
    <n v="1257699"/>
    <n v="0.1910452421445831"/>
  </r>
  <r>
    <x v="6"/>
    <s v="16"/>
    <x v="60"/>
    <x v="0"/>
    <x v="1908"/>
    <n v="353613"/>
    <n v="0.20692095596032953"/>
  </r>
  <r>
    <x v="6"/>
    <s v="16"/>
    <x v="60"/>
    <x v="1"/>
    <x v="1909"/>
    <n v="353613"/>
    <n v="9.7067726582450317E-2"/>
  </r>
  <r>
    <x v="6"/>
    <s v="16"/>
    <x v="60"/>
    <x v="2"/>
    <x v="1910"/>
    <n v="353613"/>
    <n v="0.20772174665524176"/>
  </r>
  <r>
    <x v="6"/>
    <s v="04"/>
    <x v="90"/>
    <x v="0"/>
    <x v="1911"/>
    <n v="161799"/>
    <n v="0.3674447926130569"/>
  </r>
  <r>
    <x v="6"/>
    <s v="04"/>
    <x v="90"/>
    <x v="1"/>
    <x v="1912"/>
    <n v="161799"/>
    <n v="6.3433024925988415E-2"/>
  </r>
  <r>
    <x v="6"/>
    <s v="04"/>
    <x v="90"/>
    <x v="2"/>
    <x v="1913"/>
    <n v="161799"/>
    <n v="0.2071040612117504"/>
  </r>
  <r>
    <x v="6"/>
    <s v="05"/>
    <x v="91"/>
    <x v="0"/>
    <x v="1914"/>
    <n v="140916"/>
    <n v="0.32877714383036705"/>
  </r>
  <r>
    <x v="6"/>
    <s v="05"/>
    <x v="91"/>
    <x v="1"/>
    <x v="1915"/>
    <n v="140916"/>
    <n v="9.5754492037809766E-2"/>
  </r>
  <r>
    <x v="6"/>
    <s v="05"/>
    <x v="91"/>
    <x v="2"/>
    <x v="1916"/>
    <n v="140916"/>
    <n v="0.22013163870674729"/>
  </r>
  <r>
    <x v="6"/>
    <s v="17"/>
    <x v="61"/>
    <x v="0"/>
    <x v="1917"/>
    <n v="639938"/>
    <n v="0.27468661026536945"/>
  </r>
  <r>
    <x v="6"/>
    <s v="17"/>
    <x v="61"/>
    <x v="1"/>
    <x v="1918"/>
    <n v="639938"/>
    <n v="0.1217390903493776"/>
  </r>
  <r>
    <x v="6"/>
    <s v="17"/>
    <x v="61"/>
    <x v="2"/>
    <x v="1919"/>
    <n v="639938"/>
    <n v="0.24220833893283414"/>
  </r>
  <r>
    <x v="6"/>
    <s v="06"/>
    <x v="92"/>
    <x v="0"/>
    <x v="1920"/>
    <n v="1082440"/>
    <n v="0.41758253575255899"/>
  </r>
  <r>
    <x v="6"/>
    <s v="06"/>
    <x v="92"/>
    <x v="1"/>
    <x v="1921"/>
    <n v="1082440"/>
    <n v="0.10868757621669561"/>
  </r>
  <r>
    <x v="6"/>
    <s v="06"/>
    <x v="92"/>
    <x v="2"/>
    <x v="1922"/>
    <n v="1082440"/>
    <n v="0.17143575625438826"/>
  </r>
  <r>
    <x v="6"/>
    <s v="19"/>
    <x v="62"/>
    <x v="0"/>
    <x v="1923"/>
    <n v="241871"/>
    <n v="0.23485465392709337"/>
  </r>
  <r>
    <x v="6"/>
    <s v="19"/>
    <x v="62"/>
    <x v="1"/>
    <x v="1924"/>
    <n v="241871"/>
    <n v="8.1939050154834603E-2"/>
  </r>
  <r>
    <x v="6"/>
    <s v="19"/>
    <x v="62"/>
    <x v="2"/>
    <x v="1925"/>
    <n v="241871"/>
    <n v="0.17532680643814266"/>
  </r>
  <r>
    <x v="6"/>
    <s v="09"/>
    <x v="72"/>
    <x v="0"/>
    <x v="1926"/>
    <n v="152499"/>
    <n v="0.29864320421773261"/>
  </r>
  <r>
    <x v="6"/>
    <s v="09"/>
    <x v="72"/>
    <x v="1"/>
    <x v="1927"/>
    <n v="152499"/>
    <n v="0.13617604049862622"/>
  </r>
  <r>
    <x v="6"/>
    <s v="09"/>
    <x v="72"/>
    <x v="2"/>
    <x v="1928"/>
    <n v="152499"/>
    <n v="0.21345130132000867"/>
  </r>
  <r>
    <x v="6"/>
    <s v="11"/>
    <x v="73"/>
    <x v="0"/>
    <x v="1929"/>
    <n v="366957"/>
    <n v="0.33939058254781895"/>
  </r>
  <r>
    <x v="6"/>
    <s v="11"/>
    <x v="73"/>
    <x v="1"/>
    <x v="1930"/>
    <n v="366957"/>
    <n v="8.9352512692222788E-2"/>
  </r>
  <r>
    <x v="6"/>
    <s v="11"/>
    <x v="73"/>
    <x v="2"/>
    <x v="1931"/>
    <n v="366957"/>
    <n v="0.17754153756434679"/>
  </r>
  <r>
    <x v="6"/>
    <s v="23"/>
    <x v="63"/>
    <x v="0"/>
    <x v="1932"/>
    <n v="120365"/>
    <n v="0.23266746977942093"/>
  </r>
  <r>
    <x v="6"/>
    <s v="23"/>
    <x v="63"/>
    <x v="1"/>
    <x v="1933"/>
    <n v="120365"/>
    <n v="9.3860175300128773E-2"/>
  </r>
  <r>
    <x v="6"/>
    <s v="23"/>
    <x v="63"/>
    <x v="2"/>
    <x v="1934"/>
    <n v="120365"/>
    <n v="0.14568562289702155"/>
  </r>
  <r>
    <x v="6"/>
    <s v="12"/>
    <x v="74"/>
    <x v="0"/>
    <x v="1935"/>
    <n v="279169"/>
    <n v="0.22577531889285701"/>
  </r>
  <r>
    <x v="6"/>
    <s v="12"/>
    <x v="74"/>
    <x v="1"/>
    <x v="1936"/>
    <n v="279169"/>
    <n v="9.127786394621179E-2"/>
  </r>
  <r>
    <x v="6"/>
    <s v="12"/>
    <x v="74"/>
    <x v="2"/>
    <x v="1937"/>
    <n v="279169"/>
    <n v="0.1538381052337473"/>
  </r>
  <r>
    <x v="6"/>
    <s v="13"/>
    <x v="93"/>
    <x v="0"/>
    <x v="1938"/>
    <n v="2016622"/>
    <n v="0.37711807170605099"/>
  </r>
  <r>
    <x v="6"/>
    <s v="13"/>
    <x v="93"/>
    <x v="1"/>
    <x v="1939"/>
    <n v="2016622"/>
    <n v="5.2581762967973171E-2"/>
  </r>
  <r>
    <x v="6"/>
    <s v="13"/>
    <x v="93"/>
    <x v="2"/>
    <x v="1940"/>
    <n v="2016622"/>
    <n v="0.12636519883250308"/>
  </r>
  <r>
    <x v="6"/>
    <s v="24"/>
    <x v="64"/>
    <x v="0"/>
    <x v="1941"/>
    <n v="415417"/>
    <n v="0.2336653531270988"/>
  </r>
  <r>
    <x v="6"/>
    <s v="24"/>
    <x v="64"/>
    <x v="1"/>
    <x v="1942"/>
    <n v="415417"/>
    <n v="0.10569613183861036"/>
  </r>
  <r>
    <x v="6"/>
    <s v="24"/>
    <x v="64"/>
    <x v="2"/>
    <x v="1943"/>
    <n v="415417"/>
    <n v="0.16677964551282207"/>
  </r>
  <r>
    <x v="6"/>
    <s v="33"/>
    <x v="65"/>
    <x v="0"/>
    <x v="1944"/>
    <n v="1548478"/>
    <n v="0.24351522591861169"/>
  </r>
  <r>
    <x v="6"/>
    <s v="33"/>
    <x v="65"/>
    <x v="1"/>
    <x v="1945"/>
    <n v="1548478"/>
    <n v="9.8404245975725835E-2"/>
  </r>
  <r>
    <x v="6"/>
    <s v="33"/>
    <x v="65"/>
    <x v="2"/>
    <x v="1946"/>
    <n v="1548478"/>
    <n v="0.18112739735404698"/>
  </r>
  <r>
    <x v="6"/>
    <s v="40"/>
    <x v="66"/>
    <x v="0"/>
    <x v="1947"/>
    <n v="403234"/>
    <n v="0.32242697788380942"/>
  </r>
  <r>
    <x v="6"/>
    <s v="40"/>
    <x v="66"/>
    <x v="1"/>
    <x v="1948"/>
    <n v="403234"/>
    <n v="8.3703209550781935E-2"/>
  </r>
  <r>
    <x v="6"/>
    <s v="40"/>
    <x v="66"/>
    <x v="2"/>
    <x v="1949"/>
    <n v="403234"/>
    <n v="0.3889425742868905"/>
  </r>
  <r>
    <x v="6"/>
    <s v="47"/>
    <x v="67"/>
    <x v="0"/>
    <x v="1950"/>
    <n v="333417"/>
    <n v="0.26143241046497329"/>
  </r>
  <r>
    <x v="6"/>
    <s v="47"/>
    <x v="67"/>
    <x v="1"/>
    <x v="1951"/>
    <n v="333417"/>
    <n v="9.2710359699715375E-2"/>
  </r>
  <r>
    <x v="6"/>
    <s v="47"/>
    <x v="67"/>
    <x v="2"/>
    <x v="1952"/>
    <n v="333417"/>
    <n v="0.17803522315898709"/>
  </r>
  <r>
    <x v="6"/>
    <s v="64"/>
    <x v="68"/>
    <x v="0"/>
    <x v="1953"/>
    <n v="670032"/>
    <n v="0.25536152004680374"/>
  </r>
  <r>
    <x v="6"/>
    <s v="64"/>
    <x v="68"/>
    <x v="1"/>
    <x v="1954"/>
    <n v="670032"/>
    <n v="0.1054881259402536"/>
  </r>
  <r>
    <x v="6"/>
    <s v="64"/>
    <x v="68"/>
    <x v="2"/>
    <x v="1955"/>
    <n v="670032"/>
    <n v="0.18281499988060271"/>
  </r>
  <r>
    <x v="6"/>
    <s v="79"/>
    <x v="69"/>
    <x v="0"/>
    <x v="1956"/>
    <n v="374435"/>
    <n v="0.19383545875786184"/>
  </r>
  <r>
    <x v="6"/>
    <s v="79"/>
    <x v="69"/>
    <x v="1"/>
    <x v="1957"/>
    <n v="374435"/>
    <n v="0.10349248868294897"/>
  </r>
  <r>
    <x v="6"/>
    <s v="79"/>
    <x v="69"/>
    <x v="2"/>
    <x v="1958"/>
    <n v="374435"/>
    <n v="0.21334394487694794"/>
  </r>
  <r>
    <x v="6"/>
    <s v="30"/>
    <x v="75"/>
    <x v="0"/>
    <x v="1959"/>
    <n v="738189"/>
    <n v="0.29081025320073856"/>
  </r>
  <r>
    <x v="6"/>
    <s v="30"/>
    <x v="75"/>
    <x v="1"/>
    <x v="1960"/>
    <n v="738189"/>
    <n v="8.0027702932446834E-2"/>
  </r>
  <r>
    <x v="6"/>
    <s v="30"/>
    <x v="75"/>
    <x v="2"/>
    <x v="1961"/>
    <n v="738189"/>
    <n v="0.21092122749052072"/>
  </r>
  <r>
    <x v="6"/>
    <s v="31"/>
    <x v="76"/>
    <x v="0"/>
    <x v="1962"/>
    <n v="1335103"/>
    <n v="0.26028362605731542"/>
  </r>
  <r>
    <x v="6"/>
    <s v="31"/>
    <x v="76"/>
    <x v="1"/>
    <x v="1963"/>
    <n v="1335103"/>
    <n v="0.10791975600384389"/>
  </r>
  <r>
    <x v="6"/>
    <s v="31"/>
    <x v="76"/>
    <x v="2"/>
    <x v="1964"/>
    <n v="1335103"/>
    <n v="0.10874757977474397"/>
  </r>
  <r>
    <x v="6"/>
    <s v="86"/>
    <x v="70"/>
    <x v="0"/>
    <x v="1965"/>
    <n v="434887"/>
    <n v="0.20995700032422218"/>
  </r>
  <r>
    <x v="6"/>
    <s v="86"/>
    <x v="70"/>
    <x v="1"/>
    <x v="1966"/>
    <n v="434887"/>
    <n v="8.6534800994281277E-2"/>
  </r>
  <r>
    <x v="6"/>
    <s v="86"/>
    <x v="70"/>
    <x v="2"/>
    <x v="1967"/>
    <n v="434887"/>
    <n v="0.20138932642272592"/>
  </r>
  <r>
    <x v="6"/>
    <s v="32"/>
    <x v="77"/>
    <x v="0"/>
    <x v="1968"/>
    <n v="190932"/>
    <n v="0.24307701171097565"/>
  </r>
  <r>
    <x v="6"/>
    <s v="32"/>
    <x v="77"/>
    <x v="1"/>
    <x v="1969"/>
    <n v="190932"/>
    <n v="8.598736723021809E-2"/>
  </r>
  <r>
    <x v="6"/>
    <s v="32"/>
    <x v="77"/>
    <x v="2"/>
    <x v="1970"/>
    <n v="190932"/>
    <n v="0.16089173108750759"/>
  </r>
  <r>
    <x v="6"/>
    <s v="34"/>
    <x v="78"/>
    <x v="0"/>
    <x v="1971"/>
    <n v="1120190"/>
    <n v="0.31020950017407761"/>
  </r>
  <r>
    <x v="6"/>
    <s v="34"/>
    <x v="78"/>
    <x v="1"/>
    <x v="1972"/>
    <n v="1120190"/>
    <n v="8.5449254144386214E-2"/>
  </r>
  <r>
    <x v="6"/>
    <s v="34"/>
    <x v="78"/>
    <x v="2"/>
    <x v="1973"/>
    <n v="1120190"/>
    <n v="0.19805303564573867"/>
  </r>
  <r>
    <x v="6"/>
    <s v="87"/>
    <x v="71"/>
    <x v="0"/>
    <x v="1974"/>
    <n v="375795"/>
    <n v="0.22576042789286713"/>
  </r>
  <r>
    <x v="6"/>
    <s v="87"/>
    <x v="71"/>
    <x v="1"/>
    <x v="1975"/>
    <n v="375795"/>
    <n v="8.8400510916856273E-2"/>
  </r>
  <r>
    <x v="6"/>
    <s v="87"/>
    <x v="71"/>
    <x v="2"/>
    <x v="1976"/>
    <n v="375795"/>
    <n v="0.15613227956731729"/>
  </r>
  <r>
    <x v="6"/>
    <s v="44"/>
    <x v="85"/>
    <x v="0"/>
    <x v="1977"/>
    <n v="1365227"/>
    <n v="0.20290000857000337"/>
  </r>
  <r>
    <x v="6"/>
    <s v="44"/>
    <x v="85"/>
    <x v="1"/>
    <x v="1978"/>
    <n v="1365227"/>
    <n v="9.6182957119951479E-2"/>
  </r>
  <r>
    <x v="6"/>
    <s v="44"/>
    <x v="85"/>
    <x v="2"/>
    <x v="1979"/>
    <n v="1365227"/>
    <n v="0.20598391329793506"/>
  </r>
  <r>
    <x v="6"/>
    <s v="46"/>
    <x v="79"/>
    <x v="0"/>
    <x v="1980"/>
    <n v="173400"/>
    <n v="0.23237797001153401"/>
  </r>
  <r>
    <x v="6"/>
    <s v="46"/>
    <x v="79"/>
    <x v="1"/>
    <x v="1981"/>
    <n v="173400"/>
    <n v="0.13517716262975779"/>
  </r>
  <r>
    <x v="6"/>
    <s v="46"/>
    <x v="79"/>
    <x v="2"/>
    <x v="1982"/>
    <n v="173400"/>
    <n v="0.19736666666666666"/>
  </r>
  <r>
    <x v="6"/>
    <s v="48"/>
    <x v="80"/>
    <x v="0"/>
    <x v="1983"/>
    <n v="76309"/>
    <n v="0.27239735810979043"/>
  </r>
  <r>
    <x v="6"/>
    <s v="48"/>
    <x v="80"/>
    <x v="1"/>
    <x v="1984"/>
    <n v="76309"/>
    <n v="8.892044188758863E-2"/>
  </r>
  <r>
    <x v="6"/>
    <s v="48"/>
    <x v="80"/>
    <x v="2"/>
    <x v="1985"/>
    <n v="76309"/>
    <n v="0.16203042891402061"/>
  </r>
  <r>
    <x v="6"/>
    <s v="49"/>
    <x v="86"/>
    <x v="0"/>
    <x v="1986"/>
    <n v="810186"/>
    <n v="0.16081902180486951"/>
  </r>
  <r>
    <x v="6"/>
    <s v="49"/>
    <x v="86"/>
    <x v="1"/>
    <x v="1987"/>
    <n v="810186"/>
    <n v="9.4842283130046681E-2"/>
  </r>
  <r>
    <x v="6"/>
    <s v="49"/>
    <x v="86"/>
    <x v="2"/>
    <x v="1988"/>
    <n v="810186"/>
    <n v="0.18790137079633565"/>
  </r>
  <r>
    <x v="6"/>
    <s v="53"/>
    <x v="87"/>
    <x v="0"/>
    <x v="1989"/>
    <n v="307940"/>
    <n v="0.18229125803727997"/>
  </r>
  <r>
    <x v="6"/>
    <s v="53"/>
    <x v="87"/>
    <x v="1"/>
    <x v="1990"/>
    <n v="307940"/>
    <n v="0.10062986296031694"/>
  </r>
  <r>
    <x v="6"/>
    <s v="53"/>
    <x v="87"/>
    <x v="2"/>
    <x v="1991"/>
    <n v="307940"/>
    <n v="0.21331334026108983"/>
  </r>
  <r>
    <x v="6"/>
    <s v="65"/>
    <x v="81"/>
    <x v="0"/>
    <x v="1992"/>
    <n v="228582"/>
    <n v="0.28487628072201659"/>
  </r>
  <r>
    <x v="6"/>
    <s v="65"/>
    <x v="81"/>
    <x v="1"/>
    <x v="1993"/>
    <n v="228582"/>
    <n v="8.7135644976419832E-2"/>
  </r>
  <r>
    <x v="6"/>
    <s v="65"/>
    <x v="81"/>
    <x v="2"/>
    <x v="1994"/>
    <n v="228582"/>
    <n v="0.19945993122818068"/>
  </r>
  <r>
    <x v="6"/>
    <s v="66"/>
    <x v="82"/>
    <x v="0"/>
    <x v="1995"/>
    <n v="471038"/>
    <n v="0.3329934315278173"/>
  </r>
  <r>
    <x v="6"/>
    <s v="66"/>
    <x v="82"/>
    <x v="1"/>
    <x v="1996"/>
    <n v="471038"/>
    <n v="0.10001292889321031"/>
  </r>
  <r>
    <x v="6"/>
    <s v="66"/>
    <x v="82"/>
    <x v="2"/>
    <x v="1997"/>
    <n v="471038"/>
    <n v="0.19703386987886329"/>
  </r>
  <r>
    <x v="6"/>
    <s v="81"/>
    <x v="83"/>
    <x v="0"/>
    <x v="1998"/>
    <n v="386543"/>
    <n v="0.24491140701034553"/>
  </r>
  <r>
    <x v="6"/>
    <s v="81"/>
    <x v="83"/>
    <x v="1"/>
    <x v="1999"/>
    <n v="386543"/>
    <n v="9.2100594241779049E-2"/>
  </r>
  <r>
    <x v="6"/>
    <s v="81"/>
    <x v="83"/>
    <x v="2"/>
    <x v="2000"/>
    <n v="386543"/>
    <n v="0.16655339768149988"/>
  </r>
  <r>
    <x v="6"/>
    <s v="72"/>
    <x v="88"/>
    <x v="0"/>
    <x v="2001"/>
    <n v="568445"/>
    <n v="0.18442748199034209"/>
  </r>
  <r>
    <x v="6"/>
    <s v="72"/>
    <x v="88"/>
    <x v="1"/>
    <x v="2002"/>
    <n v="568445"/>
    <n v="9.9763389597938235E-2"/>
  </r>
  <r>
    <x v="6"/>
    <s v="72"/>
    <x v="88"/>
    <x v="2"/>
    <x v="2003"/>
    <n v="568445"/>
    <n v="0.16036663177616128"/>
  </r>
  <r>
    <x v="6"/>
    <s v="82"/>
    <x v="84"/>
    <x v="0"/>
    <x v="2004"/>
    <n v="255274"/>
    <n v="0.24613164677953886"/>
  </r>
  <r>
    <x v="6"/>
    <s v="82"/>
    <x v="84"/>
    <x v="1"/>
    <x v="2005"/>
    <n v="255274"/>
    <n v="9.436448678674679E-2"/>
  </r>
  <r>
    <x v="6"/>
    <s v="82"/>
    <x v="84"/>
    <x v="2"/>
    <x v="2006"/>
    <n v="255274"/>
    <n v="0.1667607355233984"/>
  </r>
  <r>
    <x v="6"/>
    <s v="83"/>
    <x v="94"/>
    <x v="0"/>
    <x v="2007"/>
    <n v="1048652"/>
    <n v="0.43297024179613447"/>
  </r>
  <r>
    <x v="6"/>
    <s v="83"/>
    <x v="94"/>
    <x v="1"/>
    <x v="2008"/>
    <n v="1048652"/>
    <n v="8.5850091355378133E-2"/>
  </r>
  <r>
    <x v="6"/>
    <s v="83"/>
    <x v="94"/>
    <x v="2"/>
    <x v="2009"/>
    <n v="1048652"/>
    <n v="0.19849802413002599"/>
  </r>
  <r>
    <x v="6"/>
    <s v="84"/>
    <x v="95"/>
    <x v="0"/>
    <x v="2010"/>
    <n v="557548"/>
    <n v="0.34128340519560646"/>
  </r>
  <r>
    <x v="6"/>
    <s v="84"/>
    <x v="95"/>
    <x v="1"/>
    <x v="2011"/>
    <n v="557548"/>
    <n v="7.1118791565927958E-2"/>
  </r>
  <r>
    <x v="6"/>
    <s v="84"/>
    <x v="95"/>
    <x v="2"/>
    <x v="2012"/>
    <n v="557548"/>
    <n v="0.17185526627303838"/>
  </r>
  <r>
    <x v="6"/>
    <s v="85"/>
    <x v="89"/>
    <x v="0"/>
    <x v="2013"/>
    <n v="666714"/>
    <n v="0.19281227032880666"/>
  </r>
  <r>
    <x v="6"/>
    <s v="85"/>
    <x v="89"/>
    <x v="1"/>
    <x v="2014"/>
    <n v="666714"/>
    <n v="0.11664106348449259"/>
  </r>
  <r>
    <x v="6"/>
    <s v="85"/>
    <x v="89"/>
    <x v="2"/>
    <x v="2015"/>
    <n v="666714"/>
    <n v="0.26773195103147679"/>
  </r>
  <r>
    <x v="0"/>
    <s v="971"/>
    <x v="96"/>
    <x v="0"/>
    <x v="2016"/>
    <m/>
    <m/>
  </r>
  <r>
    <x v="0"/>
    <s v="971"/>
    <x v="96"/>
    <x v="1"/>
    <x v="2017"/>
    <m/>
    <m/>
  </r>
  <r>
    <x v="0"/>
    <s v="971"/>
    <x v="96"/>
    <x v="2"/>
    <x v="2018"/>
    <m/>
    <m/>
  </r>
  <r>
    <x v="0"/>
    <s v="972"/>
    <x v="97"/>
    <x v="0"/>
    <x v="2019"/>
    <m/>
    <m/>
  </r>
  <r>
    <x v="0"/>
    <s v="972"/>
    <x v="97"/>
    <x v="1"/>
    <x v="2020"/>
    <m/>
    <m/>
  </r>
  <r>
    <x v="0"/>
    <s v="972"/>
    <x v="97"/>
    <x v="2"/>
    <x v="2021"/>
    <m/>
    <m/>
  </r>
  <r>
    <x v="0"/>
    <s v="973"/>
    <x v="98"/>
    <x v="0"/>
    <x v="2022"/>
    <m/>
    <m/>
  </r>
  <r>
    <x v="0"/>
    <s v="973"/>
    <x v="98"/>
    <x v="1"/>
    <x v="2023"/>
    <m/>
    <m/>
  </r>
  <r>
    <x v="0"/>
    <s v="973"/>
    <x v="98"/>
    <x v="2"/>
    <x v="2024"/>
    <m/>
    <m/>
  </r>
  <r>
    <x v="0"/>
    <s v="974"/>
    <x v="99"/>
    <x v="0"/>
    <x v="2025"/>
    <m/>
    <m/>
  </r>
  <r>
    <x v="0"/>
    <s v="974"/>
    <x v="99"/>
    <x v="1"/>
    <x v="2026"/>
    <m/>
    <m/>
  </r>
  <r>
    <x v="0"/>
    <s v="974"/>
    <x v="99"/>
    <x v="2"/>
    <x v="2027"/>
    <m/>
    <m/>
  </r>
  <r>
    <x v="0"/>
    <s v="977"/>
    <x v="100"/>
    <x v="0"/>
    <x v="2028"/>
    <m/>
    <m/>
  </r>
  <r>
    <x v="0"/>
    <s v="977"/>
    <x v="100"/>
    <x v="1"/>
    <x v="2029"/>
    <m/>
    <m/>
  </r>
  <r>
    <x v="0"/>
    <s v="977"/>
    <x v="100"/>
    <x v="2"/>
    <x v="2030"/>
    <m/>
    <m/>
  </r>
  <r>
    <x v="0"/>
    <s v="978"/>
    <x v="101"/>
    <x v="0"/>
    <x v="2031"/>
    <m/>
    <m/>
  </r>
  <r>
    <x v="0"/>
    <s v="978"/>
    <x v="101"/>
    <x v="1"/>
    <x v="2032"/>
    <m/>
    <m/>
  </r>
  <r>
    <x v="1"/>
    <s v="971"/>
    <x v="96"/>
    <x v="0"/>
    <x v="2033"/>
    <m/>
    <m/>
  </r>
  <r>
    <x v="1"/>
    <s v="971"/>
    <x v="96"/>
    <x v="1"/>
    <x v="2034"/>
    <m/>
    <m/>
  </r>
  <r>
    <x v="1"/>
    <s v="971"/>
    <x v="96"/>
    <x v="2"/>
    <x v="2035"/>
    <m/>
    <m/>
  </r>
  <r>
    <x v="1"/>
    <s v="972"/>
    <x v="97"/>
    <x v="0"/>
    <x v="2036"/>
    <m/>
    <m/>
  </r>
  <r>
    <x v="1"/>
    <s v="972"/>
    <x v="97"/>
    <x v="1"/>
    <x v="2037"/>
    <m/>
    <m/>
  </r>
  <r>
    <x v="1"/>
    <s v="972"/>
    <x v="97"/>
    <x v="2"/>
    <x v="2038"/>
    <m/>
    <m/>
  </r>
  <r>
    <x v="1"/>
    <s v="973"/>
    <x v="98"/>
    <x v="0"/>
    <x v="2039"/>
    <m/>
    <m/>
  </r>
  <r>
    <x v="1"/>
    <s v="973"/>
    <x v="98"/>
    <x v="1"/>
    <x v="2040"/>
    <m/>
    <m/>
  </r>
  <r>
    <x v="1"/>
    <s v="973"/>
    <x v="98"/>
    <x v="2"/>
    <x v="2041"/>
    <m/>
    <m/>
  </r>
  <r>
    <x v="1"/>
    <s v="974"/>
    <x v="99"/>
    <x v="0"/>
    <x v="2042"/>
    <m/>
    <m/>
  </r>
  <r>
    <x v="1"/>
    <s v="974"/>
    <x v="99"/>
    <x v="1"/>
    <x v="2043"/>
    <m/>
    <m/>
  </r>
  <r>
    <x v="1"/>
    <s v="974"/>
    <x v="99"/>
    <x v="2"/>
    <x v="2044"/>
    <m/>
    <m/>
  </r>
  <r>
    <x v="1"/>
    <s v="978"/>
    <x v="101"/>
    <x v="0"/>
    <x v="2045"/>
    <m/>
    <m/>
  </r>
  <r>
    <x v="1"/>
    <s v="978"/>
    <x v="101"/>
    <x v="1"/>
    <x v="2046"/>
    <m/>
    <m/>
  </r>
  <r>
    <x v="1"/>
    <s v="987"/>
    <x v="102"/>
    <x v="0"/>
    <x v="2047"/>
    <m/>
    <m/>
  </r>
  <r>
    <x v="1"/>
    <s v="987"/>
    <x v="102"/>
    <x v="1"/>
    <x v="2048"/>
    <m/>
    <m/>
  </r>
  <r>
    <x v="3"/>
    <s v="971"/>
    <x v="96"/>
    <x v="0"/>
    <x v="2049"/>
    <m/>
    <m/>
  </r>
  <r>
    <x v="3"/>
    <s v="971"/>
    <x v="96"/>
    <x v="1"/>
    <x v="2050"/>
    <m/>
    <m/>
  </r>
  <r>
    <x v="3"/>
    <s v="971"/>
    <x v="96"/>
    <x v="2"/>
    <x v="2051"/>
    <m/>
    <m/>
  </r>
  <r>
    <x v="3"/>
    <s v="972"/>
    <x v="97"/>
    <x v="0"/>
    <x v="2052"/>
    <m/>
    <m/>
  </r>
  <r>
    <x v="3"/>
    <s v="972"/>
    <x v="97"/>
    <x v="1"/>
    <x v="2053"/>
    <m/>
    <m/>
  </r>
  <r>
    <x v="3"/>
    <s v="972"/>
    <x v="97"/>
    <x v="2"/>
    <x v="2054"/>
    <m/>
    <m/>
  </r>
  <r>
    <x v="3"/>
    <s v="973"/>
    <x v="98"/>
    <x v="0"/>
    <x v="2055"/>
    <m/>
    <m/>
  </r>
  <r>
    <x v="3"/>
    <s v="973"/>
    <x v="98"/>
    <x v="1"/>
    <x v="2056"/>
    <m/>
    <m/>
  </r>
  <r>
    <x v="3"/>
    <s v="973"/>
    <x v="98"/>
    <x v="2"/>
    <x v="2057"/>
    <m/>
    <m/>
  </r>
  <r>
    <x v="3"/>
    <s v="974"/>
    <x v="99"/>
    <x v="0"/>
    <x v="2058"/>
    <m/>
    <m/>
  </r>
  <r>
    <x v="3"/>
    <s v="974"/>
    <x v="99"/>
    <x v="1"/>
    <x v="2059"/>
    <m/>
    <m/>
  </r>
  <r>
    <x v="3"/>
    <s v="974"/>
    <x v="99"/>
    <x v="2"/>
    <x v="2060"/>
    <m/>
    <m/>
  </r>
  <r>
    <x v="3"/>
    <s v="987"/>
    <x v="102"/>
    <x v="0"/>
    <x v="2061"/>
    <m/>
    <m/>
  </r>
  <r>
    <x v="3"/>
    <s v="987"/>
    <x v="102"/>
    <x v="1"/>
    <x v="2062"/>
    <m/>
    <m/>
  </r>
  <r>
    <x v="3"/>
    <s v="987"/>
    <x v="102"/>
    <x v="2"/>
    <x v="2063"/>
    <m/>
    <m/>
  </r>
  <r>
    <x v="6"/>
    <s v="971"/>
    <x v="96"/>
    <x v="0"/>
    <x v="2064"/>
    <m/>
    <m/>
  </r>
  <r>
    <x v="6"/>
    <s v="971"/>
    <x v="96"/>
    <x v="1"/>
    <x v="2065"/>
    <m/>
    <m/>
  </r>
  <r>
    <x v="6"/>
    <s v="971"/>
    <x v="96"/>
    <x v="2"/>
    <x v="2066"/>
    <m/>
    <m/>
  </r>
  <r>
    <x v="6"/>
    <s v="972"/>
    <x v="97"/>
    <x v="0"/>
    <x v="2067"/>
    <m/>
    <m/>
  </r>
  <r>
    <x v="6"/>
    <s v="972"/>
    <x v="97"/>
    <x v="1"/>
    <x v="2068"/>
    <m/>
    <m/>
  </r>
  <r>
    <x v="6"/>
    <s v="972"/>
    <x v="97"/>
    <x v="2"/>
    <x v="2069"/>
    <m/>
    <m/>
  </r>
  <r>
    <x v="6"/>
    <s v="973"/>
    <x v="98"/>
    <x v="0"/>
    <x v="2070"/>
    <m/>
    <m/>
  </r>
  <r>
    <x v="6"/>
    <s v="973"/>
    <x v="98"/>
    <x v="1"/>
    <x v="2071"/>
    <m/>
    <m/>
  </r>
  <r>
    <x v="6"/>
    <s v="973"/>
    <x v="98"/>
    <x v="2"/>
    <x v="2072"/>
    <m/>
    <m/>
  </r>
  <r>
    <x v="6"/>
    <s v="974"/>
    <x v="99"/>
    <x v="0"/>
    <x v="2073"/>
    <m/>
    <m/>
  </r>
  <r>
    <x v="6"/>
    <s v="974"/>
    <x v="99"/>
    <x v="1"/>
    <x v="2074"/>
    <m/>
    <m/>
  </r>
  <r>
    <x v="6"/>
    <s v="974"/>
    <x v="99"/>
    <x v="2"/>
    <x v="2075"/>
    <m/>
    <m/>
  </r>
  <r>
    <x v="6"/>
    <s v="976"/>
    <x v="103"/>
    <x v="0"/>
    <x v="2076"/>
    <m/>
    <m/>
  </r>
  <r>
    <x v="6"/>
    <s v="976"/>
    <x v="103"/>
    <x v="1"/>
    <x v="2077"/>
    <m/>
    <m/>
  </r>
  <r>
    <x v="6"/>
    <s v="977"/>
    <x v="100"/>
    <x v="0"/>
    <x v="2078"/>
    <m/>
    <m/>
  </r>
  <r>
    <x v="6"/>
    <s v="977"/>
    <x v="100"/>
    <x v="1"/>
    <x v="2079"/>
    <m/>
    <m/>
  </r>
  <r>
    <x v="6"/>
    <s v="977"/>
    <x v="100"/>
    <x v="2"/>
    <x v="2080"/>
    <m/>
    <m/>
  </r>
  <r>
    <x v="6"/>
    <s v="978"/>
    <x v="101"/>
    <x v="0"/>
    <x v="2081"/>
    <m/>
    <m/>
  </r>
  <r>
    <x v="6"/>
    <s v="978"/>
    <x v="101"/>
    <x v="1"/>
    <x v="2082"/>
    <m/>
    <m/>
  </r>
  <r>
    <x v="6"/>
    <s v="978"/>
    <x v="101"/>
    <x v="2"/>
    <x v="2083"/>
    <m/>
    <m/>
  </r>
  <r>
    <x v="6"/>
    <s v="987"/>
    <x v="102"/>
    <x v="0"/>
    <x v="2084"/>
    <m/>
    <m/>
  </r>
  <r>
    <x v="6"/>
    <s v="987"/>
    <x v="102"/>
    <x v="1"/>
    <x v="2085"/>
    <m/>
    <m/>
  </r>
  <r>
    <x v="6"/>
    <s v="987"/>
    <x v="102"/>
    <x v="2"/>
    <x v="2086"/>
    <m/>
    <m/>
  </r>
  <r>
    <x v="5"/>
    <s v="971"/>
    <x v="96"/>
    <x v="0"/>
    <x v="2087"/>
    <m/>
    <m/>
  </r>
  <r>
    <x v="5"/>
    <s v="971"/>
    <x v="96"/>
    <x v="1"/>
    <x v="2088"/>
    <m/>
    <m/>
  </r>
  <r>
    <x v="5"/>
    <s v="971"/>
    <x v="96"/>
    <x v="2"/>
    <x v="2089"/>
    <m/>
    <m/>
  </r>
  <r>
    <x v="5"/>
    <s v="972"/>
    <x v="97"/>
    <x v="0"/>
    <x v="2090"/>
    <m/>
    <m/>
  </r>
  <r>
    <x v="5"/>
    <s v="972"/>
    <x v="97"/>
    <x v="1"/>
    <x v="2091"/>
    <m/>
    <m/>
  </r>
  <r>
    <x v="5"/>
    <s v="972"/>
    <x v="97"/>
    <x v="2"/>
    <x v="2092"/>
    <m/>
    <m/>
  </r>
  <r>
    <x v="5"/>
    <s v="973"/>
    <x v="98"/>
    <x v="0"/>
    <x v="2093"/>
    <m/>
    <m/>
  </r>
  <r>
    <x v="5"/>
    <s v="973"/>
    <x v="98"/>
    <x v="1"/>
    <x v="2094"/>
    <m/>
    <m/>
  </r>
  <r>
    <x v="5"/>
    <s v="973"/>
    <x v="98"/>
    <x v="2"/>
    <x v="2095"/>
    <m/>
    <m/>
  </r>
  <r>
    <x v="5"/>
    <s v="974"/>
    <x v="99"/>
    <x v="0"/>
    <x v="2096"/>
    <m/>
    <m/>
  </r>
  <r>
    <x v="5"/>
    <s v="974"/>
    <x v="99"/>
    <x v="1"/>
    <x v="2097"/>
    <m/>
    <m/>
  </r>
  <r>
    <x v="5"/>
    <s v="974"/>
    <x v="99"/>
    <x v="2"/>
    <x v="2098"/>
    <m/>
    <m/>
  </r>
  <r>
    <x v="5"/>
    <s v="976"/>
    <x v="103"/>
    <x v="0"/>
    <x v="2099"/>
    <m/>
    <m/>
  </r>
  <r>
    <x v="5"/>
    <s v="976"/>
    <x v="103"/>
    <x v="1"/>
    <x v="2100"/>
    <m/>
    <m/>
  </r>
  <r>
    <x v="4"/>
    <s v="971"/>
    <x v="96"/>
    <x v="0"/>
    <x v="2101"/>
    <m/>
    <m/>
  </r>
  <r>
    <x v="4"/>
    <s v="971"/>
    <x v="96"/>
    <x v="1"/>
    <x v="2102"/>
    <m/>
    <m/>
  </r>
  <r>
    <x v="4"/>
    <s v="971"/>
    <x v="96"/>
    <x v="2"/>
    <x v="2103"/>
    <m/>
    <m/>
  </r>
  <r>
    <x v="4"/>
    <s v="972"/>
    <x v="97"/>
    <x v="0"/>
    <x v="2104"/>
    <m/>
    <m/>
  </r>
  <r>
    <x v="4"/>
    <s v="972"/>
    <x v="97"/>
    <x v="1"/>
    <x v="2105"/>
    <m/>
    <m/>
  </r>
  <r>
    <x v="4"/>
    <s v="972"/>
    <x v="97"/>
    <x v="2"/>
    <x v="2106"/>
    <m/>
    <m/>
  </r>
  <r>
    <x v="4"/>
    <s v="973"/>
    <x v="98"/>
    <x v="0"/>
    <x v="2107"/>
    <m/>
    <m/>
  </r>
  <r>
    <x v="4"/>
    <s v="973"/>
    <x v="98"/>
    <x v="1"/>
    <x v="2108"/>
    <m/>
    <m/>
  </r>
  <r>
    <x v="4"/>
    <s v="973"/>
    <x v="98"/>
    <x v="2"/>
    <x v="2109"/>
    <m/>
    <m/>
  </r>
  <r>
    <x v="4"/>
    <s v="974"/>
    <x v="99"/>
    <x v="0"/>
    <x v="2110"/>
    <m/>
    <m/>
  </r>
  <r>
    <x v="4"/>
    <s v="974"/>
    <x v="99"/>
    <x v="1"/>
    <x v="2111"/>
    <m/>
    <m/>
  </r>
  <r>
    <x v="4"/>
    <s v="974"/>
    <x v="99"/>
    <x v="2"/>
    <x v="2112"/>
    <m/>
    <m/>
  </r>
  <r>
    <x v="2"/>
    <s v="971"/>
    <x v="96"/>
    <x v="0"/>
    <x v="2113"/>
    <m/>
    <m/>
  </r>
  <r>
    <x v="2"/>
    <s v="971"/>
    <x v="96"/>
    <x v="1"/>
    <x v="2114"/>
    <m/>
    <m/>
  </r>
  <r>
    <x v="2"/>
    <s v="971"/>
    <x v="96"/>
    <x v="2"/>
    <x v="2115"/>
    <m/>
    <m/>
  </r>
  <r>
    <x v="2"/>
    <s v="972"/>
    <x v="97"/>
    <x v="0"/>
    <x v="2116"/>
    <m/>
    <m/>
  </r>
  <r>
    <x v="2"/>
    <s v="972"/>
    <x v="97"/>
    <x v="1"/>
    <x v="2117"/>
    <m/>
    <m/>
  </r>
  <r>
    <x v="2"/>
    <s v="972"/>
    <x v="97"/>
    <x v="2"/>
    <x v="2118"/>
    <m/>
    <m/>
  </r>
  <r>
    <x v="2"/>
    <s v="974"/>
    <x v="99"/>
    <x v="0"/>
    <x v="2119"/>
    <m/>
    <m/>
  </r>
  <r>
    <x v="2"/>
    <s v="974"/>
    <x v="99"/>
    <x v="1"/>
    <x v="2120"/>
    <m/>
    <m/>
  </r>
  <r>
    <x v="2"/>
    <s v="974"/>
    <x v="99"/>
    <x v="2"/>
    <x v="2121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2">
  <r>
    <x v="0"/>
    <s v="01"/>
    <x v="0"/>
    <x v="0"/>
    <n v="134208.68"/>
    <n v="588853"/>
    <x v="0"/>
  </r>
  <r>
    <x v="0"/>
    <s v="01"/>
    <x v="0"/>
    <x v="1"/>
    <n v="42906.27"/>
    <n v="588853"/>
    <x v="1"/>
  </r>
  <r>
    <x v="0"/>
    <s v="01"/>
    <x v="0"/>
    <x v="2"/>
    <n v="109950.6"/>
    <n v="588853"/>
    <x v="2"/>
  </r>
  <r>
    <x v="0"/>
    <s v="03"/>
    <x v="1"/>
    <x v="0"/>
    <n v="105182.37"/>
    <n v="343046"/>
    <x v="3"/>
  </r>
  <r>
    <x v="0"/>
    <s v="03"/>
    <x v="1"/>
    <x v="1"/>
    <n v="26166.22"/>
    <n v="343046"/>
    <x v="4"/>
  </r>
  <r>
    <x v="0"/>
    <s v="03"/>
    <x v="1"/>
    <x v="2"/>
    <n v="40975.120000000003"/>
    <n v="343046"/>
    <x v="5"/>
  </r>
  <r>
    <x v="0"/>
    <s v="07"/>
    <x v="2"/>
    <x v="0"/>
    <n v="89088.42"/>
    <n v="313578"/>
    <x v="6"/>
  </r>
  <r>
    <x v="0"/>
    <s v="07"/>
    <x v="2"/>
    <x v="1"/>
    <n v="23494.79"/>
    <n v="313578"/>
    <x v="7"/>
  </r>
  <r>
    <x v="0"/>
    <s v="07"/>
    <x v="2"/>
    <x v="2"/>
    <n v="38853.4"/>
    <n v="313578"/>
    <x v="8"/>
  </r>
  <r>
    <x v="0"/>
    <s v="15"/>
    <x v="3"/>
    <x v="0"/>
    <n v="56636.92"/>
    <n v="148380"/>
    <x v="9"/>
  </r>
  <r>
    <x v="0"/>
    <s v="15"/>
    <x v="3"/>
    <x v="1"/>
    <n v="9947.1200000000008"/>
    <n v="148380"/>
    <x v="10"/>
  </r>
  <r>
    <x v="0"/>
    <s v="15"/>
    <x v="3"/>
    <x v="2"/>
    <n v="14022.32"/>
    <n v="148380"/>
    <x v="11"/>
  </r>
  <r>
    <x v="0"/>
    <s v="26"/>
    <x v="4"/>
    <x v="0"/>
    <n v="131079.43"/>
    <n v="482984"/>
    <x v="12"/>
  </r>
  <r>
    <x v="0"/>
    <s v="26"/>
    <x v="4"/>
    <x v="1"/>
    <n v="35310.720000000001"/>
    <n v="482984"/>
    <x v="13"/>
  </r>
  <r>
    <x v="0"/>
    <s v="26"/>
    <x v="4"/>
    <x v="2"/>
    <n v="75301.13"/>
    <n v="482984"/>
    <x v="14"/>
  </r>
  <r>
    <x v="0"/>
    <s v="38"/>
    <x v="5"/>
    <x v="0"/>
    <n v="292381.39"/>
    <n v="1197038"/>
    <x v="15"/>
  </r>
  <r>
    <x v="0"/>
    <s v="38"/>
    <x v="5"/>
    <x v="1"/>
    <n v="101588.37"/>
    <n v="1197038"/>
    <x v="16"/>
  </r>
  <r>
    <x v="0"/>
    <s v="38"/>
    <x v="5"/>
    <x v="2"/>
    <n v="254800.21"/>
    <n v="1197038"/>
    <x v="17"/>
  </r>
  <r>
    <x v="0"/>
    <s v="42"/>
    <x v="6"/>
    <x v="0"/>
    <n v="204364.35"/>
    <n v="746115"/>
    <x v="18"/>
  </r>
  <r>
    <x v="0"/>
    <s v="42"/>
    <x v="6"/>
    <x v="1"/>
    <n v="57491.07"/>
    <n v="746115"/>
    <x v="19"/>
  </r>
  <r>
    <x v="0"/>
    <s v="42"/>
    <x v="6"/>
    <x v="2"/>
    <n v="100004.36"/>
    <n v="746115"/>
    <x v="20"/>
  </r>
  <r>
    <x v="0"/>
    <s v="43"/>
    <x v="7"/>
    <x v="0"/>
    <n v="57687.519999999997"/>
    <n v="223122"/>
    <x v="21"/>
  </r>
  <r>
    <x v="0"/>
    <s v="43"/>
    <x v="7"/>
    <x v="1"/>
    <n v="14670.59"/>
    <n v="223122"/>
    <x v="22"/>
  </r>
  <r>
    <x v="0"/>
    <s v="43"/>
    <x v="7"/>
    <x v="2"/>
    <n v="21474.560000000001"/>
    <n v="223122"/>
    <x v="23"/>
  </r>
  <r>
    <x v="0"/>
    <s v="63"/>
    <x v="8"/>
    <x v="0"/>
    <n v="158708.51"/>
    <n v="629416"/>
    <x v="24"/>
  </r>
  <r>
    <x v="0"/>
    <s v="63"/>
    <x v="8"/>
    <x v="1"/>
    <n v="62423.1"/>
    <n v="629416"/>
    <x v="25"/>
  </r>
  <r>
    <x v="0"/>
    <s v="63"/>
    <x v="8"/>
    <x v="2"/>
    <n v="116069.5"/>
    <n v="629416"/>
    <x v="26"/>
  </r>
  <r>
    <x v="0"/>
    <s v="69"/>
    <x v="9"/>
    <x v="0"/>
    <n v="415659.05"/>
    <n v="1708671"/>
    <x v="27"/>
  </r>
  <r>
    <x v="0"/>
    <s v="69"/>
    <x v="9"/>
    <x v="1"/>
    <n v="117570.57"/>
    <n v="1708671"/>
    <x v="28"/>
  </r>
  <r>
    <x v="0"/>
    <s v="69"/>
    <x v="9"/>
    <x v="2"/>
    <n v="163717.98000000001"/>
    <n v="1708671"/>
    <x v="29"/>
  </r>
  <r>
    <x v="0"/>
    <s v="73"/>
    <x v="10"/>
    <x v="0"/>
    <n v="137352.81"/>
    <n v="411007"/>
    <x v="30"/>
  </r>
  <r>
    <x v="0"/>
    <s v="73"/>
    <x v="10"/>
    <x v="1"/>
    <n v="42433.37"/>
    <n v="411007"/>
    <x v="31"/>
  </r>
  <r>
    <x v="0"/>
    <s v="73"/>
    <x v="10"/>
    <x v="2"/>
    <n v="89779.56"/>
    <n v="411007"/>
    <x v="32"/>
  </r>
  <r>
    <x v="0"/>
    <s v="74"/>
    <x v="11"/>
    <x v="0"/>
    <n v="235445.41"/>
    <n v="725794"/>
    <x v="33"/>
  </r>
  <r>
    <x v="0"/>
    <s v="74"/>
    <x v="11"/>
    <x v="1"/>
    <n v="61882.38"/>
    <n v="725794"/>
    <x v="34"/>
  </r>
  <r>
    <x v="0"/>
    <s v="74"/>
    <x v="11"/>
    <x v="2"/>
    <n v="141388.64000000001"/>
    <n v="725794"/>
    <x v="35"/>
  </r>
  <r>
    <x v="0"/>
    <s v="21"/>
    <x v="12"/>
    <x v="0"/>
    <n v="138368.39000000001"/>
    <n v="524144"/>
    <x v="36"/>
  </r>
  <r>
    <x v="0"/>
    <s v="21"/>
    <x v="12"/>
    <x v="1"/>
    <n v="52183.55"/>
    <n v="524144"/>
    <x v="37"/>
  </r>
  <r>
    <x v="0"/>
    <s v="21"/>
    <x v="12"/>
    <x v="2"/>
    <n v="81041.73"/>
    <n v="524144"/>
    <x v="38"/>
  </r>
  <r>
    <x v="0"/>
    <s v="25"/>
    <x v="13"/>
    <x v="0"/>
    <n v="136451.32"/>
    <n v="525276"/>
    <x v="39"/>
  </r>
  <r>
    <x v="0"/>
    <s v="25"/>
    <x v="13"/>
    <x v="1"/>
    <n v="56517.5"/>
    <n v="525276"/>
    <x v="40"/>
  </r>
  <r>
    <x v="0"/>
    <s v="25"/>
    <x v="13"/>
    <x v="2"/>
    <n v="83915.19"/>
    <n v="525276"/>
    <x v="41"/>
  </r>
  <r>
    <x v="0"/>
    <s v="39"/>
    <x v="14"/>
    <x v="0"/>
    <n v="54879.96"/>
    <n v="261277"/>
    <x v="42"/>
  </r>
  <r>
    <x v="0"/>
    <s v="39"/>
    <x v="14"/>
    <x v="1"/>
    <n v="35591.06"/>
    <n v="261277"/>
    <x v="43"/>
  </r>
  <r>
    <x v="0"/>
    <s v="39"/>
    <x v="14"/>
    <x v="2"/>
    <n v="38743.39"/>
    <n v="261277"/>
    <x v="44"/>
  </r>
  <r>
    <x v="0"/>
    <s v="58"/>
    <x v="15"/>
    <x v="0"/>
    <n v="52706.64"/>
    <n v="220199"/>
    <x v="45"/>
  </r>
  <r>
    <x v="0"/>
    <s v="58"/>
    <x v="15"/>
    <x v="1"/>
    <n v="25035.360000000001"/>
    <n v="220199"/>
    <x v="46"/>
  </r>
  <r>
    <x v="0"/>
    <s v="58"/>
    <x v="15"/>
    <x v="2"/>
    <n v="38257.56"/>
    <n v="220199"/>
    <x v="47"/>
  </r>
  <r>
    <x v="0"/>
    <s v="70"/>
    <x v="16"/>
    <x v="0"/>
    <n v="56174.15"/>
    <n v="239194"/>
    <x v="48"/>
  </r>
  <r>
    <x v="0"/>
    <s v="70"/>
    <x v="16"/>
    <x v="1"/>
    <n v="28978.93"/>
    <n v="239194"/>
    <x v="49"/>
  </r>
  <r>
    <x v="0"/>
    <s v="70"/>
    <x v="16"/>
    <x v="2"/>
    <n v="45163.55"/>
    <n v="239194"/>
    <x v="50"/>
  </r>
  <r>
    <x v="0"/>
    <s v="71"/>
    <x v="17"/>
    <x v="0"/>
    <n v="128157.24"/>
    <n v="554720"/>
    <x v="51"/>
  </r>
  <r>
    <x v="0"/>
    <s v="71"/>
    <x v="17"/>
    <x v="1"/>
    <n v="60537.48"/>
    <n v="554720"/>
    <x v="52"/>
  </r>
  <r>
    <x v="0"/>
    <s v="71"/>
    <x v="17"/>
    <x v="2"/>
    <n v="110457.5"/>
    <n v="554720"/>
    <x v="53"/>
  </r>
  <r>
    <x v="0"/>
    <s v="89"/>
    <x v="18"/>
    <x v="0"/>
    <n v="106406.5"/>
    <n v="343377"/>
    <x v="54"/>
  </r>
  <r>
    <x v="0"/>
    <s v="89"/>
    <x v="18"/>
    <x v="1"/>
    <n v="28840.61"/>
    <n v="343377"/>
    <x v="55"/>
  </r>
  <r>
    <x v="0"/>
    <s v="89"/>
    <x v="18"/>
    <x v="2"/>
    <n v="43112.55"/>
    <n v="343377"/>
    <x v="56"/>
  </r>
  <r>
    <x v="0"/>
    <s v="90"/>
    <x v="19"/>
    <x v="0"/>
    <n v="41201.919999999998"/>
    <n v="142461"/>
    <x v="57"/>
  </r>
  <r>
    <x v="0"/>
    <s v="90"/>
    <x v="19"/>
    <x v="1"/>
    <n v="18706.05"/>
    <n v="142461"/>
    <x v="58"/>
  </r>
  <r>
    <x v="0"/>
    <s v="90"/>
    <x v="19"/>
    <x v="2"/>
    <n v="8866.7800000000007"/>
    <n v="142461"/>
    <x v="59"/>
  </r>
  <r>
    <x v="0"/>
    <s v="22"/>
    <x v="20"/>
    <x v="0"/>
    <n v="158002.93"/>
    <n v="587519"/>
    <x v="60"/>
  </r>
  <r>
    <x v="0"/>
    <s v="22"/>
    <x v="20"/>
    <x v="1"/>
    <n v="56558.55"/>
    <n v="587519"/>
    <x v="61"/>
  </r>
  <r>
    <x v="0"/>
    <s v="22"/>
    <x v="20"/>
    <x v="2"/>
    <n v="152261.14000000001"/>
    <n v="587519"/>
    <x v="62"/>
  </r>
  <r>
    <x v="0"/>
    <s v="29"/>
    <x v="21"/>
    <x v="0"/>
    <n v="248509.99"/>
    <n v="893914"/>
    <x v="63"/>
  </r>
  <r>
    <x v="0"/>
    <s v="29"/>
    <x v="21"/>
    <x v="1"/>
    <n v="123439.53"/>
    <n v="893914"/>
    <x v="64"/>
  </r>
  <r>
    <x v="0"/>
    <s v="29"/>
    <x v="21"/>
    <x v="2"/>
    <n v="255235.19"/>
    <n v="893914"/>
    <x v="65"/>
  </r>
  <r>
    <x v="0"/>
    <s v="35"/>
    <x v="22"/>
    <x v="0"/>
    <n v="221068.38"/>
    <n v="977449"/>
    <x v="66"/>
  </r>
  <r>
    <x v="0"/>
    <s v="35"/>
    <x v="22"/>
    <x v="1"/>
    <n v="94941.32"/>
    <n v="977449"/>
    <x v="67"/>
  </r>
  <r>
    <x v="0"/>
    <s v="35"/>
    <x v="22"/>
    <x v="2"/>
    <n v="169251.71"/>
    <n v="977449"/>
    <x v="68"/>
  </r>
  <r>
    <x v="0"/>
    <s v="56"/>
    <x v="23"/>
    <x v="0"/>
    <n v="181685.29"/>
    <n v="716182"/>
    <x v="69"/>
  </r>
  <r>
    <x v="0"/>
    <s v="56"/>
    <x v="23"/>
    <x v="1"/>
    <n v="83598.210000000006"/>
    <n v="716182"/>
    <x v="70"/>
  </r>
  <r>
    <x v="0"/>
    <s v="56"/>
    <x v="23"/>
    <x v="2"/>
    <n v="154724.39000000001"/>
    <n v="716182"/>
    <x v="71"/>
  </r>
  <r>
    <x v="0"/>
    <s v="18"/>
    <x v="24"/>
    <x v="0"/>
    <n v="81841.72"/>
    <n v="311022"/>
    <x v="72"/>
  </r>
  <r>
    <x v="0"/>
    <s v="18"/>
    <x v="24"/>
    <x v="1"/>
    <n v="33046.11"/>
    <n v="311022"/>
    <x v="73"/>
  </r>
  <r>
    <x v="0"/>
    <s v="18"/>
    <x v="24"/>
    <x v="2"/>
    <n v="49480.07"/>
    <n v="311022"/>
    <x v="74"/>
  </r>
  <r>
    <x v="0"/>
    <s v="28"/>
    <x v="25"/>
    <x v="0"/>
    <n v="117834.14"/>
    <n v="425502"/>
    <x v="75"/>
  </r>
  <r>
    <x v="0"/>
    <s v="28"/>
    <x v="25"/>
    <x v="1"/>
    <n v="41833.43"/>
    <n v="425502"/>
    <x v="76"/>
  </r>
  <r>
    <x v="0"/>
    <s v="28"/>
    <x v="25"/>
    <x v="2"/>
    <n v="59597.49"/>
    <n v="425502"/>
    <x v="77"/>
  </r>
  <r>
    <x v="0"/>
    <s v="36"/>
    <x v="26"/>
    <x v="0"/>
    <n v="49930.65"/>
    <n v="232268"/>
    <x v="78"/>
  </r>
  <r>
    <x v="0"/>
    <s v="36"/>
    <x v="26"/>
    <x v="1"/>
    <n v="35980.93"/>
    <n v="232268"/>
    <x v="79"/>
  </r>
  <r>
    <x v="0"/>
    <s v="36"/>
    <x v="26"/>
    <x v="2"/>
    <n v="33913.96"/>
    <n v="232268"/>
    <x v="80"/>
  </r>
  <r>
    <x v="0"/>
    <s v="37"/>
    <x v="27"/>
    <x v="0"/>
    <n v="148239.23000000001"/>
    <n v="588420"/>
    <x v="81"/>
  </r>
  <r>
    <x v="0"/>
    <s v="37"/>
    <x v="27"/>
    <x v="1"/>
    <n v="69361.320000000007"/>
    <n v="588420"/>
    <x v="82"/>
  </r>
  <r>
    <x v="0"/>
    <s v="37"/>
    <x v="27"/>
    <x v="2"/>
    <n v="72086.570000000007"/>
    <n v="588420"/>
    <x v="83"/>
  </r>
  <r>
    <x v="0"/>
    <s v="41"/>
    <x v="28"/>
    <x v="0"/>
    <n v="82919.77"/>
    <n v="327868"/>
    <x v="84"/>
  </r>
  <r>
    <x v="0"/>
    <s v="41"/>
    <x v="28"/>
    <x v="1"/>
    <n v="26182.46"/>
    <n v="327868"/>
    <x v="85"/>
  </r>
  <r>
    <x v="0"/>
    <s v="41"/>
    <x v="28"/>
    <x v="2"/>
    <n v="64207.4"/>
    <n v="327868"/>
    <x v="86"/>
  </r>
  <r>
    <x v="0"/>
    <s v="45"/>
    <x v="29"/>
    <x v="0"/>
    <n v="171335.1"/>
    <n v="653510"/>
    <x v="87"/>
  </r>
  <r>
    <x v="0"/>
    <s v="45"/>
    <x v="29"/>
    <x v="1"/>
    <n v="46182.7"/>
    <n v="653510"/>
    <x v="88"/>
  </r>
  <r>
    <x v="0"/>
    <s v="45"/>
    <x v="29"/>
    <x v="2"/>
    <n v="120430.32"/>
    <n v="653510"/>
    <x v="89"/>
  </r>
  <r>
    <x v="0"/>
    <s v="2A"/>
    <x v="30"/>
    <x v="0"/>
    <n v="72034.679999999993"/>
    <n v="141330"/>
    <x v="90"/>
  </r>
  <r>
    <x v="0"/>
    <s v="2A"/>
    <x v="30"/>
    <x v="1"/>
    <n v="4319.51"/>
    <n v="141330"/>
    <x v="91"/>
  </r>
  <r>
    <x v="0"/>
    <s v="2A"/>
    <x v="30"/>
    <x v="2"/>
    <n v="9443.7800000000007"/>
    <n v="141330"/>
    <x v="92"/>
  </r>
  <r>
    <x v="0"/>
    <s v="2B"/>
    <x v="31"/>
    <x v="0"/>
    <n v="72086.759999999995"/>
    <n v="164344"/>
    <x v="93"/>
  </r>
  <r>
    <x v="0"/>
    <s v="2B"/>
    <x v="31"/>
    <x v="1"/>
    <n v="5838.57"/>
    <n v="164344"/>
    <x v="94"/>
  </r>
  <r>
    <x v="0"/>
    <s v="2B"/>
    <x v="31"/>
    <x v="2"/>
    <n v="16045.05"/>
    <n v="164344"/>
    <x v="95"/>
  </r>
  <r>
    <x v="0"/>
    <s v="08"/>
    <x v="32"/>
    <x v="0"/>
    <n v="82993.929999999993"/>
    <n v="283296"/>
    <x v="96"/>
  </r>
  <r>
    <x v="0"/>
    <s v="08"/>
    <x v="32"/>
    <x v="1"/>
    <n v="31289.9"/>
    <n v="283296"/>
    <x v="97"/>
  </r>
  <r>
    <x v="0"/>
    <s v="08"/>
    <x v="32"/>
    <x v="2"/>
    <n v="33099.56"/>
    <n v="283296"/>
    <x v="98"/>
  </r>
  <r>
    <x v="0"/>
    <s v="10"/>
    <x v="33"/>
    <x v="0"/>
    <n v="91337.88"/>
    <n v="303298"/>
    <x v="99"/>
  </r>
  <r>
    <x v="0"/>
    <s v="10"/>
    <x v="33"/>
    <x v="1"/>
    <n v="35995.120000000003"/>
    <n v="303298"/>
    <x v="100"/>
  </r>
  <r>
    <x v="0"/>
    <s v="10"/>
    <x v="33"/>
    <x v="2"/>
    <n v="32787.99"/>
    <n v="303298"/>
    <x v="101"/>
  </r>
  <r>
    <x v="0"/>
    <s v="51"/>
    <x v="34"/>
    <x v="0"/>
    <n v="150194.32"/>
    <n v="566145"/>
    <x v="102"/>
  </r>
  <r>
    <x v="0"/>
    <s v="51"/>
    <x v="34"/>
    <x v="1"/>
    <n v="65379.67"/>
    <n v="566145"/>
    <x v="103"/>
  </r>
  <r>
    <x v="0"/>
    <s v="51"/>
    <x v="34"/>
    <x v="2"/>
    <n v="70401.509999999995"/>
    <n v="566145"/>
    <x v="104"/>
  </r>
  <r>
    <x v="0"/>
    <s v="52"/>
    <x v="35"/>
    <x v="0"/>
    <n v="53191.17"/>
    <n v="185214"/>
    <x v="105"/>
  </r>
  <r>
    <x v="0"/>
    <s v="52"/>
    <x v="35"/>
    <x v="1"/>
    <n v="16364.05"/>
    <n v="185214"/>
    <x v="106"/>
  </r>
  <r>
    <x v="0"/>
    <s v="52"/>
    <x v="35"/>
    <x v="2"/>
    <n v="21955.87"/>
    <n v="185214"/>
    <x v="107"/>
  </r>
  <r>
    <x v="0"/>
    <s v="54"/>
    <x v="36"/>
    <x v="0"/>
    <n v="215342.69"/>
    <n v="731019"/>
    <x v="108"/>
  </r>
  <r>
    <x v="0"/>
    <s v="54"/>
    <x v="36"/>
    <x v="1"/>
    <n v="75435.350000000006"/>
    <n v="731019"/>
    <x v="109"/>
  </r>
  <r>
    <x v="0"/>
    <s v="54"/>
    <x v="36"/>
    <x v="2"/>
    <n v="77714.12"/>
    <n v="731019"/>
    <x v="110"/>
  </r>
  <r>
    <x v="0"/>
    <s v="55"/>
    <x v="37"/>
    <x v="0"/>
    <n v="51569.32"/>
    <n v="194003"/>
    <x v="111"/>
  </r>
  <r>
    <x v="0"/>
    <s v="55"/>
    <x v="37"/>
    <x v="1"/>
    <n v="16206.73"/>
    <n v="194003"/>
    <x v="112"/>
  </r>
  <r>
    <x v="0"/>
    <s v="55"/>
    <x v="37"/>
    <x v="2"/>
    <n v="20955.919999999998"/>
    <n v="194003"/>
    <x v="113"/>
  </r>
  <r>
    <x v="0"/>
    <s v="57"/>
    <x v="38"/>
    <x v="0"/>
    <n v="325123.13"/>
    <n v="1044898"/>
    <x v="114"/>
  </r>
  <r>
    <x v="0"/>
    <s v="57"/>
    <x v="38"/>
    <x v="1"/>
    <n v="98815.33"/>
    <n v="1044898"/>
    <x v="115"/>
  </r>
  <r>
    <x v="0"/>
    <s v="57"/>
    <x v="38"/>
    <x v="2"/>
    <n v="130578.74"/>
    <n v="1044898"/>
    <x v="116"/>
  </r>
  <r>
    <x v="0"/>
    <s v="67"/>
    <x v="39"/>
    <x v="0"/>
    <n v="293269.03999999998"/>
    <n v="1094439"/>
    <x v="117"/>
  </r>
  <r>
    <x v="0"/>
    <s v="67"/>
    <x v="39"/>
    <x v="1"/>
    <n v="90949.05"/>
    <n v="1094439"/>
    <x v="118"/>
  </r>
  <r>
    <x v="0"/>
    <s v="67"/>
    <x v="39"/>
    <x v="2"/>
    <n v="139883.78"/>
    <n v="1094439"/>
    <x v="119"/>
  </r>
  <r>
    <x v="0"/>
    <s v="68"/>
    <x v="40"/>
    <x v="0"/>
    <n v="191958.07"/>
    <n v="748614"/>
    <x v="120"/>
  </r>
  <r>
    <x v="0"/>
    <s v="68"/>
    <x v="40"/>
    <x v="1"/>
    <n v="87955.08"/>
    <n v="748614"/>
    <x v="121"/>
  </r>
  <r>
    <x v="0"/>
    <s v="68"/>
    <x v="40"/>
    <x v="2"/>
    <n v="97670.97"/>
    <n v="748614"/>
    <x v="122"/>
  </r>
  <r>
    <x v="0"/>
    <s v="88"/>
    <x v="41"/>
    <x v="0"/>
    <n v="104381.96"/>
    <n v="380192"/>
    <x v="123"/>
  </r>
  <r>
    <x v="0"/>
    <s v="88"/>
    <x v="41"/>
    <x v="1"/>
    <n v="30588.29"/>
    <n v="380192"/>
    <x v="124"/>
  </r>
  <r>
    <x v="0"/>
    <s v="88"/>
    <x v="41"/>
    <x v="2"/>
    <n v="53632.5"/>
    <n v="380192"/>
    <x v="125"/>
  </r>
  <r>
    <x v="0"/>
    <s v="02"/>
    <x v="42"/>
    <x v="0"/>
    <n v="144809.76"/>
    <n v="539870"/>
    <x v="126"/>
  </r>
  <r>
    <x v="0"/>
    <s v="02"/>
    <x v="42"/>
    <x v="1"/>
    <n v="62162.400000000001"/>
    <n v="539870"/>
    <x v="127"/>
  </r>
  <r>
    <x v="0"/>
    <s v="02"/>
    <x v="42"/>
    <x v="2"/>
    <n v="67853.960000000006"/>
    <n v="539870"/>
    <x v="128"/>
  </r>
  <r>
    <x v="0"/>
    <s v="59"/>
    <x v="43"/>
    <x v="0"/>
    <n v="703943.78"/>
    <n v="2571940"/>
    <x v="129"/>
  </r>
  <r>
    <x v="0"/>
    <s v="59"/>
    <x v="43"/>
    <x v="1"/>
    <n v="522630.84"/>
    <n v="2571940"/>
    <x v="130"/>
  </r>
  <r>
    <x v="0"/>
    <s v="59"/>
    <x v="43"/>
    <x v="2"/>
    <n v="227473.35"/>
    <n v="2571940"/>
    <x v="131"/>
  </r>
  <r>
    <x v="0"/>
    <s v="60"/>
    <x v="44"/>
    <x v="0"/>
    <n v="247999.08"/>
    <n v="801512"/>
    <x v="132"/>
  </r>
  <r>
    <x v="0"/>
    <s v="60"/>
    <x v="44"/>
    <x v="1"/>
    <n v="104879.3"/>
    <n v="801512"/>
    <x v="133"/>
  </r>
  <r>
    <x v="0"/>
    <s v="60"/>
    <x v="44"/>
    <x v="2"/>
    <n v="105907.67"/>
    <n v="801512"/>
    <x v="134"/>
  </r>
  <r>
    <x v="0"/>
    <s v="62"/>
    <x v="45"/>
    <x v="0"/>
    <n v="452536.48"/>
    <n v="1461257"/>
    <x v="135"/>
  </r>
  <r>
    <x v="0"/>
    <s v="62"/>
    <x v="45"/>
    <x v="1"/>
    <n v="276053.26"/>
    <n v="1461257"/>
    <x v="136"/>
  </r>
  <r>
    <x v="0"/>
    <s v="62"/>
    <x v="45"/>
    <x v="2"/>
    <n v="177242.55"/>
    <n v="1461257"/>
    <x v="137"/>
  </r>
  <r>
    <x v="0"/>
    <s v="80"/>
    <x v="46"/>
    <x v="0"/>
    <n v="178898.55"/>
    <n v="569775"/>
    <x v="138"/>
  </r>
  <r>
    <x v="0"/>
    <s v="80"/>
    <x v="46"/>
    <x v="1"/>
    <n v="68415.429999999993"/>
    <n v="569775"/>
    <x v="139"/>
  </r>
  <r>
    <x v="0"/>
    <s v="80"/>
    <x v="46"/>
    <x v="2"/>
    <n v="88908.18"/>
    <n v="569775"/>
    <x v="140"/>
  </r>
  <r>
    <x v="0"/>
    <s v="75"/>
    <x v="47"/>
    <x v="0"/>
    <n v="841716"/>
    <n v="2234105"/>
    <x v="141"/>
  </r>
  <r>
    <x v="0"/>
    <s v="75"/>
    <x v="47"/>
    <x v="1"/>
    <n v="232434.21"/>
    <n v="2234105"/>
    <x v="142"/>
  </r>
  <r>
    <x v="0"/>
    <s v="75"/>
    <x v="47"/>
    <x v="2"/>
    <n v="10799.08"/>
    <n v="2234105"/>
    <x v="143"/>
  </r>
  <r>
    <x v="0"/>
    <s v="77"/>
    <x v="48"/>
    <x v="0"/>
    <n v="401748.36"/>
    <n v="1313414"/>
    <x v="144"/>
  </r>
  <r>
    <x v="0"/>
    <s v="77"/>
    <x v="48"/>
    <x v="1"/>
    <n v="156022.16"/>
    <n v="1313414"/>
    <x v="145"/>
  </r>
  <r>
    <x v="0"/>
    <s v="77"/>
    <x v="48"/>
    <x v="2"/>
    <n v="121483.39"/>
    <n v="1313414"/>
    <x v="146"/>
  </r>
  <r>
    <x v="0"/>
    <s v="78"/>
    <x v="49"/>
    <x v="0"/>
    <n v="382877.98"/>
    <n v="1407560"/>
    <x v="147"/>
  </r>
  <r>
    <x v="0"/>
    <s v="78"/>
    <x v="49"/>
    <x v="1"/>
    <n v="188324.08"/>
    <n v="1407560"/>
    <x v="148"/>
  </r>
  <r>
    <x v="0"/>
    <s v="78"/>
    <x v="49"/>
    <x v="2"/>
    <n v="59356.07"/>
    <n v="1407560"/>
    <x v="149"/>
  </r>
  <r>
    <x v="0"/>
    <s v="91"/>
    <x v="50"/>
    <x v="0"/>
    <n v="341958.91"/>
    <n v="1208004"/>
    <x v="150"/>
  </r>
  <r>
    <x v="0"/>
    <s v="91"/>
    <x v="50"/>
    <x v="1"/>
    <n v="181734.95"/>
    <n v="1208004"/>
    <x v="151"/>
  </r>
  <r>
    <x v="0"/>
    <s v="91"/>
    <x v="50"/>
    <x v="2"/>
    <n v="66673.37"/>
    <n v="1208004"/>
    <x v="152"/>
  </r>
  <r>
    <x v="0"/>
    <s v="92"/>
    <x v="51"/>
    <x v="0"/>
    <n v="488118.44"/>
    <n v="1561745"/>
    <x v="153"/>
  </r>
  <r>
    <x v="0"/>
    <s v="92"/>
    <x v="51"/>
    <x v="1"/>
    <n v="130702.16"/>
    <n v="1561745"/>
    <x v="154"/>
  </r>
  <r>
    <x v="0"/>
    <s v="92"/>
    <x v="51"/>
    <x v="2"/>
    <n v="13868.77"/>
    <n v="1561745"/>
    <x v="155"/>
  </r>
  <r>
    <x v="0"/>
    <s v="93"/>
    <x v="52"/>
    <x v="0"/>
    <n v="491161.3"/>
    <n v="1515983"/>
    <x v="156"/>
  </r>
  <r>
    <x v="0"/>
    <s v="93"/>
    <x v="52"/>
    <x v="1"/>
    <n v="121130.39"/>
    <n v="1515983"/>
    <x v="157"/>
  </r>
  <r>
    <x v="0"/>
    <s v="93"/>
    <x v="52"/>
    <x v="2"/>
    <n v="39059.46"/>
    <n v="1515983"/>
    <x v="158"/>
  </r>
  <r>
    <x v="0"/>
    <s v="94"/>
    <x v="53"/>
    <x v="0"/>
    <n v="387397.51"/>
    <n v="1318537"/>
    <x v="159"/>
  </r>
  <r>
    <x v="0"/>
    <s v="94"/>
    <x v="53"/>
    <x v="1"/>
    <n v="131157.97"/>
    <n v="1318537"/>
    <x v="160"/>
  </r>
  <r>
    <x v="0"/>
    <s v="94"/>
    <x v="53"/>
    <x v="2"/>
    <n v="32096.55"/>
    <n v="1318537"/>
    <x v="161"/>
  </r>
  <r>
    <x v="0"/>
    <s v="95"/>
    <x v="54"/>
    <x v="0"/>
    <n v="362908.32"/>
    <n v="1168892"/>
    <x v="162"/>
  </r>
  <r>
    <x v="0"/>
    <s v="95"/>
    <x v="54"/>
    <x v="1"/>
    <n v="117204.91"/>
    <n v="1168892"/>
    <x v="163"/>
  </r>
  <r>
    <x v="0"/>
    <s v="95"/>
    <x v="54"/>
    <x v="2"/>
    <n v="60990.54"/>
    <n v="1168892"/>
    <x v="164"/>
  </r>
  <r>
    <x v="0"/>
    <s v="14"/>
    <x v="55"/>
    <x v="0"/>
    <n v="211650.49"/>
    <n v="680908"/>
    <x v="165"/>
  </r>
  <r>
    <x v="0"/>
    <s v="14"/>
    <x v="55"/>
    <x v="1"/>
    <n v="94997.03"/>
    <n v="680908"/>
    <x v="166"/>
  </r>
  <r>
    <x v="0"/>
    <s v="14"/>
    <x v="55"/>
    <x v="2"/>
    <n v="116859.01"/>
    <n v="680908"/>
    <x v="167"/>
  </r>
  <r>
    <x v="0"/>
    <s v="27"/>
    <x v="56"/>
    <x v="0"/>
    <n v="167151.82999999999"/>
    <n v="582822"/>
    <x v="168"/>
  </r>
  <r>
    <x v="0"/>
    <s v="27"/>
    <x v="56"/>
    <x v="1"/>
    <n v="52027.54"/>
    <n v="582822"/>
    <x v="169"/>
  </r>
  <r>
    <x v="0"/>
    <s v="27"/>
    <x v="56"/>
    <x v="2"/>
    <n v="125644.84"/>
    <n v="582822"/>
    <x v="170"/>
  </r>
  <r>
    <x v="0"/>
    <s v="50"/>
    <x v="57"/>
    <x v="0"/>
    <n v="137505.18"/>
    <n v="497762"/>
    <x v="171"/>
  </r>
  <r>
    <x v="0"/>
    <s v="50"/>
    <x v="57"/>
    <x v="1"/>
    <n v="58134"/>
    <n v="497762"/>
    <x v="172"/>
  </r>
  <r>
    <x v="0"/>
    <s v="50"/>
    <x v="57"/>
    <x v="2"/>
    <n v="118144.94"/>
    <n v="497762"/>
    <x v="173"/>
  </r>
  <r>
    <x v="0"/>
    <s v="61"/>
    <x v="58"/>
    <x v="0"/>
    <n v="77695"/>
    <n v="292210"/>
    <x v="174"/>
  </r>
  <r>
    <x v="0"/>
    <s v="61"/>
    <x v="58"/>
    <x v="1"/>
    <n v="22138.6"/>
    <n v="292210"/>
    <x v="175"/>
  </r>
  <r>
    <x v="0"/>
    <s v="61"/>
    <x v="58"/>
    <x v="2"/>
    <n v="58061.72"/>
    <n v="292210"/>
    <x v="176"/>
  </r>
  <r>
    <x v="0"/>
    <s v="76"/>
    <x v="59"/>
    <x v="0"/>
    <n v="392610.41"/>
    <n v="1250120"/>
    <x v="177"/>
  </r>
  <r>
    <x v="0"/>
    <s v="76"/>
    <x v="59"/>
    <x v="1"/>
    <n v="148926.99"/>
    <n v="1250120"/>
    <x v="178"/>
  </r>
  <r>
    <x v="0"/>
    <s v="76"/>
    <x v="59"/>
    <x v="2"/>
    <n v="207231.55"/>
    <n v="1250120"/>
    <x v="179"/>
  </r>
  <r>
    <x v="0"/>
    <s v="16"/>
    <x v="60"/>
    <x v="0"/>
    <n v="81491.899999999994"/>
    <n v="351563"/>
    <x v="180"/>
  </r>
  <r>
    <x v="0"/>
    <s v="16"/>
    <x v="60"/>
    <x v="1"/>
    <n v="33160.9"/>
    <n v="351563"/>
    <x v="181"/>
  </r>
  <r>
    <x v="0"/>
    <s v="16"/>
    <x v="60"/>
    <x v="2"/>
    <n v="62838.79"/>
    <n v="351563"/>
    <x v="182"/>
  </r>
  <r>
    <x v="0"/>
    <s v="17"/>
    <x v="61"/>
    <x v="0"/>
    <n v="204587.63"/>
    <n v="616607"/>
    <x v="183"/>
  </r>
  <r>
    <x v="0"/>
    <s v="17"/>
    <x v="61"/>
    <x v="1"/>
    <n v="66068.94"/>
    <n v="616607"/>
    <x v="184"/>
  </r>
  <r>
    <x v="0"/>
    <s v="17"/>
    <x v="61"/>
    <x v="2"/>
    <n v="130805.44"/>
    <n v="616607"/>
    <x v="185"/>
  </r>
  <r>
    <x v="0"/>
    <s v="19"/>
    <x v="62"/>
    <x v="0"/>
    <n v="74748.88"/>
    <n v="243352"/>
    <x v="186"/>
  </r>
  <r>
    <x v="0"/>
    <s v="19"/>
    <x v="62"/>
    <x v="1"/>
    <n v="15002.38"/>
    <n v="243352"/>
    <x v="187"/>
  </r>
  <r>
    <x v="0"/>
    <s v="19"/>
    <x v="62"/>
    <x v="2"/>
    <n v="35029.660000000003"/>
    <n v="243352"/>
    <x v="188"/>
  </r>
  <r>
    <x v="0"/>
    <s v="23"/>
    <x v="63"/>
    <x v="0"/>
    <n v="30897.74"/>
    <n v="123584"/>
    <x v="189"/>
  </r>
  <r>
    <x v="0"/>
    <s v="23"/>
    <x v="63"/>
    <x v="1"/>
    <n v="11221.12"/>
    <n v="123584"/>
    <x v="190"/>
  </r>
  <r>
    <x v="0"/>
    <s v="23"/>
    <x v="63"/>
    <x v="2"/>
    <n v="14359.74"/>
    <n v="123584"/>
    <x v="191"/>
  </r>
  <r>
    <x v="0"/>
    <s v="24"/>
    <x v="64"/>
    <x v="0"/>
    <n v="117414.83"/>
    <n v="412082"/>
    <x v="192"/>
  </r>
  <r>
    <x v="0"/>
    <s v="24"/>
    <x v="64"/>
    <x v="1"/>
    <n v="34875.69"/>
    <n v="412082"/>
    <x v="193"/>
  </r>
  <r>
    <x v="0"/>
    <s v="24"/>
    <x v="64"/>
    <x v="2"/>
    <n v="102321.97"/>
    <n v="412082"/>
    <x v="194"/>
  </r>
  <r>
    <x v="0"/>
    <s v="33"/>
    <x v="65"/>
    <x v="0"/>
    <n v="400971.77"/>
    <n v="1434661"/>
    <x v="195"/>
  </r>
  <r>
    <x v="0"/>
    <s v="33"/>
    <x v="65"/>
    <x v="1"/>
    <n v="135958.31"/>
    <n v="1434661"/>
    <x v="196"/>
  </r>
  <r>
    <x v="0"/>
    <s v="33"/>
    <x v="65"/>
    <x v="2"/>
    <n v="260907.39"/>
    <n v="1434661"/>
    <x v="197"/>
  </r>
  <r>
    <x v="0"/>
    <s v="40"/>
    <x v="66"/>
    <x v="0"/>
    <n v="131554.13"/>
    <n v="379341"/>
    <x v="198"/>
  </r>
  <r>
    <x v="0"/>
    <s v="40"/>
    <x v="66"/>
    <x v="1"/>
    <n v="29267.29"/>
    <n v="379341"/>
    <x v="199"/>
  </r>
  <r>
    <x v="0"/>
    <s v="40"/>
    <x v="66"/>
    <x v="2"/>
    <n v="149470.62"/>
    <n v="379341"/>
    <x v="200"/>
  </r>
  <r>
    <x v="0"/>
    <s v="47"/>
    <x v="67"/>
    <x v="0"/>
    <n v="95185.44"/>
    <n v="329697"/>
    <x v="201"/>
  </r>
  <r>
    <x v="0"/>
    <s v="47"/>
    <x v="67"/>
    <x v="1"/>
    <n v="33354.730000000003"/>
    <n v="329697"/>
    <x v="202"/>
  </r>
  <r>
    <x v="0"/>
    <s v="47"/>
    <x v="67"/>
    <x v="2"/>
    <n v="46446.07"/>
    <n v="329697"/>
    <x v="203"/>
  </r>
  <r>
    <x v="0"/>
    <s v="64"/>
    <x v="68"/>
    <x v="0"/>
    <n v="187179.87"/>
    <n v="650356"/>
    <x v="204"/>
  </r>
  <r>
    <x v="0"/>
    <s v="64"/>
    <x v="68"/>
    <x v="1"/>
    <n v="64965.82"/>
    <n v="650356"/>
    <x v="205"/>
  </r>
  <r>
    <x v="0"/>
    <s v="64"/>
    <x v="68"/>
    <x v="2"/>
    <n v="101665.53"/>
    <n v="650356"/>
    <x v="206"/>
  </r>
  <r>
    <x v="0"/>
    <s v="79"/>
    <x v="69"/>
    <x v="0"/>
    <n v="77704.42"/>
    <n v="366339"/>
    <x v="207"/>
  </r>
  <r>
    <x v="0"/>
    <s v="79"/>
    <x v="69"/>
    <x v="1"/>
    <n v="38139.29"/>
    <n v="366339"/>
    <x v="208"/>
  </r>
  <r>
    <x v="0"/>
    <s v="79"/>
    <x v="69"/>
    <x v="2"/>
    <n v="72181.119999999995"/>
    <n v="366339"/>
    <x v="209"/>
  </r>
  <r>
    <x v="0"/>
    <s v="86"/>
    <x v="70"/>
    <x v="0"/>
    <n v="99488.28"/>
    <n v="426066"/>
    <x v="210"/>
  </r>
  <r>
    <x v="0"/>
    <s v="86"/>
    <x v="70"/>
    <x v="1"/>
    <n v="38646.050000000003"/>
    <n v="426066"/>
    <x v="211"/>
  </r>
  <r>
    <x v="0"/>
    <s v="86"/>
    <x v="70"/>
    <x v="2"/>
    <n v="79150.11"/>
    <n v="426066"/>
    <x v="212"/>
  </r>
  <r>
    <x v="0"/>
    <s v="87"/>
    <x v="71"/>
    <x v="0"/>
    <n v="93524.67"/>
    <n v="374849"/>
    <x v="213"/>
  </r>
  <r>
    <x v="0"/>
    <s v="87"/>
    <x v="71"/>
    <x v="1"/>
    <n v="33146.68"/>
    <n v="374849"/>
    <x v="214"/>
  </r>
  <r>
    <x v="0"/>
    <s v="87"/>
    <x v="71"/>
    <x v="2"/>
    <n v="53496.639999999999"/>
    <n v="374849"/>
    <x v="215"/>
  </r>
  <r>
    <x v="0"/>
    <s v="09"/>
    <x v="72"/>
    <x v="0"/>
    <n v="48291.87"/>
    <n v="151117"/>
    <x v="216"/>
  </r>
  <r>
    <x v="0"/>
    <s v="09"/>
    <x v="72"/>
    <x v="1"/>
    <n v="26100.85"/>
    <n v="151117"/>
    <x v="217"/>
  </r>
  <r>
    <x v="0"/>
    <s v="09"/>
    <x v="72"/>
    <x v="2"/>
    <n v="24781.040000000001"/>
    <n v="151117"/>
    <x v="218"/>
  </r>
  <r>
    <x v="0"/>
    <s v="11"/>
    <x v="73"/>
    <x v="0"/>
    <n v="128282.99"/>
    <n v="353980"/>
    <x v="219"/>
  </r>
  <r>
    <x v="0"/>
    <s v="11"/>
    <x v="73"/>
    <x v="1"/>
    <n v="25245.94"/>
    <n v="353980"/>
    <x v="220"/>
  </r>
  <r>
    <x v="0"/>
    <s v="11"/>
    <x v="73"/>
    <x v="2"/>
    <n v="64955.55"/>
    <n v="353980"/>
    <x v="221"/>
  </r>
  <r>
    <x v="0"/>
    <s v="12"/>
    <x v="74"/>
    <x v="0"/>
    <n v="67132.45"/>
    <n v="277048"/>
    <x v="222"/>
  </r>
  <r>
    <x v="0"/>
    <s v="12"/>
    <x v="74"/>
    <x v="1"/>
    <n v="29319.13"/>
    <n v="277048"/>
    <x v="223"/>
  </r>
  <r>
    <x v="0"/>
    <s v="12"/>
    <x v="74"/>
    <x v="2"/>
    <n v="36075.339999999997"/>
    <n v="277048"/>
    <x v="224"/>
  </r>
  <r>
    <x v="0"/>
    <s v="30"/>
    <x v="75"/>
    <x v="0"/>
    <n v="213229.21"/>
    <n v="701883"/>
    <x v="225"/>
  </r>
  <r>
    <x v="0"/>
    <s v="30"/>
    <x v="75"/>
    <x v="1"/>
    <n v="58326.46"/>
    <n v="701883"/>
    <x v="226"/>
  </r>
  <r>
    <x v="0"/>
    <s v="30"/>
    <x v="75"/>
    <x v="2"/>
    <n v="126546.71"/>
    <n v="701883"/>
    <x v="227"/>
  </r>
  <r>
    <x v="0"/>
    <s v="31"/>
    <x v="76"/>
    <x v="0"/>
    <n v="351304.41"/>
    <n v="1230820"/>
    <x v="228"/>
  </r>
  <r>
    <x v="0"/>
    <s v="31"/>
    <x v="76"/>
    <x v="1"/>
    <n v="139775.42000000001"/>
    <n v="1230820"/>
    <x v="229"/>
  </r>
  <r>
    <x v="0"/>
    <s v="31"/>
    <x v="76"/>
    <x v="2"/>
    <n v="108567.42"/>
    <n v="1230820"/>
    <x v="230"/>
  </r>
  <r>
    <x v="0"/>
    <s v="32"/>
    <x v="77"/>
    <x v="0"/>
    <n v="48686.720000000001"/>
    <n v="187181"/>
    <x v="231"/>
  </r>
  <r>
    <x v="0"/>
    <s v="32"/>
    <x v="77"/>
    <x v="1"/>
    <n v="15833.88"/>
    <n v="187181"/>
    <x v="232"/>
  </r>
  <r>
    <x v="0"/>
    <s v="32"/>
    <x v="77"/>
    <x v="2"/>
    <n v="25027.06"/>
    <n v="187181"/>
    <x v="233"/>
  </r>
  <r>
    <x v="0"/>
    <s v="34"/>
    <x v="78"/>
    <x v="0"/>
    <n v="356205.55"/>
    <n v="1031974"/>
    <x v="234"/>
  </r>
  <r>
    <x v="0"/>
    <s v="34"/>
    <x v="78"/>
    <x v="1"/>
    <n v="99651.35"/>
    <n v="1031974"/>
    <x v="235"/>
  </r>
  <r>
    <x v="0"/>
    <s v="34"/>
    <x v="78"/>
    <x v="2"/>
    <n v="202665.61"/>
    <n v="1031974"/>
    <x v="236"/>
  </r>
  <r>
    <x v="0"/>
    <s v="46"/>
    <x v="79"/>
    <x v="0"/>
    <n v="43547.199999999997"/>
    <n v="173562"/>
    <x v="237"/>
  </r>
  <r>
    <x v="0"/>
    <s v="46"/>
    <x v="79"/>
    <x v="1"/>
    <n v="21321.05"/>
    <n v="173562"/>
    <x v="238"/>
  </r>
  <r>
    <x v="0"/>
    <s v="46"/>
    <x v="79"/>
    <x v="2"/>
    <n v="26897"/>
    <n v="173562"/>
    <x v="239"/>
  </r>
  <r>
    <x v="0"/>
    <s v="48"/>
    <x v="80"/>
    <x v="0"/>
    <n v="22393.06"/>
    <n v="77163"/>
    <x v="240"/>
  </r>
  <r>
    <x v="0"/>
    <s v="48"/>
    <x v="80"/>
    <x v="1"/>
    <n v="5857.55"/>
    <n v="77163"/>
    <x v="241"/>
  </r>
  <r>
    <x v="0"/>
    <s v="48"/>
    <x v="80"/>
    <x v="2"/>
    <n v="11576"/>
    <n v="77163"/>
    <x v="242"/>
  </r>
  <r>
    <x v="0"/>
    <s v="65"/>
    <x v="81"/>
    <x v="0"/>
    <n v="74224.490000000005"/>
    <n v="229670"/>
    <x v="243"/>
  </r>
  <r>
    <x v="0"/>
    <s v="65"/>
    <x v="81"/>
    <x v="1"/>
    <n v="22653.43"/>
    <n v="229670"/>
    <x v="244"/>
  </r>
  <r>
    <x v="0"/>
    <s v="65"/>
    <x v="81"/>
    <x v="2"/>
    <n v="42518.400000000001"/>
    <n v="229670"/>
    <x v="245"/>
  </r>
  <r>
    <x v="0"/>
    <s v="66"/>
    <x v="82"/>
    <x v="0"/>
    <n v="171142.63"/>
    <n v="445890"/>
    <x v="246"/>
  </r>
  <r>
    <x v="0"/>
    <s v="66"/>
    <x v="82"/>
    <x v="1"/>
    <n v="42805.22"/>
    <n v="445890"/>
    <x v="247"/>
  </r>
  <r>
    <x v="0"/>
    <s v="66"/>
    <x v="82"/>
    <x v="2"/>
    <n v="61538.25"/>
    <n v="445890"/>
    <x v="248"/>
  </r>
  <r>
    <x v="0"/>
    <s v="81"/>
    <x v="83"/>
    <x v="0"/>
    <n v="99683.91"/>
    <n v="374018"/>
    <x v="249"/>
  </r>
  <r>
    <x v="0"/>
    <s v="81"/>
    <x v="83"/>
    <x v="1"/>
    <n v="31987.52"/>
    <n v="374018"/>
    <x v="250"/>
  </r>
  <r>
    <x v="0"/>
    <s v="81"/>
    <x v="83"/>
    <x v="2"/>
    <n v="48489.65"/>
    <n v="374018"/>
    <x v="251"/>
  </r>
  <r>
    <x v="0"/>
    <s v="82"/>
    <x v="84"/>
    <x v="0"/>
    <n v="66988.41"/>
    <n v="239291"/>
    <x v="252"/>
  </r>
  <r>
    <x v="0"/>
    <s v="82"/>
    <x v="84"/>
    <x v="1"/>
    <n v="23160.69"/>
    <n v="239291"/>
    <x v="253"/>
  </r>
  <r>
    <x v="0"/>
    <s v="82"/>
    <x v="84"/>
    <x v="2"/>
    <n v="24737.49"/>
    <n v="239291"/>
    <x v="254"/>
  </r>
  <r>
    <x v="0"/>
    <s v="44"/>
    <x v="85"/>
    <x v="0"/>
    <n v="313925.5"/>
    <n v="1266358"/>
    <x v="255"/>
  </r>
  <r>
    <x v="0"/>
    <s v="44"/>
    <x v="85"/>
    <x v="1"/>
    <n v="118739.67"/>
    <n v="1266358"/>
    <x v="256"/>
  </r>
  <r>
    <x v="0"/>
    <s v="44"/>
    <x v="85"/>
    <x v="2"/>
    <n v="233458.46"/>
    <n v="1266358"/>
    <x v="257"/>
  </r>
  <r>
    <x v="0"/>
    <s v="49"/>
    <x v="86"/>
    <x v="0"/>
    <n v="155963.97"/>
    <n v="780082"/>
    <x v="258"/>
  </r>
  <r>
    <x v="0"/>
    <s v="49"/>
    <x v="86"/>
    <x v="1"/>
    <n v="76899.94"/>
    <n v="780082"/>
    <x v="259"/>
  </r>
  <r>
    <x v="0"/>
    <s v="49"/>
    <x v="86"/>
    <x v="2"/>
    <n v="125924.72"/>
    <n v="780082"/>
    <x v="260"/>
  </r>
  <r>
    <x v="0"/>
    <s v="53"/>
    <x v="87"/>
    <x v="0"/>
    <n v="71384.66"/>
    <n v="305147"/>
    <x v="261"/>
  </r>
  <r>
    <x v="0"/>
    <s v="53"/>
    <x v="87"/>
    <x v="1"/>
    <n v="27597.91"/>
    <n v="305147"/>
    <x v="262"/>
  </r>
  <r>
    <x v="0"/>
    <s v="53"/>
    <x v="87"/>
    <x v="2"/>
    <n v="53001.67"/>
    <n v="305147"/>
    <x v="263"/>
  </r>
  <r>
    <x v="0"/>
    <s v="72"/>
    <x v="88"/>
    <x v="0"/>
    <n v="133077.31"/>
    <n v="561050"/>
    <x v="264"/>
  </r>
  <r>
    <x v="0"/>
    <s v="72"/>
    <x v="88"/>
    <x v="1"/>
    <n v="58710.05"/>
    <n v="561050"/>
    <x v="265"/>
  </r>
  <r>
    <x v="0"/>
    <s v="72"/>
    <x v="88"/>
    <x v="2"/>
    <n v="77098.509999999995"/>
    <n v="561050"/>
    <x v="266"/>
  </r>
  <r>
    <x v="0"/>
    <s v="85"/>
    <x v="89"/>
    <x v="0"/>
    <n v="150046.42000000001"/>
    <n v="626411"/>
    <x v="267"/>
  </r>
  <r>
    <x v="0"/>
    <s v="85"/>
    <x v="89"/>
    <x v="1"/>
    <n v="71470.03"/>
    <n v="626411"/>
    <x v="268"/>
  </r>
  <r>
    <x v="0"/>
    <s v="85"/>
    <x v="89"/>
    <x v="2"/>
    <n v="151104.87"/>
    <n v="626411"/>
    <x v="269"/>
  </r>
  <r>
    <x v="0"/>
    <s v="04"/>
    <x v="90"/>
    <x v="0"/>
    <n v="61807.96"/>
    <n v="159450"/>
    <x v="270"/>
  </r>
  <r>
    <x v="0"/>
    <s v="04"/>
    <x v="90"/>
    <x v="1"/>
    <n v="11970.17"/>
    <n v="159450"/>
    <x v="271"/>
  </r>
  <r>
    <x v="0"/>
    <s v="04"/>
    <x v="90"/>
    <x v="2"/>
    <n v="25414.95"/>
    <n v="159450"/>
    <x v="272"/>
  </r>
  <r>
    <x v="0"/>
    <s v="05"/>
    <x v="91"/>
    <x v="0"/>
    <n v="52641.09"/>
    <n v="135836"/>
    <x v="273"/>
  </r>
  <r>
    <x v="0"/>
    <s v="05"/>
    <x v="91"/>
    <x v="1"/>
    <n v="11947.99"/>
    <n v="135836"/>
    <x v="274"/>
  </r>
  <r>
    <x v="0"/>
    <s v="05"/>
    <x v="91"/>
    <x v="2"/>
    <n v="25450.93"/>
    <n v="135836"/>
    <x v="275"/>
  </r>
  <r>
    <x v="0"/>
    <s v="06"/>
    <x v="92"/>
    <x v="0"/>
    <n v="487684"/>
    <n v="1079100"/>
    <x v="276"/>
  </r>
  <r>
    <x v="0"/>
    <s v="06"/>
    <x v="92"/>
    <x v="1"/>
    <n v="107160.31"/>
    <n v="1079100"/>
    <x v="277"/>
  </r>
  <r>
    <x v="0"/>
    <s v="06"/>
    <x v="92"/>
    <x v="2"/>
    <n v="132378.97"/>
    <n v="1079100"/>
    <x v="278"/>
  </r>
  <r>
    <x v="0"/>
    <s v="13"/>
    <x v="93"/>
    <x v="0"/>
    <n v="797275.97"/>
    <n v="1967299"/>
    <x v="279"/>
  </r>
  <r>
    <x v="0"/>
    <s v="13"/>
    <x v="93"/>
    <x v="1"/>
    <n v="120182.97"/>
    <n v="1967299"/>
    <x v="280"/>
  </r>
  <r>
    <x v="0"/>
    <s v="13"/>
    <x v="93"/>
    <x v="2"/>
    <n v="265506.34000000003"/>
    <n v="1967299"/>
    <x v="281"/>
  </r>
  <r>
    <x v="0"/>
    <s v="83"/>
    <x v="94"/>
    <x v="0"/>
    <n v="482363.44"/>
    <n v="1007303"/>
    <x v="282"/>
  </r>
  <r>
    <x v="0"/>
    <s v="83"/>
    <x v="94"/>
    <x v="1"/>
    <n v="88390.16"/>
    <n v="1007303"/>
    <x v="283"/>
  </r>
  <r>
    <x v="0"/>
    <s v="83"/>
    <x v="94"/>
    <x v="2"/>
    <n v="154242.93"/>
    <n v="1007303"/>
    <x v="284"/>
  </r>
  <r>
    <x v="0"/>
    <s v="84"/>
    <x v="95"/>
    <x v="0"/>
    <n v="202492.62"/>
    <n v="540065"/>
    <x v="285"/>
  </r>
  <r>
    <x v="0"/>
    <s v="84"/>
    <x v="95"/>
    <x v="1"/>
    <n v="33456.81"/>
    <n v="540065"/>
    <x v="286"/>
  </r>
  <r>
    <x v="0"/>
    <s v="84"/>
    <x v="95"/>
    <x v="2"/>
    <n v="84577.63"/>
    <n v="540065"/>
    <x v="287"/>
  </r>
  <r>
    <x v="1"/>
    <s v="01"/>
    <x v="0"/>
    <x v="0"/>
    <n v="133143.66"/>
    <n v="603827"/>
    <x v="288"/>
  </r>
  <r>
    <x v="1"/>
    <s v="01"/>
    <x v="0"/>
    <x v="1"/>
    <n v="44981.54"/>
    <n v="603827"/>
    <x v="289"/>
  </r>
  <r>
    <x v="1"/>
    <s v="01"/>
    <x v="0"/>
    <x v="2"/>
    <n v="118248.82"/>
    <n v="603827"/>
    <x v="290"/>
  </r>
  <r>
    <x v="1"/>
    <s v="03"/>
    <x v="1"/>
    <x v="0"/>
    <n v="100069.65"/>
    <n v="342729"/>
    <x v="291"/>
  </r>
  <r>
    <x v="1"/>
    <s v="03"/>
    <x v="1"/>
    <x v="1"/>
    <n v="28309.87"/>
    <n v="342729"/>
    <x v="292"/>
  </r>
  <r>
    <x v="1"/>
    <s v="03"/>
    <x v="1"/>
    <x v="2"/>
    <n v="44269.89"/>
    <n v="342729"/>
    <x v="293"/>
  </r>
  <r>
    <x v="1"/>
    <s v="07"/>
    <x v="2"/>
    <x v="0"/>
    <n v="85587.86"/>
    <n v="317277"/>
    <x v="294"/>
  </r>
  <r>
    <x v="1"/>
    <s v="07"/>
    <x v="2"/>
    <x v="1"/>
    <n v="24031.29"/>
    <n v="317277"/>
    <x v="295"/>
  </r>
  <r>
    <x v="1"/>
    <s v="07"/>
    <x v="2"/>
    <x v="2"/>
    <n v="42843.12"/>
    <n v="317277"/>
    <x v="296"/>
  </r>
  <r>
    <x v="1"/>
    <s v="15"/>
    <x v="3"/>
    <x v="0"/>
    <n v="55762.07"/>
    <n v="147577"/>
    <x v="297"/>
  </r>
  <r>
    <x v="1"/>
    <s v="15"/>
    <x v="3"/>
    <x v="1"/>
    <n v="10695.43"/>
    <n v="147577"/>
    <x v="298"/>
  </r>
  <r>
    <x v="1"/>
    <s v="15"/>
    <x v="3"/>
    <x v="2"/>
    <n v="18563.810000000001"/>
    <n v="147577"/>
    <x v="299"/>
  </r>
  <r>
    <x v="1"/>
    <s v="26"/>
    <x v="4"/>
    <x v="0"/>
    <n v="129488.86"/>
    <n v="487993"/>
    <x v="300"/>
  </r>
  <r>
    <x v="1"/>
    <s v="26"/>
    <x v="4"/>
    <x v="1"/>
    <n v="34889.769999999997"/>
    <n v="487993"/>
    <x v="301"/>
  </r>
  <r>
    <x v="1"/>
    <s v="26"/>
    <x v="4"/>
    <x v="2"/>
    <n v="83014"/>
    <n v="487993"/>
    <x v="302"/>
  </r>
  <r>
    <x v="1"/>
    <s v="38"/>
    <x v="5"/>
    <x v="0"/>
    <n v="287665.56"/>
    <n v="1215212"/>
    <x v="303"/>
  </r>
  <r>
    <x v="1"/>
    <s v="38"/>
    <x v="5"/>
    <x v="1"/>
    <n v="103598.56"/>
    <n v="1215212"/>
    <x v="304"/>
  </r>
  <r>
    <x v="1"/>
    <s v="38"/>
    <x v="5"/>
    <x v="2"/>
    <n v="248587.57"/>
    <n v="1215212"/>
    <x v="305"/>
  </r>
  <r>
    <x v="1"/>
    <s v="42"/>
    <x v="6"/>
    <x v="0"/>
    <n v="192043.84"/>
    <n v="749053"/>
    <x v="306"/>
  </r>
  <r>
    <x v="1"/>
    <s v="42"/>
    <x v="6"/>
    <x v="1"/>
    <n v="58041.31"/>
    <n v="749053"/>
    <x v="307"/>
  </r>
  <r>
    <x v="1"/>
    <s v="42"/>
    <x v="6"/>
    <x v="2"/>
    <n v="106248.73"/>
    <n v="749053"/>
    <x v="308"/>
  </r>
  <r>
    <x v="1"/>
    <s v="43"/>
    <x v="7"/>
    <x v="0"/>
    <n v="54363.22"/>
    <n v="224907"/>
    <x v="309"/>
  </r>
  <r>
    <x v="1"/>
    <s v="43"/>
    <x v="7"/>
    <x v="1"/>
    <n v="17610.43"/>
    <n v="224907"/>
    <x v="310"/>
  </r>
  <r>
    <x v="1"/>
    <s v="43"/>
    <x v="7"/>
    <x v="2"/>
    <n v="29088.37"/>
    <n v="224907"/>
    <x v="311"/>
  </r>
  <r>
    <x v="1"/>
    <s v="63"/>
    <x v="8"/>
    <x v="0"/>
    <n v="154252.67000000001"/>
    <n v="635469"/>
    <x v="312"/>
  </r>
  <r>
    <x v="1"/>
    <s v="63"/>
    <x v="8"/>
    <x v="1"/>
    <n v="80773.100000000006"/>
    <n v="635469"/>
    <x v="313"/>
  </r>
  <r>
    <x v="1"/>
    <s v="63"/>
    <x v="8"/>
    <x v="2"/>
    <n v="95824.75"/>
    <n v="635469"/>
    <x v="314"/>
  </r>
  <r>
    <x v="1"/>
    <s v="69"/>
    <x v="9"/>
    <x v="0"/>
    <n v="412392.14"/>
    <n v="1744236"/>
    <x v="315"/>
  </r>
  <r>
    <x v="1"/>
    <s v="69"/>
    <x v="9"/>
    <x v="1"/>
    <n v="123937.78"/>
    <n v="1744236"/>
    <x v="316"/>
  </r>
  <r>
    <x v="1"/>
    <s v="69"/>
    <x v="9"/>
    <x v="2"/>
    <n v="176040.62"/>
    <n v="1744236"/>
    <x v="317"/>
  </r>
  <r>
    <x v="1"/>
    <s v="73"/>
    <x v="10"/>
    <x v="0"/>
    <n v="133910.16"/>
    <n v="418949"/>
    <x v="318"/>
  </r>
  <r>
    <x v="1"/>
    <s v="73"/>
    <x v="10"/>
    <x v="1"/>
    <n v="44334.14"/>
    <n v="418949"/>
    <x v="319"/>
  </r>
  <r>
    <x v="1"/>
    <s v="73"/>
    <x v="10"/>
    <x v="2"/>
    <n v="92414.12"/>
    <n v="418949"/>
    <x v="320"/>
  </r>
  <r>
    <x v="1"/>
    <s v="74"/>
    <x v="11"/>
    <x v="0"/>
    <n v="232239.7"/>
    <n v="746994"/>
    <x v="321"/>
  </r>
  <r>
    <x v="1"/>
    <s v="74"/>
    <x v="11"/>
    <x v="1"/>
    <n v="64315.27"/>
    <n v="746994"/>
    <x v="322"/>
  </r>
  <r>
    <x v="1"/>
    <s v="74"/>
    <x v="11"/>
    <x v="2"/>
    <n v="152904.24"/>
    <n v="746994"/>
    <x v="323"/>
  </r>
  <r>
    <x v="1"/>
    <s v="21"/>
    <x v="12"/>
    <x v="0"/>
    <n v="133321.85999999999"/>
    <n v="525931"/>
    <x v="324"/>
  </r>
  <r>
    <x v="1"/>
    <s v="21"/>
    <x v="12"/>
    <x v="1"/>
    <n v="52655.02"/>
    <n v="525931"/>
    <x v="325"/>
  </r>
  <r>
    <x v="1"/>
    <s v="21"/>
    <x v="12"/>
    <x v="2"/>
    <n v="82007.539999999994"/>
    <n v="525931"/>
    <x v="326"/>
  </r>
  <r>
    <x v="1"/>
    <s v="25"/>
    <x v="13"/>
    <x v="0"/>
    <n v="120625.18"/>
    <n v="529103"/>
    <x v="327"/>
  </r>
  <r>
    <x v="1"/>
    <s v="25"/>
    <x v="13"/>
    <x v="1"/>
    <n v="63541.05"/>
    <n v="529103"/>
    <x v="328"/>
  </r>
  <r>
    <x v="1"/>
    <s v="25"/>
    <x v="13"/>
    <x v="2"/>
    <n v="83945.88"/>
    <n v="529103"/>
    <x v="329"/>
  </r>
  <r>
    <x v="1"/>
    <s v="39"/>
    <x v="14"/>
    <x v="0"/>
    <n v="52357.27"/>
    <n v="261294"/>
    <x v="330"/>
  </r>
  <r>
    <x v="1"/>
    <s v="39"/>
    <x v="14"/>
    <x v="1"/>
    <n v="35824.93"/>
    <n v="261294"/>
    <x v="331"/>
  </r>
  <r>
    <x v="1"/>
    <s v="39"/>
    <x v="14"/>
    <x v="2"/>
    <n v="40240.370000000003"/>
    <n v="261294"/>
    <x v="332"/>
  </r>
  <r>
    <x v="1"/>
    <s v="58"/>
    <x v="15"/>
    <x v="0"/>
    <n v="46139.22"/>
    <n v="218341"/>
    <x v="333"/>
  </r>
  <r>
    <x v="1"/>
    <s v="58"/>
    <x v="15"/>
    <x v="1"/>
    <n v="26344.1"/>
    <n v="218341"/>
    <x v="334"/>
  </r>
  <r>
    <x v="1"/>
    <s v="58"/>
    <x v="15"/>
    <x v="2"/>
    <n v="41124.01"/>
    <n v="218341"/>
    <x v="335"/>
  </r>
  <r>
    <x v="1"/>
    <s v="70"/>
    <x v="16"/>
    <x v="0"/>
    <n v="44955.16"/>
    <n v="239695"/>
    <x v="336"/>
  </r>
  <r>
    <x v="1"/>
    <s v="70"/>
    <x v="16"/>
    <x v="1"/>
    <n v="23484.47"/>
    <n v="239695"/>
    <x v="337"/>
  </r>
  <r>
    <x v="1"/>
    <s v="70"/>
    <x v="16"/>
    <x v="2"/>
    <n v="50626.8"/>
    <n v="239695"/>
    <x v="338"/>
  </r>
  <r>
    <x v="1"/>
    <s v="71"/>
    <x v="17"/>
    <x v="0"/>
    <n v="127745.92"/>
    <n v="555999"/>
    <x v="339"/>
  </r>
  <r>
    <x v="1"/>
    <s v="71"/>
    <x v="17"/>
    <x v="1"/>
    <n v="60284.69"/>
    <n v="555999"/>
    <x v="340"/>
  </r>
  <r>
    <x v="1"/>
    <s v="71"/>
    <x v="17"/>
    <x v="2"/>
    <n v="108815.91"/>
    <n v="555999"/>
    <x v="341"/>
  </r>
  <r>
    <x v="1"/>
    <s v="89"/>
    <x v="18"/>
    <x v="0"/>
    <n v="97730.64"/>
    <n v="342463"/>
    <x v="342"/>
  </r>
  <r>
    <x v="1"/>
    <s v="89"/>
    <x v="18"/>
    <x v="1"/>
    <n v="29894.34"/>
    <n v="342463"/>
    <x v="343"/>
  </r>
  <r>
    <x v="1"/>
    <s v="89"/>
    <x v="18"/>
    <x v="2"/>
    <n v="53468.61"/>
    <n v="342463"/>
    <x v="344"/>
  </r>
  <r>
    <x v="1"/>
    <s v="90"/>
    <x v="19"/>
    <x v="0"/>
    <n v="40247.699999999997"/>
    <n v="143348"/>
    <x v="345"/>
  </r>
  <r>
    <x v="1"/>
    <s v="90"/>
    <x v="19"/>
    <x v="1"/>
    <n v="21426.720000000001"/>
    <n v="143348"/>
    <x v="346"/>
  </r>
  <r>
    <x v="1"/>
    <s v="90"/>
    <x v="19"/>
    <x v="2"/>
    <n v="11911.31"/>
    <n v="143348"/>
    <x v="347"/>
  </r>
  <r>
    <x v="1"/>
    <s v="22"/>
    <x v="20"/>
    <x v="0"/>
    <n v="149990.85"/>
    <n v="594375"/>
    <x v="348"/>
  </r>
  <r>
    <x v="1"/>
    <s v="22"/>
    <x v="20"/>
    <x v="1"/>
    <n v="59828.08"/>
    <n v="594375"/>
    <x v="349"/>
  </r>
  <r>
    <x v="1"/>
    <s v="22"/>
    <x v="20"/>
    <x v="2"/>
    <n v="159345.46"/>
    <n v="594375"/>
    <x v="350"/>
  </r>
  <r>
    <x v="1"/>
    <s v="29"/>
    <x v="21"/>
    <x v="0"/>
    <n v="239257.77"/>
    <n v="899870"/>
    <x v="351"/>
  </r>
  <r>
    <x v="1"/>
    <s v="29"/>
    <x v="21"/>
    <x v="1"/>
    <n v="127041.81"/>
    <n v="899870"/>
    <x v="352"/>
  </r>
  <r>
    <x v="1"/>
    <s v="29"/>
    <x v="21"/>
    <x v="2"/>
    <n v="246281.14"/>
    <n v="899870"/>
    <x v="353"/>
  </r>
  <r>
    <x v="1"/>
    <s v="35"/>
    <x v="22"/>
    <x v="0"/>
    <n v="213232.9"/>
    <n v="996439"/>
    <x v="354"/>
  </r>
  <r>
    <x v="1"/>
    <s v="35"/>
    <x v="22"/>
    <x v="1"/>
    <n v="103320.33"/>
    <n v="996439"/>
    <x v="355"/>
  </r>
  <r>
    <x v="1"/>
    <s v="35"/>
    <x v="22"/>
    <x v="2"/>
    <n v="160076.94"/>
    <n v="996439"/>
    <x v="356"/>
  </r>
  <r>
    <x v="1"/>
    <s v="56"/>
    <x v="23"/>
    <x v="0"/>
    <n v="170938.72"/>
    <n v="727083"/>
    <x v="357"/>
  </r>
  <r>
    <x v="1"/>
    <s v="56"/>
    <x v="23"/>
    <x v="1"/>
    <n v="87803.74"/>
    <n v="727083"/>
    <x v="358"/>
  </r>
  <r>
    <x v="1"/>
    <s v="56"/>
    <x v="23"/>
    <x v="2"/>
    <n v="159285.01999999999"/>
    <n v="727083"/>
    <x v="359"/>
  </r>
  <r>
    <x v="1"/>
    <s v="18"/>
    <x v="24"/>
    <x v="0"/>
    <n v="71088.77"/>
    <n v="311694"/>
    <x v="360"/>
  </r>
  <r>
    <x v="1"/>
    <s v="18"/>
    <x v="24"/>
    <x v="1"/>
    <n v="35029.730000000003"/>
    <n v="311694"/>
    <x v="361"/>
  </r>
  <r>
    <x v="1"/>
    <s v="18"/>
    <x v="24"/>
    <x v="2"/>
    <n v="50418.09"/>
    <n v="311694"/>
    <x v="362"/>
  </r>
  <r>
    <x v="1"/>
    <s v="28"/>
    <x v="25"/>
    <x v="0"/>
    <n v="118872.79"/>
    <n v="430416"/>
    <x v="363"/>
  </r>
  <r>
    <x v="1"/>
    <s v="28"/>
    <x v="25"/>
    <x v="1"/>
    <n v="45257.01"/>
    <n v="430416"/>
    <x v="364"/>
  </r>
  <r>
    <x v="1"/>
    <s v="28"/>
    <x v="25"/>
    <x v="2"/>
    <n v="80409.94"/>
    <n v="430416"/>
    <x v="365"/>
  </r>
  <r>
    <x v="1"/>
    <s v="36"/>
    <x v="26"/>
    <x v="0"/>
    <n v="62044.08"/>
    <n v="230175"/>
    <x v="366"/>
  </r>
  <r>
    <x v="1"/>
    <s v="36"/>
    <x v="26"/>
    <x v="1"/>
    <n v="18493.37"/>
    <n v="230175"/>
    <x v="367"/>
  </r>
  <r>
    <x v="1"/>
    <s v="36"/>
    <x v="26"/>
    <x v="2"/>
    <n v="37898.980000000003"/>
    <n v="230175"/>
    <x v="368"/>
  </r>
  <r>
    <x v="1"/>
    <s v="37"/>
    <x v="27"/>
    <x v="0"/>
    <n v="137783.32999999999"/>
    <n v="593683"/>
    <x v="369"/>
  </r>
  <r>
    <x v="1"/>
    <s v="37"/>
    <x v="27"/>
    <x v="1"/>
    <n v="74173.179999999993"/>
    <n v="593683"/>
    <x v="370"/>
  </r>
  <r>
    <x v="1"/>
    <s v="37"/>
    <x v="27"/>
    <x v="2"/>
    <n v="79273.05"/>
    <n v="593683"/>
    <x v="371"/>
  </r>
  <r>
    <x v="1"/>
    <s v="41"/>
    <x v="28"/>
    <x v="0"/>
    <n v="80535.929999999993"/>
    <n v="331280"/>
    <x v="372"/>
  </r>
  <r>
    <x v="1"/>
    <s v="41"/>
    <x v="28"/>
    <x v="1"/>
    <n v="27129.26"/>
    <n v="331280"/>
    <x v="373"/>
  </r>
  <r>
    <x v="1"/>
    <s v="41"/>
    <x v="28"/>
    <x v="2"/>
    <n v="63911.98"/>
    <n v="331280"/>
    <x v="374"/>
  </r>
  <r>
    <x v="1"/>
    <s v="45"/>
    <x v="29"/>
    <x v="0"/>
    <n v="164281.28"/>
    <n v="659587"/>
    <x v="375"/>
  </r>
  <r>
    <x v="1"/>
    <s v="45"/>
    <x v="29"/>
    <x v="1"/>
    <n v="48877.35"/>
    <n v="659587"/>
    <x v="376"/>
  </r>
  <r>
    <x v="1"/>
    <s v="45"/>
    <x v="29"/>
    <x v="2"/>
    <n v="119471.41"/>
    <n v="659587"/>
    <x v="377"/>
  </r>
  <r>
    <x v="1"/>
    <s v="2A"/>
    <x v="30"/>
    <x v="0"/>
    <n v="69796.429999999993"/>
    <n v="145846"/>
    <x v="378"/>
  </r>
  <r>
    <x v="1"/>
    <s v="2A"/>
    <x v="30"/>
    <x v="1"/>
    <n v="5815.6"/>
    <n v="145846"/>
    <x v="379"/>
  </r>
  <r>
    <x v="1"/>
    <s v="2A"/>
    <x v="30"/>
    <x v="2"/>
    <n v="11448.49"/>
    <n v="145846"/>
    <x v="380"/>
  </r>
  <r>
    <x v="1"/>
    <s v="2B"/>
    <x v="31"/>
    <x v="0"/>
    <n v="84837.92"/>
    <n v="168640"/>
    <x v="381"/>
  </r>
  <r>
    <x v="1"/>
    <s v="2B"/>
    <x v="31"/>
    <x v="1"/>
    <n v="11035.81"/>
    <n v="168640"/>
    <x v="382"/>
  </r>
  <r>
    <x v="1"/>
    <s v="2B"/>
    <x v="31"/>
    <x v="2"/>
    <n v="19933.099999999999"/>
    <n v="168640"/>
    <x v="383"/>
  </r>
  <r>
    <x v="1"/>
    <s v="08"/>
    <x v="32"/>
    <x v="0"/>
    <n v="77925.789999999994"/>
    <n v="283110"/>
    <x v="384"/>
  </r>
  <r>
    <x v="1"/>
    <s v="08"/>
    <x v="32"/>
    <x v="1"/>
    <n v="30391.77"/>
    <n v="283110"/>
    <x v="385"/>
  </r>
  <r>
    <x v="1"/>
    <s v="08"/>
    <x v="32"/>
    <x v="2"/>
    <n v="39184.33"/>
    <n v="283110"/>
    <x v="386"/>
  </r>
  <r>
    <x v="1"/>
    <s v="10"/>
    <x v="33"/>
    <x v="0"/>
    <n v="86635.22"/>
    <n v="303997"/>
    <x v="387"/>
  </r>
  <r>
    <x v="1"/>
    <s v="10"/>
    <x v="33"/>
    <x v="1"/>
    <n v="37550.870000000003"/>
    <n v="303997"/>
    <x v="388"/>
  </r>
  <r>
    <x v="1"/>
    <s v="10"/>
    <x v="33"/>
    <x v="2"/>
    <n v="39399.75"/>
    <n v="303997"/>
    <x v="389"/>
  </r>
  <r>
    <x v="1"/>
    <s v="51"/>
    <x v="34"/>
    <x v="0"/>
    <n v="145632.03"/>
    <n v="566571"/>
    <x v="390"/>
  </r>
  <r>
    <x v="1"/>
    <s v="51"/>
    <x v="34"/>
    <x v="1"/>
    <n v="60470.67"/>
    <n v="566571"/>
    <x v="391"/>
  </r>
  <r>
    <x v="1"/>
    <s v="51"/>
    <x v="34"/>
    <x v="2"/>
    <n v="74117.990000000005"/>
    <n v="566571"/>
    <x v="392"/>
  </r>
  <r>
    <x v="1"/>
    <s v="52"/>
    <x v="35"/>
    <x v="0"/>
    <n v="48031.65"/>
    <n v="182375"/>
    <x v="393"/>
  </r>
  <r>
    <x v="1"/>
    <s v="52"/>
    <x v="35"/>
    <x v="1"/>
    <n v="13973.71"/>
    <n v="182375"/>
    <x v="394"/>
  </r>
  <r>
    <x v="1"/>
    <s v="52"/>
    <x v="35"/>
    <x v="2"/>
    <n v="21721.26"/>
    <n v="182375"/>
    <x v="395"/>
  </r>
  <r>
    <x v="1"/>
    <s v="54"/>
    <x v="36"/>
    <x v="0"/>
    <n v="203616.53"/>
    <n v="733124"/>
    <x v="396"/>
  </r>
  <r>
    <x v="1"/>
    <s v="54"/>
    <x v="36"/>
    <x v="1"/>
    <n v="78151.94"/>
    <n v="733124"/>
    <x v="397"/>
  </r>
  <r>
    <x v="1"/>
    <s v="54"/>
    <x v="36"/>
    <x v="2"/>
    <n v="85222.83"/>
    <n v="733124"/>
    <x v="398"/>
  </r>
  <r>
    <x v="1"/>
    <s v="55"/>
    <x v="37"/>
    <x v="0"/>
    <n v="48945.94"/>
    <n v="193557"/>
    <x v="399"/>
  </r>
  <r>
    <x v="1"/>
    <s v="55"/>
    <x v="37"/>
    <x v="1"/>
    <n v="15497.71"/>
    <n v="193557"/>
    <x v="400"/>
  </r>
  <r>
    <x v="1"/>
    <s v="55"/>
    <x v="37"/>
    <x v="2"/>
    <n v="24623.17"/>
    <n v="193557"/>
    <x v="401"/>
  </r>
  <r>
    <x v="1"/>
    <s v="57"/>
    <x v="38"/>
    <x v="0"/>
    <n v="293176.21999999997"/>
    <n v="1045146"/>
    <x v="402"/>
  </r>
  <r>
    <x v="1"/>
    <s v="57"/>
    <x v="38"/>
    <x v="1"/>
    <n v="109203.39"/>
    <n v="1045146"/>
    <x v="403"/>
  </r>
  <r>
    <x v="1"/>
    <s v="57"/>
    <x v="38"/>
    <x v="2"/>
    <n v="147301.01999999999"/>
    <n v="1045146"/>
    <x v="404"/>
  </r>
  <r>
    <x v="1"/>
    <s v="67"/>
    <x v="39"/>
    <x v="0"/>
    <n v="276653.99"/>
    <n v="1099269"/>
    <x v="405"/>
  </r>
  <r>
    <x v="1"/>
    <s v="67"/>
    <x v="39"/>
    <x v="1"/>
    <n v="97064.54"/>
    <n v="1099269"/>
    <x v="406"/>
  </r>
  <r>
    <x v="1"/>
    <s v="67"/>
    <x v="39"/>
    <x v="2"/>
    <n v="158788.6"/>
    <n v="1099269"/>
    <x v="407"/>
  </r>
  <r>
    <x v="1"/>
    <s v="68"/>
    <x v="40"/>
    <x v="0"/>
    <n v="176887.93"/>
    <n v="753056"/>
    <x v="408"/>
  </r>
  <r>
    <x v="1"/>
    <s v="68"/>
    <x v="40"/>
    <x v="1"/>
    <n v="103028.86"/>
    <n v="753056"/>
    <x v="409"/>
  </r>
  <r>
    <x v="1"/>
    <s v="68"/>
    <x v="40"/>
    <x v="2"/>
    <n v="119802.55"/>
    <n v="753056"/>
    <x v="410"/>
  </r>
  <r>
    <x v="1"/>
    <s v="88"/>
    <x v="41"/>
    <x v="0"/>
    <n v="99566.48"/>
    <n v="378830"/>
    <x v="411"/>
  </r>
  <r>
    <x v="1"/>
    <s v="88"/>
    <x v="41"/>
    <x v="1"/>
    <n v="31930.11"/>
    <n v="378830"/>
    <x v="412"/>
  </r>
  <r>
    <x v="1"/>
    <s v="88"/>
    <x v="41"/>
    <x v="2"/>
    <n v="59089.91"/>
    <n v="378830"/>
    <x v="413"/>
  </r>
  <r>
    <x v="1"/>
    <s v="02"/>
    <x v="42"/>
    <x v="0"/>
    <n v="136441.35"/>
    <n v="541302"/>
    <x v="414"/>
  </r>
  <r>
    <x v="1"/>
    <s v="02"/>
    <x v="42"/>
    <x v="1"/>
    <n v="65975.360000000001"/>
    <n v="541302"/>
    <x v="415"/>
  </r>
  <r>
    <x v="1"/>
    <s v="02"/>
    <x v="42"/>
    <x v="2"/>
    <n v="78050.929999999993"/>
    <n v="541302"/>
    <x v="416"/>
  </r>
  <r>
    <x v="2"/>
    <s v="01"/>
    <x v="0"/>
    <x v="0"/>
    <n v="124554.16"/>
    <n v="663202"/>
    <x v="417"/>
  </r>
  <r>
    <x v="2"/>
    <s v="01"/>
    <x v="0"/>
    <x v="1"/>
    <n v="56469.61"/>
    <n v="663202"/>
    <x v="418"/>
  </r>
  <r>
    <x v="2"/>
    <s v="01"/>
    <x v="0"/>
    <x v="2"/>
    <n v="152999.14000000001"/>
    <n v="663202"/>
    <x v="419"/>
  </r>
  <r>
    <x v="2"/>
    <s v="02"/>
    <x v="42"/>
    <x v="0"/>
    <n v="115633.51"/>
    <n v="527468"/>
    <x v="420"/>
  </r>
  <r>
    <x v="2"/>
    <s v="02"/>
    <x v="42"/>
    <x v="1"/>
    <n v="63343.21"/>
    <n v="527468"/>
    <x v="421"/>
  </r>
  <r>
    <x v="2"/>
    <s v="02"/>
    <x v="42"/>
    <x v="2"/>
    <n v="115657.4"/>
    <n v="527468"/>
    <x v="422"/>
  </r>
  <r>
    <x v="2"/>
    <s v="03"/>
    <x v="1"/>
    <x v="0"/>
    <n v="79474.22"/>
    <n v="334872"/>
    <x v="423"/>
  </r>
  <r>
    <x v="2"/>
    <s v="03"/>
    <x v="1"/>
    <x v="1"/>
    <n v="37628.65"/>
    <n v="334872"/>
    <x v="424"/>
  </r>
  <r>
    <x v="2"/>
    <s v="03"/>
    <x v="1"/>
    <x v="2"/>
    <n v="72968.160000000003"/>
    <n v="334872"/>
    <x v="425"/>
  </r>
  <r>
    <x v="1"/>
    <s v="59"/>
    <x v="43"/>
    <x v="0"/>
    <n v="687770.86"/>
    <n v="2579208"/>
    <x v="426"/>
  </r>
  <r>
    <x v="1"/>
    <s v="59"/>
    <x v="43"/>
    <x v="1"/>
    <n v="432408.52"/>
    <n v="2579208"/>
    <x v="427"/>
  </r>
  <r>
    <x v="1"/>
    <s v="59"/>
    <x v="43"/>
    <x v="2"/>
    <n v="267488.21000000002"/>
    <n v="2579208"/>
    <x v="428"/>
  </r>
  <r>
    <x v="2"/>
    <s v="04"/>
    <x v="90"/>
    <x v="0"/>
    <n v="55036.09"/>
    <n v="166077"/>
    <x v="429"/>
  </r>
  <r>
    <x v="2"/>
    <s v="04"/>
    <x v="90"/>
    <x v="1"/>
    <n v="14472.75"/>
    <n v="166077"/>
    <x v="430"/>
  </r>
  <r>
    <x v="2"/>
    <s v="04"/>
    <x v="90"/>
    <x v="2"/>
    <n v="44422.43"/>
    <n v="166077"/>
    <x v="431"/>
  </r>
  <r>
    <x v="2"/>
    <s v="05"/>
    <x v="91"/>
    <x v="0"/>
    <n v="39409.379999999997"/>
    <n v="140976"/>
    <x v="432"/>
  </r>
  <r>
    <x v="2"/>
    <s v="05"/>
    <x v="91"/>
    <x v="1"/>
    <n v="15813.09"/>
    <n v="140976"/>
    <x v="433"/>
  </r>
  <r>
    <x v="2"/>
    <s v="05"/>
    <x v="91"/>
    <x v="2"/>
    <n v="31911.31"/>
    <n v="140976"/>
    <x v="434"/>
  </r>
  <r>
    <x v="2"/>
    <s v="06"/>
    <x v="92"/>
    <x v="0"/>
    <n v="411601.1"/>
    <n v="1103941"/>
    <x v="435"/>
  </r>
  <r>
    <x v="2"/>
    <s v="06"/>
    <x v="92"/>
    <x v="1"/>
    <n v="158508.68"/>
    <n v="1103941"/>
    <x v="436"/>
  </r>
  <r>
    <x v="2"/>
    <s v="06"/>
    <x v="92"/>
    <x v="2"/>
    <n v="188231.37"/>
    <n v="1103941"/>
    <x v="437"/>
  </r>
  <r>
    <x v="1"/>
    <s v="60"/>
    <x v="44"/>
    <x v="0"/>
    <n v="242394.34"/>
    <n v="805642"/>
    <x v="438"/>
  </r>
  <r>
    <x v="1"/>
    <s v="60"/>
    <x v="44"/>
    <x v="1"/>
    <n v="107804.15"/>
    <n v="805642"/>
    <x v="439"/>
  </r>
  <r>
    <x v="1"/>
    <s v="60"/>
    <x v="44"/>
    <x v="2"/>
    <n v="136034.87"/>
    <n v="805642"/>
    <x v="440"/>
  </r>
  <r>
    <x v="2"/>
    <s v="07"/>
    <x v="2"/>
    <x v="0"/>
    <n v="76392.06"/>
    <n v="331415"/>
    <x v="441"/>
  </r>
  <r>
    <x v="2"/>
    <s v="07"/>
    <x v="2"/>
    <x v="1"/>
    <n v="30735"/>
    <n v="331415"/>
    <x v="442"/>
  </r>
  <r>
    <x v="2"/>
    <s v="07"/>
    <x v="2"/>
    <x v="2"/>
    <n v="81247.06"/>
    <n v="331415"/>
    <x v="443"/>
  </r>
  <r>
    <x v="2"/>
    <s v="08"/>
    <x v="32"/>
    <x v="0"/>
    <n v="60757.49"/>
    <n v="268859"/>
    <x v="444"/>
  </r>
  <r>
    <x v="2"/>
    <s v="08"/>
    <x v="32"/>
    <x v="1"/>
    <n v="31091.68"/>
    <n v="268859"/>
    <x v="445"/>
  </r>
  <r>
    <x v="2"/>
    <s v="08"/>
    <x v="32"/>
    <x v="2"/>
    <n v="57274.6"/>
    <n v="268859"/>
    <x v="446"/>
  </r>
  <r>
    <x v="2"/>
    <s v="09"/>
    <x v="72"/>
    <x v="0"/>
    <n v="39686.589999999997"/>
    <n v="154596"/>
    <x v="447"/>
  </r>
  <r>
    <x v="2"/>
    <s v="09"/>
    <x v="72"/>
    <x v="1"/>
    <n v="11554.53"/>
    <n v="154596"/>
    <x v="448"/>
  </r>
  <r>
    <x v="2"/>
    <s v="09"/>
    <x v="72"/>
    <x v="2"/>
    <n v="49936.29"/>
    <n v="154596"/>
    <x v="449"/>
  </r>
  <r>
    <x v="1"/>
    <s v="62"/>
    <x v="45"/>
    <x v="0"/>
    <n v="440185.87"/>
    <n v="1462807"/>
    <x v="450"/>
  </r>
  <r>
    <x v="1"/>
    <s v="62"/>
    <x v="45"/>
    <x v="1"/>
    <n v="279912.13"/>
    <n v="1462807"/>
    <x v="451"/>
  </r>
  <r>
    <x v="1"/>
    <s v="62"/>
    <x v="45"/>
    <x v="2"/>
    <n v="207610.45"/>
    <n v="1462807"/>
    <x v="452"/>
  </r>
  <r>
    <x v="2"/>
    <s v="10"/>
    <x v="33"/>
    <x v="0"/>
    <n v="76612.81"/>
    <n v="311329"/>
    <x v="453"/>
  </r>
  <r>
    <x v="2"/>
    <s v="10"/>
    <x v="33"/>
    <x v="1"/>
    <n v="38660.01"/>
    <n v="311329"/>
    <x v="454"/>
  </r>
  <r>
    <x v="2"/>
    <s v="10"/>
    <x v="33"/>
    <x v="2"/>
    <n v="44316.9"/>
    <n v="311329"/>
    <x v="455"/>
  </r>
  <r>
    <x v="2"/>
    <s v="11"/>
    <x v="73"/>
    <x v="0"/>
    <n v="119468.5"/>
    <n v="376028"/>
    <x v="456"/>
  </r>
  <r>
    <x v="2"/>
    <s v="11"/>
    <x v="73"/>
    <x v="1"/>
    <n v="37838.93"/>
    <n v="376028"/>
    <x v="457"/>
  </r>
  <r>
    <x v="2"/>
    <s v="11"/>
    <x v="73"/>
    <x v="2"/>
    <n v="81732.42"/>
    <n v="376028"/>
    <x v="458"/>
  </r>
  <r>
    <x v="2"/>
    <s v="12"/>
    <x v="74"/>
    <x v="0"/>
    <n v="63651.34"/>
    <n v="279649"/>
    <x v="459"/>
  </r>
  <r>
    <x v="2"/>
    <s v="12"/>
    <x v="74"/>
    <x v="1"/>
    <n v="28968.27"/>
    <n v="279649"/>
    <x v="460"/>
  </r>
  <r>
    <x v="2"/>
    <s v="12"/>
    <x v="74"/>
    <x v="2"/>
    <n v="60210.86"/>
    <n v="279649"/>
    <x v="461"/>
  </r>
  <r>
    <x v="1"/>
    <s v="80"/>
    <x v="46"/>
    <x v="0"/>
    <n v="166040.26999999999"/>
    <n v="571211"/>
    <x v="462"/>
  </r>
  <r>
    <x v="1"/>
    <s v="80"/>
    <x v="46"/>
    <x v="1"/>
    <n v="67873.52"/>
    <n v="571211"/>
    <x v="463"/>
  </r>
  <r>
    <x v="1"/>
    <s v="80"/>
    <x v="46"/>
    <x v="2"/>
    <n v="94293.17"/>
    <n v="571211"/>
    <x v="464"/>
  </r>
  <r>
    <x v="2"/>
    <s v="13"/>
    <x v="93"/>
    <x v="0"/>
    <n v="736176.26"/>
    <n v="2056943"/>
    <x v="465"/>
  </r>
  <r>
    <x v="2"/>
    <s v="13"/>
    <x v="93"/>
    <x v="1"/>
    <n v="144760.95999999999"/>
    <n v="2056943"/>
    <x v="466"/>
  </r>
  <r>
    <x v="2"/>
    <s v="13"/>
    <x v="93"/>
    <x v="2"/>
    <n v="271354.99"/>
    <n v="2056943"/>
    <x v="467"/>
  </r>
  <r>
    <x v="2"/>
    <s v="14"/>
    <x v="55"/>
    <x v="0"/>
    <n v="172568.33"/>
    <n v="700633"/>
    <x v="468"/>
  </r>
  <r>
    <x v="2"/>
    <s v="14"/>
    <x v="55"/>
    <x v="1"/>
    <n v="107673.39"/>
    <n v="700633"/>
    <x v="469"/>
  </r>
  <r>
    <x v="2"/>
    <s v="14"/>
    <x v="55"/>
    <x v="2"/>
    <n v="185244.37"/>
    <n v="700633"/>
    <x v="470"/>
  </r>
  <r>
    <x v="2"/>
    <s v="15"/>
    <x v="3"/>
    <x v="0"/>
    <n v="36074.050000000003"/>
    <n v="144226"/>
    <x v="471"/>
  </r>
  <r>
    <x v="2"/>
    <s v="15"/>
    <x v="3"/>
    <x v="1"/>
    <n v="14728.33"/>
    <n v="144226"/>
    <x v="472"/>
  </r>
  <r>
    <x v="2"/>
    <s v="15"/>
    <x v="3"/>
    <x v="2"/>
    <n v="29542.18"/>
    <n v="144226"/>
    <x v="473"/>
  </r>
  <r>
    <x v="1"/>
    <s v="75"/>
    <x v="47"/>
    <x v="0"/>
    <n v="833399"/>
    <n v="2249975"/>
    <x v="474"/>
  </r>
  <r>
    <x v="1"/>
    <s v="75"/>
    <x v="47"/>
    <x v="1"/>
    <n v="248999.59"/>
    <n v="2249975"/>
    <x v="475"/>
  </r>
  <r>
    <x v="1"/>
    <s v="75"/>
    <x v="47"/>
    <x v="2"/>
    <n v="6802.43"/>
    <n v="2249975"/>
    <x v="476"/>
  </r>
  <r>
    <x v="2"/>
    <s v="16"/>
    <x v="60"/>
    <x v="0"/>
    <n v="64346.57"/>
    <n v="350867"/>
    <x v="477"/>
  </r>
  <r>
    <x v="2"/>
    <s v="16"/>
    <x v="60"/>
    <x v="1"/>
    <n v="41692.22"/>
    <n v="350867"/>
    <x v="478"/>
  </r>
  <r>
    <x v="2"/>
    <s v="16"/>
    <x v="60"/>
    <x v="2"/>
    <n v="83664.87"/>
    <n v="350867"/>
    <x v="479"/>
  </r>
  <r>
    <x v="2"/>
    <s v="17"/>
    <x v="61"/>
    <x v="0"/>
    <n v="165525"/>
    <n v="661404"/>
    <x v="480"/>
  </r>
  <r>
    <x v="2"/>
    <s v="17"/>
    <x v="61"/>
    <x v="1"/>
    <n v="101146.67"/>
    <n v="661404"/>
    <x v="481"/>
  </r>
  <r>
    <x v="2"/>
    <s v="17"/>
    <x v="61"/>
    <x v="2"/>
    <n v="183873.36"/>
    <n v="661404"/>
    <x v="482"/>
  </r>
  <r>
    <x v="2"/>
    <s v="18"/>
    <x v="24"/>
    <x v="0"/>
    <n v="56750.94"/>
    <n v="299573"/>
    <x v="483"/>
  </r>
  <r>
    <x v="2"/>
    <s v="18"/>
    <x v="24"/>
    <x v="1"/>
    <n v="30191.66"/>
    <n v="299573"/>
    <x v="484"/>
  </r>
  <r>
    <x v="2"/>
    <s v="18"/>
    <x v="24"/>
    <x v="2"/>
    <n v="71751.149999999994"/>
    <n v="299573"/>
    <x v="485"/>
  </r>
  <r>
    <x v="1"/>
    <s v="77"/>
    <x v="48"/>
    <x v="0"/>
    <n v="401604.38"/>
    <n v="1338427"/>
    <x v="486"/>
  </r>
  <r>
    <x v="1"/>
    <s v="77"/>
    <x v="48"/>
    <x v="1"/>
    <n v="155560.79"/>
    <n v="1338427"/>
    <x v="487"/>
  </r>
  <r>
    <x v="1"/>
    <s v="77"/>
    <x v="48"/>
    <x v="2"/>
    <n v="138207.82"/>
    <n v="1338427"/>
    <x v="488"/>
  </r>
  <r>
    <x v="2"/>
    <s v="19"/>
    <x v="62"/>
    <x v="0"/>
    <n v="54784.17"/>
    <n v="239784"/>
    <x v="489"/>
  </r>
  <r>
    <x v="2"/>
    <s v="19"/>
    <x v="62"/>
    <x v="1"/>
    <n v="24377.75"/>
    <n v="239784"/>
    <x v="490"/>
  </r>
  <r>
    <x v="2"/>
    <s v="19"/>
    <x v="62"/>
    <x v="2"/>
    <n v="58791.07"/>
    <n v="239784"/>
    <x v="491"/>
  </r>
  <r>
    <x v="2"/>
    <s v="2A"/>
    <x v="30"/>
    <x v="0"/>
    <n v="74745.69"/>
    <n v="162942"/>
    <x v="492"/>
  </r>
  <r>
    <x v="2"/>
    <s v="2A"/>
    <x v="30"/>
    <x v="1"/>
    <n v="20700.68"/>
    <n v="162942"/>
    <x v="493"/>
  </r>
  <r>
    <x v="2"/>
    <s v="2A"/>
    <x v="30"/>
    <x v="2"/>
    <n v="30090.53"/>
    <n v="162942"/>
    <x v="494"/>
  </r>
  <r>
    <x v="2"/>
    <s v="2B"/>
    <x v="31"/>
    <x v="0"/>
    <n v="65486.28"/>
    <n v="184655"/>
    <x v="495"/>
  </r>
  <r>
    <x v="2"/>
    <s v="2B"/>
    <x v="31"/>
    <x v="1"/>
    <n v="24479.19"/>
    <n v="184655"/>
    <x v="496"/>
  </r>
  <r>
    <x v="2"/>
    <s v="2B"/>
    <x v="31"/>
    <x v="2"/>
    <n v="35531.93"/>
    <n v="184655"/>
    <x v="497"/>
  </r>
  <r>
    <x v="1"/>
    <s v="78"/>
    <x v="49"/>
    <x v="0"/>
    <n v="378700.89"/>
    <n v="1413635"/>
    <x v="498"/>
  </r>
  <r>
    <x v="1"/>
    <s v="78"/>
    <x v="49"/>
    <x v="1"/>
    <n v="188032.62"/>
    <n v="1413635"/>
    <x v="499"/>
  </r>
  <r>
    <x v="1"/>
    <s v="78"/>
    <x v="49"/>
    <x v="2"/>
    <n v="76380.789999999994"/>
    <n v="1413635"/>
    <x v="500"/>
  </r>
  <r>
    <x v="2"/>
    <s v="21"/>
    <x v="12"/>
    <x v="0"/>
    <n v="111822.79"/>
    <n v="535503"/>
    <x v="501"/>
  </r>
  <r>
    <x v="2"/>
    <s v="21"/>
    <x v="12"/>
    <x v="1"/>
    <n v="55334.75"/>
    <n v="535503"/>
    <x v="502"/>
  </r>
  <r>
    <x v="2"/>
    <s v="21"/>
    <x v="12"/>
    <x v="2"/>
    <n v="111217.22"/>
    <n v="535503"/>
    <x v="503"/>
  </r>
  <r>
    <x v="2"/>
    <s v="22"/>
    <x v="20"/>
    <x v="0"/>
    <n v="131349.07999999999"/>
    <n v="605917"/>
    <x v="504"/>
  </r>
  <r>
    <x v="2"/>
    <s v="22"/>
    <x v="20"/>
    <x v="1"/>
    <n v="95262.46"/>
    <n v="605917"/>
    <x v="505"/>
  </r>
  <r>
    <x v="2"/>
    <s v="22"/>
    <x v="20"/>
    <x v="2"/>
    <n v="231021.63"/>
    <n v="605917"/>
    <x v="506"/>
  </r>
  <r>
    <x v="2"/>
    <s v="23"/>
    <x v="63"/>
    <x v="0"/>
    <n v="22443.34"/>
    <n v="115702"/>
    <x v="507"/>
  </r>
  <r>
    <x v="2"/>
    <s v="23"/>
    <x v="63"/>
    <x v="1"/>
    <n v="13179.43"/>
    <n v="115702"/>
    <x v="508"/>
  </r>
  <r>
    <x v="2"/>
    <s v="23"/>
    <x v="63"/>
    <x v="2"/>
    <n v="25196.02"/>
    <n v="115702"/>
    <x v="509"/>
  </r>
  <r>
    <x v="1"/>
    <s v="91"/>
    <x v="50"/>
    <x v="0"/>
    <n v="336382.56"/>
    <n v="1225191"/>
    <x v="510"/>
  </r>
  <r>
    <x v="1"/>
    <s v="91"/>
    <x v="50"/>
    <x v="1"/>
    <n v="180032.2"/>
    <n v="1225191"/>
    <x v="511"/>
  </r>
  <r>
    <x v="1"/>
    <s v="91"/>
    <x v="50"/>
    <x v="2"/>
    <n v="95812.94"/>
    <n v="1225191"/>
    <x v="512"/>
  </r>
  <r>
    <x v="2"/>
    <s v="24"/>
    <x v="64"/>
    <x v="0"/>
    <n v="83805.960000000006"/>
    <n v="413730"/>
    <x v="513"/>
  </r>
  <r>
    <x v="2"/>
    <s v="24"/>
    <x v="64"/>
    <x v="1"/>
    <n v="53977.99"/>
    <n v="413730"/>
    <x v="514"/>
  </r>
  <r>
    <x v="2"/>
    <s v="24"/>
    <x v="64"/>
    <x v="2"/>
    <n v="101124.34"/>
    <n v="413730"/>
    <x v="515"/>
  </r>
  <r>
    <x v="2"/>
    <s v="25"/>
    <x v="13"/>
    <x v="0"/>
    <n v="90418.34"/>
    <n v="547096"/>
    <x v="516"/>
  </r>
  <r>
    <x v="2"/>
    <s v="25"/>
    <x v="13"/>
    <x v="1"/>
    <n v="57026.080000000002"/>
    <n v="547096"/>
    <x v="517"/>
  </r>
  <r>
    <x v="2"/>
    <s v="25"/>
    <x v="13"/>
    <x v="2"/>
    <n v="108704.37"/>
    <n v="547096"/>
    <x v="518"/>
  </r>
  <r>
    <x v="2"/>
    <s v="26"/>
    <x v="4"/>
    <x v="0"/>
    <n v="124054.67"/>
    <n v="519458"/>
    <x v="519"/>
  </r>
  <r>
    <x v="2"/>
    <s v="26"/>
    <x v="4"/>
    <x v="1"/>
    <n v="40206.28"/>
    <n v="519458"/>
    <x v="520"/>
  </r>
  <r>
    <x v="2"/>
    <s v="26"/>
    <x v="4"/>
    <x v="2"/>
    <n v="128747.85"/>
    <n v="519458"/>
    <x v="521"/>
  </r>
  <r>
    <x v="1"/>
    <s v="92"/>
    <x v="51"/>
    <x v="0"/>
    <n v="467951.22"/>
    <n v="1581628"/>
    <x v="522"/>
  </r>
  <r>
    <x v="1"/>
    <s v="92"/>
    <x v="51"/>
    <x v="1"/>
    <n v="143587.91"/>
    <n v="1581628"/>
    <x v="523"/>
  </r>
  <r>
    <x v="1"/>
    <s v="92"/>
    <x v="51"/>
    <x v="2"/>
    <n v="18004.98"/>
    <n v="1581628"/>
    <x v="524"/>
  </r>
  <r>
    <x v="2"/>
    <s v="27"/>
    <x v="56"/>
    <x v="0"/>
    <n v="148390.67000000001"/>
    <n v="598934"/>
    <x v="525"/>
  </r>
  <r>
    <x v="2"/>
    <s v="27"/>
    <x v="56"/>
    <x v="1"/>
    <n v="72074.31"/>
    <n v="598934"/>
    <x v="526"/>
  </r>
  <r>
    <x v="2"/>
    <s v="27"/>
    <x v="56"/>
    <x v="2"/>
    <n v="172252.82"/>
    <n v="598934"/>
    <x v="527"/>
  </r>
  <r>
    <x v="2"/>
    <s v="28"/>
    <x v="25"/>
    <x v="0"/>
    <n v="104594"/>
    <n v="431277"/>
    <x v="528"/>
  </r>
  <r>
    <x v="2"/>
    <s v="28"/>
    <x v="25"/>
    <x v="1"/>
    <n v="63435.15"/>
    <n v="431277"/>
    <x v="529"/>
  </r>
  <r>
    <x v="2"/>
    <s v="28"/>
    <x v="25"/>
    <x v="2"/>
    <n v="95075.74"/>
    <n v="431277"/>
    <x v="530"/>
  </r>
  <r>
    <x v="2"/>
    <s v="29"/>
    <x v="21"/>
    <x v="0"/>
    <n v="199061.53"/>
    <n v="921638"/>
    <x v="531"/>
  </r>
  <r>
    <x v="2"/>
    <s v="29"/>
    <x v="21"/>
    <x v="1"/>
    <n v="148845.65"/>
    <n v="921638"/>
    <x v="532"/>
  </r>
  <r>
    <x v="2"/>
    <s v="29"/>
    <x v="21"/>
    <x v="2"/>
    <n v="303149.82"/>
    <n v="921638"/>
    <x v="533"/>
  </r>
  <r>
    <x v="1"/>
    <s v="93"/>
    <x v="52"/>
    <x v="0"/>
    <n v="492849.65"/>
    <n v="1529928"/>
    <x v="534"/>
  </r>
  <r>
    <x v="1"/>
    <s v="93"/>
    <x v="52"/>
    <x v="1"/>
    <n v="114166.39999999999"/>
    <n v="1529928"/>
    <x v="535"/>
  </r>
  <r>
    <x v="1"/>
    <s v="93"/>
    <x v="52"/>
    <x v="2"/>
    <n v="60670.559999999998"/>
    <n v="1529928"/>
    <x v="536"/>
  </r>
  <r>
    <x v="2"/>
    <s v="30"/>
    <x v="75"/>
    <x v="0"/>
    <n v="218787.86"/>
    <n v="756543"/>
    <x v="537"/>
  </r>
  <r>
    <x v="2"/>
    <s v="30"/>
    <x v="75"/>
    <x v="1"/>
    <n v="71637.2"/>
    <n v="756543"/>
    <x v="538"/>
  </r>
  <r>
    <x v="2"/>
    <s v="30"/>
    <x v="75"/>
    <x v="2"/>
    <n v="169210.31"/>
    <n v="756543"/>
    <x v="539"/>
  </r>
  <r>
    <x v="2"/>
    <s v="31"/>
    <x v="76"/>
    <x v="0"/>
    <n v="338340.68"/>
    <n v="1434367"/>
    <x v="540"/>
  </r>
  <r>
    <x v="2"/>
    <s v="31"/>
    <x v="76"/>
    <x v="1"/>
    <n v="160905.98000000001"/>
    <n v="1434367"/>
    <x v="541"/>
  </r>
  <r>
    <x v="2"/>
    <s v="31"/>
    <x v="76"/>
    <x v="2"/>
    <n v="180577.86"/>
    <n v="1434367"/>
    <x v="542"/>
  </r>
  <r>
    <x v="2"/>
    <s v="32"/>
    <x v="77"/>
    <x v="0"/>
    <n v="43536.35"/>
    <n v="192437"/>
    <x v="543"/>
  </r>
  <r>
    <x v="2"/>
    <s v="32"/>
    <x v="77"/>
    <x v="1"/>
    <n v="19995.73"/>
    <n v="192437"/>
    <x v="544"/>
  </r>
  <r>
    <x v="2"/>
    <s v="32"/>
    <x v="77"/>
    <x v="2"/>
    <n v="37192.33"/>
    <n v="192437"/>
    <x v="545"/>
  </r>
  <r>
    <x v="1"/>
    <s v="94"/>
    <x v="53"/>
    <x v="0"/>
    <n v="378327.52"/>
    <n v="1333702"/>
    <x v="546"/>
  </r>
  <r>
    <x v="1"/>
    <s v="94"/>
    <x v="53"/>
    <x v="1"/>
    <n v="129534.97"/>
    <n v="1333702"/>
    <x v="547"/>
  </r>
  <r>
    <x v="1"/>
    <s v="94"/>
    <x v="53"/>
    <x v="2"/>
    <n v="43580.84"/>
    <n v="1333702"/>
    <x v="548"/>
  </r>
  <r>
    <x v="2"/>
    <s v="33"/>
    <x v="65"/>
    <x v="0"/>
    <n v="371528.79"/>
    <n v="1654970"/>
    <x v="549"/>
  </r>
  <r>
    <x v="2"/>
    <s v="33"/>
    <x v="65"/>
    <x v="1"/>
    <n v="178772.9"/>
    <n v="1654970"/>
    <x v="550"/>
  </r>
  <r>
    <x v="2"/>
    <s v="33"/>
    <x v="65"/>
    <x v="2"/>
    <n v="362378.01"/>
    <n v="1654970"/>
    <x v="551"/>
  </r>
  <r>
    <x v="2"/>
    <s v="34"/>
    <x v="78"/>
    <x v="0"/>
    <n v="341511.14"/>
    <n v="1201883"/>
    <x v="552"/>
  </r>
  <r>
    <x v="2"/>
    <s v="34"/>
    <x v="78"/>
    <x v="1"/>
    <n v="128482.37"/>
    <n v="1201883"/>
    <x v="553"/>
  </r>
  <r>
    <x v="2"/>
    <s v="34"/>
    <x v="78"/>
    <x v="2"/>
    <n v="239220.33"/>
    <n v="1201883"/>
    <x v="554"/>
  </r>
  <r>
    <x v="2"/>
    <s v="35"/>
    <x v="22"/>
    <x v="0"/>
    <n v="185319.02"/>
    <n v="1098325"/>
    <x v="555"/>
  </r>
  <r>
    <x v="2"/>
    <s v="35"/>
    <x v="22"/>
    <x v="1"/>
    <n v="120632.97"/>
    <n v="1098325"/>
    <x v="556"/>
  </r>
  <r>
    <x v="2"/>
    <s v="35"/>
    <x v="22"/>
    <x v="2"/>
    <n v="225398.92"/>
    <n v="1098325"/>
    <x v="557"/>
  </r>
  <r>
    <x v="1"/>
    <s v="95"/>
    <x v="54"/>
    <x v="0"/>
    <n v="359975.51"/>
    <n v="1180365"/>
    <x v="558"/>
  </r>
  <r>
    <x v="1"/>
    <s v="95"/>
    <x v="54"/>
    <x v="1"/>
    <n v="118073.07"/>
    <n v="1180365"/>
    <x v="559"/>
  </r>
  <r>
    <x v="1"/>
    <s v="95"/>
    <x v="54"/>
    <x v="2"/>
    <n v="77633.25"/>
    <n v="1180365"/>
    <x v="560"/>
  </r>
  <r>
    <x v="2"/>
    <s v="36"/>
    <x v="26"/>
    <x v="0"/>
    <n v="37271.81"/>
    <n v="217228"/>
    <x v="561"/>
  </r>
  <r>
    <x v="2"/>
    <s v="36"/>
    <x v="26"/>
    <x v="1"/>
    <n v="31083.74"/>
    <n v="217228"/>
    <x v="562"/>
  </r>
  <r>
    <x v="2"/>
    <s v="36"/>
    <x v="26"/>
    <x v="2"/>
    <n v="46258.74"/>
    <n v="217228"/>
    <x v="563"/>
  </r>
  <r>
    <x v="2"/>
    <s v="37"/>
    <x v="27"/>
    <x v="0"/>
    <n v="125753.7"/>
    <n v="612160"/>
    <x v="564"/>
  </r>
  <r>
    <x v="2"/>
    <s v="37"/>
    <x v="27"/>
    <x v="1"/>
    <n v="85389.35"/>
    <n v="612160"/>
    <x v="565"/>
  </r>
  <r>
    <x v="2"/>
    <s v="37"/>
    <x v="27"/>
    <x v="2"/>
    <n v="108105.60000000001"/>
    <n v="612160"/>
    <x v="566"/>
  </r>
  <r>
    <x v="2"/>
    <s v="38"/>
    <x v="5"/>
    <x v="0"/>
    <n v="271161.38"/>
    <n v="1284948"/>
    <x v="567"/>
  </r>
  <r>
    <x v="2"/>
    <s v="38"/>
    <x v="5"/>
    <x v="1"/>
    <n v="120304.6"/>
    <n v="1284948"/>
    <x v="568"/>
  </r>
  <r>
    <x v="2"/>
    <s v="38"/>
    <x v="5"/>
    <x v="2"/>
    <n v="271856.8"/>
    <n v="1284948"/>
    <x v="569"/>
  </r>
  <r>
    <x v="1"/>
    <s v="14"/>
    <x v="55"/>
    <x v="0"/>
    <n v="202616.48"/>
    <n v="685262"/>
    <x v="570"/>
  </r>
  <r>
    <x v="1"/>
    <s v="14"/>
    <x v="55"/>
    <x v="1"/>
    <n v="96185.79"/>
    <n v="685262"/>
    <x v="571"/>
  </r>
  <r>
    <x v="1"/>
    <s v="14"/>
    <x v="55"/>
    <x v="2"/>
    <n v="131228.26999999999"/>
    <n v="685262"/>
    <x v="572"/>
  </r>
  <r>
    <x v="2"/>
    <s v="39"/>
    <x v="14"/>
    <x v="0"/>
    <n v="48962.53"/>
    <n v="258555"/>
    <x v="573"/>
  </r>
  <r>
    <x v="2"/>
    <s v="39"/>
    <x v="14"/>
    <x v="1"/>
    <n v="38908.75"/>
    <n v="258555"/>
    <x v="574"/>
  </r>
  <r>
    <x v="2"/>
    <s v="39"/>
    <x v="14"/>
    <x v="2"/>
    <n v="46482.1"/>
    <n v="258555"/>
    <x v="575"/>
  </r>
  <r>
    <x v="2"/>
    <s v="40"/>
    <x v="66"/>
    <x v="0"/>
    <n v="125537.25"/>
    <n v="422976"/>
    <x v="576"/>
  </r>
  <r>
    <x v="2"/>
    <s v="40"/>
    <x v="66"/>
    <x v="1"/>
    <n v="42012.33"/>
    <n v="422976"/>
    <x v="577"/>
  </r>
  <r>
    <x v="2"/>
    <s v="40"/>
    <x v="66"/>
    <x v="2"/>
    <n v="209590.83"/>
    <n v="422976"/>
    <x v="578"/>
  </r>
  <r>
    <x v="2"/>
    <s v="41"/>
    <x v="28"/>
    <x v="0"/>
    <n v="71746.19"/>
    <n v="328504"/>
    <x v="579"/>
  </r>
  <r>
    <x v="2"/>
    <s v="41"/>
    <x v="28"/>
    <x v="1"/>
    <n v="29051.599999999999"/>
    <n v="328504"/>
    <x v="580"/>
  </r>
  <r>
    <x v="2"/>
    <s v="41"/>
    <x v="28"/>
    <x v="2"/>
    <n v="88522.38"/>
    <n v="328504"/>
    <x v="581"/>
  </r>
  <r>
    <x v="1"/>
    <s v="27"/>
    <x v="56"/>
    <x v="0"/>
    <n v="163120.15"/>
    <n v="588111"/>
    <x v="582"/>
  </r>
  <r>
    <x v="1"/>
    <s v="27"/>
    <x v="56"/>
    <x v="1"/>
    <n v="63389.86"/>
    <n v="588111"/>
    <x v="583"/>
  </r>
  <r>
    <x v="1"/>
    <s v="27"/>
    <x v="56"/>
    <x v="2"/>
    <n v="126102.21"/>
    <n v="588111"/>
    <x v="584"/>
  </r>
  <r>
    <x v="2"/>
    <s v="42"/>
    <x v="6"/>
    <x v="0"/>
    <n v="168863.33"/>
    <n v="769029"/>
    <x v="585"/>
  </r>
  <r>
    <x v="2"/>
    <s v="42"/>
    <x v="6"/>
    <x v="1"/>
    <n v="70566.679999999993"/>
    <n v="769029"/>
    <x v="586"/>
  </r>
  <r>
    <x v="2"/>
    <s v="42"/>
    <x v="6"/>
    <x v="2"/>
    <n v="152620.1"/>
    <n v="769029"/>
    <x v="587"/>
  </r>
  <r>
    <x v="2"/>
    <s v="43"/>
    <x v="7"/>
    <x v="0"/>
    <n v="47377.93"/>
    <n v="227284"/>
    <x v="588"/>
  </r>
  <r>
    <x v="2"/>
    <s v="43"/>
    <x v="7"/>
    <x v="1"/>
    <n v="21095.41"/>
    <n v="227284"/>
    <x v="589"/>
  </r>
  <r>
    <x v="2"/>
    <s v="43"/>
    <x v="7"/>
    <x v="2"/>
    <n v="48127.51"/>
    <n v="227284"/>
    <x v="590"/>
  </r>
  <r>
    <x v="2"/>
    <s v="44"/>
    <x v="85"/>
    <x v="0"/>
    <n v="262449.33"/>
    <n v="1457806"/>
    <x v="591"/>
  </r>
  <r>
    <x v="2"/>
    <s v="44"/>
    <x v="85"/>
    <x v="1"/>
    <n v="146087.91"/>
    <n v="1457806"/>
    <x v="592"/>
  </r>
  <r>
    <x v="2"/>
    <s v="44"/>
    <x v="85"/>
    <x v="2"/>
    <n v="351454.57"/>
    <n v="1457806"/>
    <x v="593"/>
  </r>
  <r>
    <x v="1"/>
    <s v="50"/>
    <x v="57"/>
    <x v="0"/>
    <n v="144944.91"/>
    <n v="499531"/>
    <x v="594"/>
  </r>
  <r>
    <x v="1"/>
    <s v="50"/>
    <x v="57"/>
    <x v="1"/>
    <n v="54797.63"/>
    <n v="499531"/>
    <x v="595"/>
  </r>
  <r>
    <x v="1"/>
    <s v="50"/>
    <x v="57"/>
    <x v="2"/>
    <n v="121124.13"/>
    <n v="499531"/>
    <x v="596"/>
  </r>
  <r>
    <x v="2"/>
    <s v="45"/>
    <x v="29"/>
    <x v="0"/>
    <n v="146215.43"/>
    <n v="684561"/>
    <x v="597"/>
  </r>
  <r>
    <x v="2"/>
    <s v="45"/>
    <x v="29"/>
    <x v="1"/>
    <n v="55448.05"/>
    <n v="684561"/>
    <x v="598"/>
  </r>
  <r>
    <x v="2"/>
    <s v="45"/>
    <x v="29"/>
    <x v="2"/>
    <n v="170385.91"/>
    <n v="684561"/>
    <x v="599"/>
  </r>
  <r>
    <x v="2"/>
    <s v="46"/>
    <x v="79"/>
    <x v="0"/>
    <n v="37761.230000000003"/>
    <n v="174942"/>
    <x v="600"/>
  </r>
  <r>
    <x v="2"/>
    <s v="46"/>
    <x v="79"/>
    <x v="1"/>
    <n v="25850.03"/>
    <n v="174942"/>
    <x v="601"/>
  </r>
  <r>
    <x v="2"/>
    <s v="46"/>
    <x v="79"/>
    <x v="2"/>
    <n v="43790.2"/>
    <n v="174942"/>
    <x v="602"/>
  </r>
  <r>
    <x v="2"/>
    <s v="47"/>
    <x v="67"/>
    <x v="0"/>
    <n v="80895.31"/>
    <n v="331229"/>
    <x v="603"/>
  </r>
  <r>
    <x v="2"/>
    <s v="47"/>
    <x v="67"/>
    <x v="1"/>
    <n v="39225.879999999997"/>
    <n v="331229"/>
    <x v="604"/>
  </r>
  <r>
    <x v="2"/>
    <s v="47"/>
    <x v="67"/>
    <x v="2"/>
    <n v="78813.84"/>
    <n v="331229"/>
    <x v="605"/>
  </r>
  <r>
    <x v="1"/>
    <s v="61"/>
    <x v="58"/>
    <x v="0"/>
    <n v="74188.55"/>
    <n v="290891"/>
    <x v="606"/>
  </r>
  <r>
    <x v="1"/>
    <s v="61"/>
    <x v="58"/>
    <x v="1"/>
    <n v="22326.799999999999"/>
    <n v="290891"/>
    <x v="607"/>
  </r>
  <r>
    <x v="1"/>
    <s v="61"/>
    <x v="58"/>
    <x v="2"/>
    <n v="59471.09"/>
    <n v="290891"/>
    <x v="608"/>
  </r>
  <r>
    <x v="2"/>
    <s v="48"/>
    <x v="80"/>
    <x v="0"/>
    <n v="20181.03"/>
    <n v="76519"/>
    <x v="609"/>
  </r>
  <r>
    <x v="2"/>
    <s v="48"/>
    <x v="80"/>
    <x v="1"/>
    <n v="6947.6"/>
    <n v="76519"/>
    <x v="610"/>
  </r>
  <r>
    <x v="2"/>
    <s v="48"/>
    <x v="80"/>
    <x v="2"/>
    <n v="17270.419999999998"/>
    <n v="76519"/>
    <x v="611"/>
  </r>
  <r>
    <x v="2"/>
    <s v="49"/>
    <x v="86"/>
    <x v="0"/>
    <n v="121842.36"/>
    <n v="824743"/>
    <x v="612"/>
  </r>
  <r>
    <x v="2"/>
    <s v="49"/>
    <x v="86"/>
    <x v="1"/>
    <n v="84167.31"/>
    <n v="824743"/>
    <x v="613"/>
  </r>
  <r>
    <x v="2"/>
    <s v="49"/>
    <x v="86"/>
    <x v="2"/>
    <n v="159159.20000000001"/>
    <n v="824743"/>
    <x v="614"/>
  </r>
  <r>
    <x v="2"/>
    <s v="50"/>
    <x v="57"/>
    <x v="0"/>
    <n v="107906.58"/>
    <n v="495508"/>
    <x v="615"/>
  </r>
  <r>
    <x v="2"/>
    <s v="50"/>
    <x v="57"/>
    <x v="1"/>
    <n v="57481.37"/>
    <n v="495508"/>
    <x v="616"/>
  </r>
  <r>
    <x v="2"/>
    <s v="50"/>
    <x v="57"/>
    <x v="2"/>
    <n v="173300.37"/>
    <n v="495508"/>
    <x v="617"/>
  </r>
  <r>
    <x v="1"/>
    <s v="76"/>
    <x v="59"/>
    <x v="0"/>
    <n v="364786.39"/>
    <n v="1251282"/>
    <x v="618"/>
  </r>
  <r>
    <x v="1"/>
    <s v="76"/>
    <x v="59"/>
    <x v="1"/>
    <n v="128703.12"/>
    <n v="1251282"/>
    <x v="619"/>
  </r>
  <r>
    <x v="1"/>
    <s v="76"/>
    <x v="59"/>
    <x v="2"/>
    <n v="236400.73"/>
    <n v="1251282"/>
    <x v="620"/>
  </r>
  <r>
    <x v="2"/>
    <s v="51"/>
    <x v="34"/>
    <x v="0"/>
    <n v="133545.01"/>
    <n v="565292"/>
    <x v="621"/>
  </r>
  <r>
    <x v="2"/>
    <s v="51"/>
    <x v="34"/>
    <x v="1"/>
    <n v="60410.8"/>
    <n v="565292"/>
    <x v="622"/>
  </r>
  <r>
    <x v="2"/>
    <s v="51"/>
    <x v="34"/>
    <x v="2"/>
    <n v="85393.2"/>
    <n v="565292"/>
    <x v="623"/>
  </r>
  <r>
    <x v="2"/>
    <s v="52"/>
    <x v="35"/>
    <x v="0"/>
    <n v="39273.17"/>
    <n v="171042"/>
    <x v="624"/>
  </r>
  <r>
    <x v="2"/>
    <s v="52"/>
    <x v="35"/>
    <x v="1"/>
    <n v="14332.09"/>
    <n v="171042"/>
    <x v="625"/>
  </r>
  <r>
    <x v="2"/>
    <s v="52"/>
    <x v="35"/>
    <x v="2"/>
    <n v="34995.75"/>
    <n v="171042"/>
    <x v="626"/>
  </r>
  <r>
    <x v="2"/>
    <s v="53"/>
    <x v="87"/>
    <x v="0"/>
    <n v="49808.35"/>
    <n v="305933"/>
    <x v="627"/>
  </r>
  <r>
    <x v="2"/>
    <s v="53"/>
    <x v="87"/>
    <x v="1"/>
    <n v="33708.089999999997"/>
    <n v="305933"/>
    <x v="628"/>
  </r>
  <r>
    <x v="2"/>
    <s v="53"/>
    <x v="87"/>
    <x v="2"/>
    <n v="89643.62"/>
    <n v="305933"/>
    <x v="629"/>
  </r>
  <r>
    <x v="1"/>
    <s v="16"/>
    <x v="60"/>
    <x v="0"/>
    <n v="77082.100000000006"/>
    <n v="352705"/>
    <x v="630"/>
  </r>
  <r>
    <x v="1"/>
    <s v="16"/>
    <x v="60"/>
    <x v="1"/>
    <n v="33877.199999999997"/>
    <n v="352705"/>
    <x v="631"/>
  </r>
  <r>
    <x v="1"/>
    <s v="16"/>
    <x v="60"/>
    <x v="2"/>
    <n v="64011.4"/>
    <n v="352705"/>
    <x v="632"/>
  </r>
  <r>
    <x v="2"/>
    <s v="54"/>
    <x v="36"/>
    <x v="0"/>
    <n v="168546.01"/>
    <n v="732486"/>
    <x v="633"/>
  </r>
  <r>
    <x v="2"/>
    <s v="54"/>
    <x v="36"/>
    <x v="1"/>
    <n v="84285.23"/>
    <n v="732486"/>
    <x v="634"/>
  </r>
  <r>
    <x v="2"/>
    <s v="54"/>
    <x v="36"/>
    <x v="2"/>
    <n v="114879.86"/>
    <n v="732486"/>
    <x v="635"/>
  </r>
  <r>
    <x v="2"/>
    <s v="55"/>
    <x v="37"/>
    <x v="0"/>
    <n v="35050.54"/>
    <n v="181919"/>
    <x v="636"/>
  </r>
  <r>
    <x v="2"/>
    <s v="55"/>
    <x v="37"/>
    <x v="1"/>
    <n v="17837.310000000001"/>
    <n v="181919"/>
    <x v="637"/>
  </r>
  <r>
    <x v="2"/>
    <s v="55"/>
    <x v="37"/>
    <x v="2"/>
    <n v="32524.87"/>
    <n v="181919"/>
    <x v="638"/>
  </r>
  <r>
    <x v="2"/>
    <s v="56"/>
    <x v="23"/>
    <x v="0"/>
    <n v="142398.39000000001"/>
    <n v="768687"/>
    <x v="639"/>
  </r>
  <r>
    <x v="2"/>
    <s v="56"/>
    <x v="23"/>
    <x v="1"/>
    <n v="107989.02"/>
    <n v="768687"/>
    <x v="640"/>
  </r>
  <r>
    <x v="2"/>
    <s v="56"/>
    <x v="23"/>
    <x v="2"/>
    <n v="224959.37"/>
    <n v="768687"/>
    <x v="641"/>
  </r>
  <r>
    <x v="1"/>
    <s v="17"/>
    <x v="61"/>
    <x v="0"/>
    <n v="192256.8"/>
    <n v="625682"/>
    <x v="642"/>
  </r>
  <r>
    <x v="1"/>
    <s v="17"/>
    <x v="61"/>
    <x v="1"/>
    <n v="71743.289999999994"/>
    <n v="625682"/>
    <x v="643"/>
  </r>
  <r>
    <x v="1"/>
    <s v="17"/>
    <x v="61"/>
    <x v="2"/>
    <n v="143407.06"/>
    <n v="625682"/>
    <x v="644"/>
  </r>
  <r>
    <x v="2"/>
    <s v="57"/>
    <x v="38"/>
    <x v="0"/>
    <n v="224612.51"/>
    <n v="1049942"/>
    <x v="645"/>
  </r>
  <r>
    <x v="2"/>
    <s v="57"/>
    <x v="38"/>
    <x v="1"/>
    <n v="125917.8"/>
    <n v="1049942"/>
    <x v="646"/>
  </r>
  <r>
    <x v="2"/>
    <s v="57"/>
    <x v="38"/>
    <x v="2"/>
    <n v="205975.8"/>
    <n v="1049942"/>
    <x v="647"/>
  </r>
  <r>
    <x v="2"/>
    <s v="58"/>
    <x v="15"/>
    <x v="0"/>
    <n v="37924.050000000003"/>
    <n v="202417"/>
    <x v="648"/>
  </r>
  <r>
    <x v="2"/>
    <s v="58"/>
    <x v="15"/>
    <x v="1"/>
    <n v="26100.639999999999"/>
    <n v="202417"/>
    <x v="649"/>
  </r>
  <r>
    <x v="2"/>
    <s v="58"/>
    <x v="15"/>
    <x v="2"/>
    <n v="45630.47"/>
    <n v="202417"/>
    <x v="650"/>
  </r>
  <r>
    <x v="2"/>
    <s v="59"/>
    <x v="43"/>
    <x v="0"/>
    <n v="687785.56"/>
    <n v="2611293"/>
    <x v="651"/>
  </r>
  <r>
    <x v="2"/>
    <s v="59"/>
    <x v="43"/>
    <x v="1"/>
    <n v="615053.16"/>
    <n v="2611293"/>
    <x v="652"/>
  </r>
  <r>
    <x v="2"/>
    <s v="59"/>
    <x v="43"/>
    <x v="2"/>
    <n v="427189.07"/>
    <n v="2611293"/>
    <x v="653"/>
  </r>
  <r>
    <x v="1"/>
    <s v="19"/>
    <x v="62"/>
    <x v="0"/>
    <n v="70216.41"/>
    <n v="242454"/>
    <x v="654"/>
  </r>
  <r>
    <x v="1"/>
    <s v="19"/>
    <x v="62"/>
    <x v="1"/>
    <n v="15622.65"/>
    <n v="242454"/>
    <x v="655"/>
  </r>
  <r>
    <x v="1"/>
    <s v="19"/>
    <x v="62"/>
    <x v="2"/>
    <n v="33380.400000000001"/>
    <n v="242454"/>
    <x v="656"/>
  </r>
  <r>
    <x v="2"/>
    <s v="60"/>
    <x v="44"/>
    <x v="0"/>
    <n v="191780.32"/>
    <n v="828838"/>
    <x v="657"/>
  </r>
  <r>
    <x v="2"/>
    <s v="60"/>
    <x v="44"/>
    <x v="1"/>
    <n v="146266.21"/>
    <n v="828838"/>
    <x v="658"/>
  </r>
  <r>
    <x v="2"/>
    <s v="60"/>
    <x v="44"/>
    <x v="2"/>
    <n v="165080.64000000001"/>
    <n v="828838"/>
    <x v="659"/>
  </r>
  <r>
    <x v="2"/>
    <s v="61"/>
    <x v="58"/>
    <x v="0"/>
    <n v="58900.7"/>
    <n v="276973"/>
    <x v="660"/>
  </r>
  <r>
    <x v="2"/>
    <s v="61"/>
    <x v="58"/>
    <x v="1"/>
    <n v="26653.3"/>
    <n v="276973"/>
    <x v="661"/>
  </r>
  <r>
    <x v="2"/>
    <s v="61"/>
    <x v="58"/>
    <x v="2"/>
    <n v="78084.320000000007"/>
    <n v="276973"/>
    <x v="662"/>
  </r>
  <r>
    <x v="2"/>
    <s v="62"/>
    <x v="45"/>
    <x v="0"/>
    <n v="407194.16"/>
    <n v="1461441"/>
    <x v="663"/>
  </r>
  <r>
    <x v="2"/>
    <s v="62"/>
    <x v="45"/>
    <x v="1"/>
    <n v="270524.38"/>
    <n v="1461441"/>
    <x v="664"/>
  </r>
  <r>
    <x v="2"/>
    <s v="62"/>
    <x v="45"/>
    <x v="2"/>
    <n v="275465.28999999998"/>
    <n v="1461441"/>
    <x v="665"/>
  </r>
  <r>
    <x v="1"/>
    <s v="23"/>
    <x v="63"/>
    <x v="0"/>
    <n v="29430.13"/>
    <n v="122560"/>
    <x v="666"/>
  </r>
  <r>
    <x v="1"/>
    <s v="23"/>
    <x v="63"/>
    <x v="1"/>
    <n v="11556.14"/>
    <n v="122560"/>
    <x v="667"/>
  </r>
  <r>
    <x v="1"/>
    <s v="23"/>
    <x v="63"/>
    <x v="2"/>
    <n v="13924.43"/>
    <n v="122560"/>
    <x v="668"/>
  </r>
  <r>
    <x v="2"/>
    <s v="63"/>
    <x v="8"/>
    <x v="0"/>
    <n v="131507.15"/>
    <n v="662285"/>
    <x v="669"/>
  </r>
  <r>
    <x v="2"/>
    <s v="63"/>
    <x v="8"/>
    <x v="1"/>
    <n v="75420.259999999995"/>
    <n v="662285"/>
    <x v="670"/>
  </r>
  <r>
    <x v="2"/>
    <s v="63"/>
    <x v="8"/>
    <x v="2"/>
    <n v="107866.48"/>
    <n v="662285"/>
    <x v="671"/>
  </r>
  <r>
    <x v="2"/>
    <s v="64"/>
    <x v="68"/>
    <x v="0"/>
    <n v="165368.54999999999"/>
    <n v="693027"/>
    <x v="672"/>
  </r>
  <r>
    <x v="2"/>
    <s v="64"/>
    <x v="68"/>
    <x v="1"/>
    <n v="81098.52"/>
    <n v="693027"/>
    <x v="673"/>
  </r>
  <r>
    <x v="2"/>
    <s v="64"/>
    <x v="68"/>
    <x v="2"/>
    <n v="143200.85"/>
    <n v="693027"/>
    <x v="674"/>
  </r>
  <r>
    <x v="2"/>
    <s v="65"/>
    <x v="81"/>
    <x v="0"/>
    <n v="52207.8"/>
    <n v="230956"/>
    <x v="675"/>
  </r>
  <r>
    <x v="2"/>
    <s v="65"/>
    <x v="81"/>
    <x v="1"/>
    <n v="25451.26"/>
    <n v="230956"/>
    <x v="676"/>
  </r>
  <r>
    <x v="2"/>
    <s v="65"/>
    <x v="81"/>
    <x v="2"/>
    <n v="50926.68"/>
    <n v="230956"/>
    <x v="677"/>
  </r>
  <r>
    <x v="1"/>
    <s v="24"/>
    <x v="64"/>
    <x v="0"/>
    <n v="110203.55"/>
    <n v="415168"/>
    <x v="678"/>
  </r>
  <r>
    <x v="1"/>
    <s v="24"/>
    <x v="64"/>
    <x v="1"/>
    <n v="33969.730000000003"/>
    <n v="415168"/>
    <x v="679"/>
  </r>
  <r>
    <x v="1"/>
    <s v="24"/>
    <x v="64"/>
    <x v="2"/>
    <n v="69087.05"/>
    <n v="415168"/>
    <x v="680"/>
  </r>
  <r>
    <x v="2"/>
    <s v="66"/>
    <x v="82"/>
    <x v="0"/>
    <n v="161978.54999999999"/>
    <n v="487307"/>
    <x v="681"/>
  </r>
  <r>
    <x v="2"/>
    <s v="66"/>
    <x v="82"/>
    <x v="1"/>
    <n v="56394.52"/>
    <n v="487307"/>
    <x v="682"/>
  </r>
  <r>
    <x v="2"/>
    <s v="66"/>
    <x v="82"/>
    <x v="2"/>
    <n v="109135.08"/>
    <n v="487307"/>
    <x v="683"/>
  </r>
  <r>
    <x v="2"/>
    <s v="67"/>
    <x v="39"/>
    <x v="0"/>
    <n v="219854.19"/>
    <n v="1152662"/>
    <x v="684"/>
  </r>
  <r>
    <x v="2"/>
    <s v="67"/>
    <x v="39"/>
    <x v="1"/>
    <n v="127622.35"/>
    <n v="1152662"/>
    <x v="685"/>
  </r>
  <r>
    <x v="2"/>
    <s v="67"/>
    <x v="39"/>
    <x v="2"/>
    <n v="174546.52"/>
    <n v="1152662"/>
    <x v="686"/>
  </r>
  <r>
    <x v="2"/>
    <s v="68"/>
    <x v="40"/>
    <x v="0"/>
    <n v="138959.57"/>
    <n v="767083"/>
    <x v="687"/>
  </r>
  <r>
    <x v="2"/>
    <s v="68"/>
    <x v="40"/>
    <x v="1"/>
    <n v="144483.81"/>
    <n v="767083"/>
    <x v="688"/>
  </r>
  <r>
    <x v="2"/>
    <s v="68"/>
    <x v="40"/>
    <x v="2"/>
    <n v="93141.07"/>
    <n v="767083"/>
    <x v="689"/>
  </r>
  <r>
    <x v="1"/>
    <s v="33"/>
    <x v="65"/>
    <x v="0"/>
    <n v="413195.98"/>
    <n v="1463662"/>
    <x v="690"/>
  </r>
  <r>
    <x v="1"/>
    <s v="33"/>
    <x v="65"/>
    <x v="1"/>
    <n v="149337.13"/>
    <n v="1463662"/>
    <x v="691"/>
  </r>
  <r>
    <x v="1"/>
    <s v="33"/>
    <x v="65"/>
    <x v="2"/>
    <n v="256113.74"/>
    <n v="1463662"/>
    <x v="692"/>
  </r>
  <r>
    <x v="2"/>
    <s v="69"/>
    <x v="9"/>
    <x v="0"/>
    <n v="413479.66"/>
    <n v="1893692"/>
    <x v="693"/>
  </r>
  <r>
    <x v="2"/>
    <s v="69"/>
    <x v="9"/>
    <x v="1"/>
    <n v="168169.04"/>
    <n v="1893692"/>
    <x v="694"/>
  </r>
  <r>
    <x v="2"/>
    <s v="69"/>
    <x v="9"/>
    <x v="2"/>
    <n v="195618.06"/>
    <n v="1893692"/>
    <x v="695"/>
  </r>
  <r>
    <x v="2"/>
    <s v="70"/>
    <x v="16"/>
    <x v="0"/>
    <n v="31842.799999999999"/>
    <n v="234296"/>
    <x v="696"/>
  </r>
  <r>
    <x v="2"/>
    <s v="70"/>
    <x v="16"/>
    <x v="1"/>
    <n v="34938.22"/>
    <n v="234296"/>
    <x v="697"/>
  </r>
  <r>
    <x v="2"/>
    <s v="70"/>
    <x v="16"/>
    <x v="2"/>
    <n v="60157.97"/>
    <n v="234296"/>
    <x v="698"/>
  </r>
  <r>
    <x v="2"/>
    <s v="71"/>
    <x v="17"/>
    <x v="0"/>
    <n v="111684.02"/>
    <n v="549288"/>
    <x v="699"/>
  </r>
  <r>
    <x v="2"/>
    <s v="71"/>
    <x v="17"/>
    <x v="1"/>
    <n v="65478.75"/>
    <n v="549288"/>
    <x v="700"/>
  </r>
  <r>
    <x v="2"/>
    <s v="71"/>
    <x v="17"/>
    <x v="2"/>
    <n v="119780.96"/>
    <n v="549288"/>
    <x v="701"/>
  </r>
  <r>
    <x v="1"/>
    <s v="40"/>
    <x v="66"/>
    <x v="0"/>
    <n v="151866.82"/>
    <n v="387929"/>
    <x v="702"/>
  </r>
  <r>
    <x v="1"/>
    <s v="40"/>
    <x v="66"/>
    <x v="1"/>
    <n v="35277.120000000003"/>
    <n v="387929"/>
    <x v="703"/>
  </r>
  <r>
    <x v="1"/>
    <s v="40"/>
    <x v="66"/>
    <x v="2"/>
    <n v="156235.75"/>
    <n v="387929"/>
    <x v="704"/>
  </r>
  <r>
    <x v="2"/>
    <s v="72"/>
    <x v="88"/>
    <x v="0"/>
    <n v="100353.56"/>
    <n v="566058"/>
    <x v="705"/>
  </r>
  <r>
    <x v="2"/>
    <s v="72"/>
    <x v="88"/>
    <x v="1"/>
    <n v="68708.820000000007"/>
    <n v="566058"/>
    <x v="706"/>
  </r>
  <r>
    <x v="2"/>
    <s v="72"/>
    <x v="88"/>
    <x v="2"/>
    <n v="121010.15"/>
    <n v="566058"/>
    <x v="707"/>
  </r>
  <r>
    <x v="2"/>
    <s v="73"/>
    <x v="10"/>
    <x v="0"/>
    <n v="114295.43"/>
    <n v="442468"/>
    <x v="708"/>
  </r>
  <r>
    <x v="2"/>
    <s v="73"/>
    <x v="10"/>
    <x v="1"/>
    <n v="47221.29"/>
    <n v="442468"/>
    <x v="709"/>
  </r>
  <r>
    <x v="2"/>
    <s v="73"/>
    <x v="10"/>
    <x v="2"/>
    <n v="95200.15"/>
    <n v="442468"/>
    <x v="710"/>
  </r>
  <r>
    <x v="2"/>
    <s v="74"/>
    <x v="11"/>
    <x v="0"/>
    <n v="220921.81"/>
    <n v="841482"/>
    <x v="711"/>
  </r>
  <r>
    <x v="2"/>
    <s v="74"/>
    <x v="11"/>
    <x v="1"/>
    <n v="78772.58"/>
    <n v="841482"/>
    <x v="712"/>
  </r>
  <r>
    <x v="2"/>
    <s v="74"/>
    <x v="11"/>
    <x v="2"/>
    <n v="185153.76"/>
    <n v="841482"/>
    <x v="713"/>
  </r>
  <r>
    <x v="1"/>
    <s v="47"/>
    <x v="67"/>
    <x v="0"/>
    <n v="90790.65"/>
    <n v="330866"/>
    <x v="714"/>
  </r>
  <r>
    <x v="1"/>
    <s v="47"/>
    <x v="67"/>
    <x v="1"/>
    <n v="31276.91"/>
    <n v="330866"/>
    <x v="715"/>
  </r>
  <r>
    <x v="1"/>
    <s v="47"/>
    <x v="67"/>
    <x v="2"/>
    <n v="50267.55"/>
    <n v="330866"/>
    <x v="716"/>
  </r>
  <r>
    <x v="2"/>
    <s v="75"/>
    <x v="47"/>
    <x v="0"/>
    <n v="647244.43999999994"/>
    <n v="2133111"/>
    <x v="717"/>
  </r>
  <r>
    <x v="2"/>
    <s v="75"/>
    <x v="47"/>
    <x v="1"/>
    <n v="266958.46999999997"/>
    <n v="2133111"/>
    <x v="718"/>
  </r>
  <r>
    <x v="2"/>
    <s v="75"/>
    <x v="47"/>
    <x v="2"/>
    <n v="2124.6999999999998"/>
    <n v="2133111"/>
    <x v="719"/>
  </r>
  <r>
    <x v="2"/>
    <s v="76"/>
    <x v="59"/>
    <x v="0"/>
    <n v="318576.59999999998"/>
    <n v="1255918"/>
    <x v="720"/>
  </r>
  <r>
    <x v="2"/>
    <s v="76"/>
    <x v="59"/>
    <x v="1"/>
    <n v="155665.69"/>
    <n v="1255918"/>
    <x v="721"/>
  </r>
  <r>
    <x v="2"/>
    <s v="76"/>
    <x v="59"/>
    <x v="2"/>
    <n v="291230.17"/>
    <n v="1255918"/>
    <x v="722"/>
  </r>
  <r>
    <x v="2"/>
    <s v="77"/>
    <x v="48"/>
    <x v="0"/>
    <n v="402782.53"/>
    <n v="1438100"/>
    <x v="723"/>
  </r>
  <r>
    <x v="2"/>
    <s v="77"/>
    <x v="48"/>
    <x v="1"/>
    <n v="179971.05"/>
    <n v="1438100"/>
    <x v="724"/>
  </r>
  <r>
    <x v="2"/>
    <s v="77"/>
    <x v="48"/>
    <x v="2"/>
    <n v="155143.69"/>
    <n v="1438100"/>
    <x v="725"/>
  </r>
  <r>
    <x v="1"/>
    <s v="64"/>
    <x v="68"/>
    <x v="0"/>
    <n v="190092.66"/>
    <n v="656608"/>
    <x v="726"/>
  </r>
  <r>
    <x v="1"/>
    <s v="64"/>
    <x v="68"/>
    <x v="1"/>
    <n v="63311.85"/>
    <n v="656608"/>
    <x v="727"/>
  </r>
  <r>
    <x v="1"/>
    <s v="64"/>
    <x v="68"/>
    <x v="2"/>
    <n v="105055.46"/>
    <n v="656608"/>
    <x v="728"/>
  </r>
  <r>
    <x v="2"/>
    <s v="78"/>
    <x v="49"/>
    <x v="0"/>
    <n v="357080.92"/>
    <n v="1456365"/>
    <x v="729"/>
  </r>
  <r>
    <x v="2"/>
    <s v="78"/>
    <x v="49"/>
    <x v="1"/>
    <n v="206038.87"/>
    <n v="1456365"/>
    <x v="730"/>
  </r>
  <r>
    <x v="2"/>
    <s v="78"/>
    <x v="49"/>
    <x v="2"/>
    <n v="117098.94"/>
    <n v="1456365"/>
    <x v="731"/>
  </r>
  <r>
    <x v="2"/>
    <s v="79"/>
    <x v="69"/>
    <x v="0"/>
    <n v="57880.86"/>
    <n v="374587"/>
    <x v="732"/>
  </r>
  <r>
    <x v="2"/>
    <s v="79"/>
    <x v="69"/>
    <x v="1"/>
    <n v="46490.7"/>
    <n v="374587"/>
    <x v="733"/>
  </r>
  <r>
    <x v="2"/>
    <s v="79"/>
    <x v="69"/>
    <x v="2"/>
    <n v="97631.13"/>
    <n v="374587"/>
    <x v="734"/>
  </r>
  <r>
    <x v="2"/>
    <s v="80"/>
    <x v="46"/>
    <x v="0"/>
    <n v="145836.26"/>
    <n v="566252"/>
    <x v="735"/>
  </r>
  <r>
    <x v="2"/>
    <s v="80"/>
    <x v="46"/>
    <x v="1"/>
    <n v="82469.009999999995"/>
    <n v="566252"/>
    <x v="736"/>
  </r>
  <r>
    <x v="2"/>
    <s v="80"/>
    <x v="46"/>
    <x v="2"/>
    <n v="128598.86"/>
    <n v="566252"/>
    <x v="737"/>
  </r>
  <r>
    <x v="1"/>
    <s v="79"/>
    <x v="69"/>
    <x v="0"/>
    <n v="75841.899999999994"/>
    <n v="370939"/>
    <x v="738"/>
  </r>
  <r>
    <x v="1"/>
    <s v="79"/>
    <x v="69"/>
    <x v="1"/>
    <n v="39305.160000000003"/>
    <n v="370939"/>
    <x v="739"/>
  </r>
  <r>
    <x v="1"/>
    <s v="79"/>
    <x v="69"/>
    <x v="2"/>
    <n v="72519.259999999995"/>
    <n v="370939"/>
    <x v="740"/>
  </r>
  <r>
    <x v="2"/>
    <s v="81"/>
    <x v="83"/>
    <x v="0"/>
    <n v="90277.34"/>
    <n v="393572"/>
    <x v="741"/>
  </r>
  <r>
    <x v="2"/>
    <s v="81"/>
    <x v="83"/>
    <x v="1"/>
    <n v="39586.74"/>
    <n v="393572"/>
    <x v="742"/>
  </r>
  <r>
    <x v="2"/>
    <s v="81"/>
    <x v="83"/>
    <x v="2"/>
    <n v="85677.119999999995"/>
    <n v="393572"/>
    <x v="743"/>
  </r>
  <r>
    <x v="2"/>
    <s v="82"/>
    <x v="84"/>
    <x v="0"/>
    <n v="64115.69"/>
    <n v="263377"/>
    <x v="744"/>
  </r>
  <r>
    <x v="2"/>
    <s v="82"/>
    <x v="84"/>
    <x v="1"/>
    <n v="32671.9"/>
    <n v="263377"/>
    <x v="745"/>
  </r>
  <r>
    <x v="2"/>
    <s v="82"/>
    <x v="84"/>
    <x v="2"/>
    <n v="52247.16"/>
    <n v="263377"/>
    <x v="746"/>
  </r>
  <r>
    <x v="2"/>
    <s v="83"/>
    <x v="94"/>
    <x v="0"/>
    <n v="428995.59"/>
    <n v="1095337"/>
    <x v="747"/>
  </r>
  <r>
    <x v="2"/>
    <s v="83"/>
    <x v="94"/>
    <x v="1"/>
    <n v="116972.88"/>
    <n v="1095337"/>
    <x v="748"/>
  </r>
  <r>
    <x v="2"/>
    <s v="83"/>
    <x v="94"/>
    <x v="2"/>
    <n v="263640.44"/>
    <n v="1095337"/>
    <x v="749"/>
  </r>
  <r>
    <x v="1"/>
    <s v="86"/>
    <x v="70"/>
    <x v="0"/>
    <n v="98400.76"/>
    <n v="428447"/>
    <x v="750"/>
  </r>
  <r>
    <x v="1"/>
    <s v="86"/>
    <x v="70"/>
    <x v="1"/>
    <n v="37141.06"/>
    <n v="428447"/>
    <x v="751"/>
  </r>
  <r>
    <x v="1"/>
    <s v="86"/>
    <x v="70"/>
    <x v="2"/>
    <n v="83741.17"/>
    <n v="428447"/>
    <x v="752"/>
  </r>
  <r>
    <x v="2"/>
    <s v="84"/>
    <x v="95"/>
    <x v="0"/>
    <n v="187924.41"/>
    <n v="564566"/>
    <x v="753"/>
  </r>
  <r>
    <x v="2"/>
    <s v="84"/>
    <x v="95"/>
    <x v="1"/>
    <n v="46117.69"/>
    <n v="564566"/>
    <x v="754"/>
  </r>
  <r>
    <x v="2"/>
    <s v="84"/>
    <x v="95"/>
    <x v="2"/>
    <n v="117772.56"/>
    <n v="564566"/>
    <x v="755"/>
  </r>
  <r>
    <x v="2"/>
    <s v="85"/>
    <x v="89"/>
    <x v="0"/>
    <n v="111538.88"/>
    <n v="699459"/>
    <x v="756"/>
  </r>
  <r>
    <x v="2"/>
    <s v="85"/>
    <x v="89"/>
    <x v="1"/>
    <n v="88754.58"/>
    <n v="699459"/>
    <x v="757"/>
  </r>
  <r>
    <x v="2"/>
    <s v="85"/>
    <x v="89"/>
    <x v="2"/>
    <n v="208247.51"/>
    <n v="699459"/>
    <x v="758"/>
  </r>
  <r>
    <x v="2"/>
    <s v="86"/>
    <x v="70"/>
    <x v="0"/>
    <n v="85252.7"/>
    <n v="439385"/>
    <x v="759"/>
  </r>
  <r>
    <x v="2"/>
    <s v="86"/>
    <x v="70"/>
    <x v="1"/>
    <n v="42105.16"/>
    <n v="439385"/>
    <x v="760"/>
  </r>
  <r>
    <x v="2"/>
    <s v="86"/>
    <x v="70"/>
    <x v="2"/>
    <n v="95925.88"/>
    <n v="439385"/>
    <x v="761"/>
  </r>
  <r>
    <x v="1"/>
    <s v="87"/>
    <x v="71"/>
    <x v="0"/>
    <n v="90529.04"/>
    <n v="376058"/>
    <x v="762"/>
  </r>
  <r>
    <x v="1"/>
    <s v="87"/>
    <x v="71"/>
    <x v="1"/>
    <n v="36552.18"/>
    <n v="376058"/>
    <x v="763"/>
  </r>
  <r>
    <x v="1"/>
    <s v="87"/>
    <x v="71"/>
    <x v="2"/>
    <n v="54900.06"/>
    <n v="376058"/>
    <x v="764"/>
  </r>
  <r>
    <x v="2"/>
    <s v="87"/>
    <x v="71"/>
    <x v="0"/>
    <n v="75475.05"/>
    <n v="371691"/>
    <x v="765"/>
  </r>
  <r>
    <x v="2"/>
    <s v="87"/>
    <x v="71"/>
    <x v="1"/>
    <n v="37051.410000000003"/>
    <n v="371691"/>
    <x v="766"/>
  </r>
  <r>
    <x v="2"/>
    <s v="87"/>
    <x v="71"/>
    <x v="2"/>
    <n v="69603.289999999994"/>
    <n v="371691"/>
    <x v="767"/>
  </r>
  <r>
    <x v="2"/>
    <s v="88"/>
    <x v="41"/>
    <x v="0"/>
    <n v="74199.23"/>
    <n v="360673"/>
    <x v="768"/>
  </r>
  <r>
    <x v="2"/>
    <s v="88"/>
    <x v="41"/>
    <x v="1"/>
    <n v="40712.29"/>
    <n v="360673"/>
    <x v="769"/>
  </r>
  <r>
    <x v="2"/>
    <s v="88"/>
    <x v="41"/>
    <x v="2"/>
    <n v="84383.35"/>
    <n v="360673"/>
    <x v="770"/>
  </r>
  <r>
    <x v="2"/>
    <s v="89"/>
    <x v="18"/>
    <x v="0"/>
    <n v="66488.570000000007"/>
    <n v="333385"/>
    <x v="771"/>
  </r>
  <r>
    <x v="2"/>
    <s v="89"/>
    <x v="18"/>
    <x v="1"/>
    <n v="48848.95"/>
    <n v="333385"/>
    <x v="772"/>
  </r>
  <r>
    <x v="2"/>
    <s v="89"/>
    <x v="18"/>
    <x v="2"/>
    <n v="78698.62"/>
    <n v="333385"/>
    <x v="773"/>
  </r>
  <r>
    <x v="1"/>
    <s v="09"/>
    <x v="72"/>
    <x v="0"/>
    <n v="47020.08"/>
    <n v="152286"/>
    <x v="774"/>
  </r>
  <r>
    <x v="1"/>
    <s v="09"/>
    <x v="72"/>
    <x v="1"/>
    <n v="22379.35"/>
    <n v="152286"/>
    <x v="775"/>
  </r>
  <r>
    <x v="1"/>
    <s v="09"/>
    <x v="72"/>
    <x v="2"/>
    <n v="28181.71"/>
    <n v="152286"/>
    <x v="776"/>
  </r>
  <r>
    <x v="2"/>
    <s v="90"/>
    <x v="19"/>
    <x v="0"/>
    <n v="27849.200000000001"/>
    <n v="139654"/>
    <x v="777"/>
  </r>
  <r>
    <x v="2"/>
    <s v="90"/>
    <x v="19"/>
    <x v="1"/>
    <n v="33678.92"/>
    <n v="139654"/>
    <x v="778"/>
  </r>
  <r>
    <x v="2"/>
    <s v="90"/>
    <x v="19"/>
    <x v="2"/>
    <n v="22720.84"/>
    <n v="139654"/>
    <x v="779"/>
  </r>
  <r>
    <x v="2"/>
    <s v="91"/>
    <x v="50"/>
    <x v="0"/>
    <n v="312134.38"/>
    <n v="1313768"/>
    <x v="780"/>
  </r>
  <r>
    <x v="2"/>
    <s v="91"/>
    <x v="50"/>
    <x v="1"/>
    <n v="207427.37"/>
    <n v="1313768"/>
    <x v="781"/>
  </r>
  <r>
    <x v="2"/>
    <s v="91"/>
    <x v="50"/>
    <x v="2"/>
    <n v="151658.09"/>
    <n v="1313768"/>
    <x v="782"/>
  </r>
  <r>
    <x v="2"/>
    <s v="92"/>
    <x v="51"/>
    <x v="0"/>
    <n v="424846.75"/>
    <n v="1635291"/>
    <x v="783"/>
  </r>
  <r>
    <x v="2"/>
    <s v="92"/>
    <x v="51"/>
    <x v="1"/>
    <n v="157518.09"/>
    <n v="1635291"/>
    <x v="784"/>
  </r>
  <r>
    <x v="2"/>
    <s v="92"/>
    <x v="51"/>
    <x v="2"/>
    <n v="59246.52"/>
    <n v="1635291"/>
    <x v="785"/>
  </r>
  <r>
    <x v="1"/>
    <s v="11"/>
    <x v="73"/>
    <x v="0"/>
    <n v="122543.97"/>
    <n v="359967"/>
    <x v="786"/>
  </r>
  <r>
    <x v="1"/>
    <s v="11"/>
    <x v="73"/>
    <x v="1"/>
    <n v="29040"/>
    <n v="359967"/>
    <x v="787"/>
  </r>
  <r>
    <x v="1"/>
    <s v="11"/>
    <x v="73"/>
    <x v="2"/>
    <n v="64423.42"/>
    <n v="359967"/>
    <x v="788"/>
  </r>
  <r>
    <x v="2"/>
    <s v="93"/>
    <x v="52"/>
    <x v="0"/>
    <n v="511866.84"/>
    <n v="1668670"/>
    <x v="789"/>
  </r>
  <r>
    <x v="2"/>
    <s v="93"/>
    <x v="52"/>
    <x v="1"/>
    <n v="127726.17"/>
    <n v="1668670"/>
    <x v="790"/>
  </r>
  <r>
    <x v="2"/>
    <s v="93"/>
    <x v="52"/>
    <x v="2"/>
    <n v="90325.92"/>
    <n v="1668670"/>
    <x v="791"/>
  </r>
  <r>
    <x v="2"/>
    <s v="94"/>
    <x v="53"/>
    <x v="0"/>
    <n v="373937.7"/>
    <n v="1415367"/>
    <x v="792"/>
  </r>
  <r>
    <x v="2"/>
    <s v="94"/>
    <x v="53"/>
    <x v="1"/>
    <n v="140273.10999999999"/>
    <n v="1415367"/>
    <x v="793"/>
  </r>
  <r>
    <x v="2"/>
    <s v="94"/>
    <x v="53"/>
    <x v="2"/>
    <n v="35410.03"/>
    <n v="1415367"/>
    <x v="794"/>
  </r>
  <r>
    <x v="2"/>
    <s v="95"/>
    <x v="54"/>
    <x v="0"/>
    <n v="354166.28"/>
    <n v="1256607"/>
    <x v="795"/>
  </r>
  <r>
    <x v="2"/>
    <s v="95"/>
    <x v="54"/>
    <x v="1"/>
    <n v="178528.59"/>
    <n v="1256607"/>
    <x v="796"/>
  </r>
  <r>
    <x v="2"/>
    <s v="95"/>
    <x v="54"/>
    <x v="2"/>
    <n v="107465.17"/>
    <n v="1256607"/>
    <x v="797"/>
  </r>
  <r>
    <x v="1"/>
    <s v="12"/>
    <x v="74"/>
    <x v="0"/>
    <n v="65080.42"/>
    <n v="275813"/>
    <x v="798"/>
  </r>
  <r>
    <x v="1"/>
    <s v="12"/>
    <x v="74"/>
    <x v="1"/>
    <n v="26039.97"/>
    <n v="275813"/>
    <x v="799"/>
  </r>
  <r>
    <x v="1"/>
    <s v="12"/>
    <x v="74"/>
    <x v="2"/>
    <n v="36763.019999999997"/>
    <n v="275813"/>
    <x v="800"/>
  </r>
  <r>
    <x v="1"/>
    <s v="30"/>
    <x v="75"/>
    <x v="0"/>
    <n v="222137.07"/>
    <n v="718357"/>
    <x v="801"/>
  </r>
  <r>
    <x v="1"/>
    <s v="30"/>
    <x v="75"/>
    <x v="1"/>
    <n v="70422.48"/>
    <n v="718357"/>
    <x v="802"/>
  </r>
  <r>
    <x v="1"/>
    <s v="30"/>
    <x v="75"/>
    <x v="2"/>
    <n v="105595.69"/>
    <n v="718357"/>
    <x v="803"/>
  </r>
  <r>
    <x v="1"/>
    <s v="31"/>
    <x v="76"/>
    <x v="0"/>
    <n v="352016.16"/>
    <n v="1260226"/>
    <x v="804"/>
  </r>
  <r>
    <x v="1"/>
    <s v="31"/>
    <x v="76"/>
    <x v="1"/>
    <n v="133975.25"/>
    <n v="1260226"/>
    <x v="805"/>
  </r>
  <r>
    <x v="1"/>
    <s v="31"/>
    <x v="76"/>
    <x v="2"/>
    <n v="108482.46"/>
    <n v="1260226"/>
    <x v="806"/>
  </r>
  <r>
    <x v="1"/>
    <s v="32"/>
    <x v="77"/>
    <x v="0"/>
    <n v="48682.28"/>
    <n v="188893"/>
    <x v="807"/>
  </r>
  <r>
    <x v="1"/>
    <s v="32"/>
    <x v="77"/>
    <x v="1"/>
    <n v="15698.78"/>
    <n v="188893"/>
    <x v="808"/>
  </r>
  <r>
    <x v="1"/>
    <s v="32"/>
    <x v="77"/>
    <x v="2"/>
    <n v="22907.77"/>
    <n v="188893"/>
    <x v="809"/>
  </r>
  <r>
    <x v="1"/>
    <s v="34"/>
    <x v="78"/>
    <x v="0"/>
    <n v="348589.86"/>
    <n v="1062036"/>
    <x v="810"/>
  </r>
  <r>
    <x v="1"/>
    <s v="34"/>
    <x v="78"/>
    <x v="1"/>
    <n v="99609.47"/>
    <n v="1062036"/>
    <x v="811"/>
  </r>
  <r>
    <x v="1"/>
    <s v="34"/>
    <x v="78"/>
    <x v="2"/>
    <n v="210809.28"/>
    <n v="1062036"/>
    <x v="812"/>
  </r>
  <r>
    <x v="1"/>
    <s v="46"/>
    <x v="79"/>
    <x v="0"/>
    <n v="42013.36"/>
    <n v="174754"/>
    <x v="813"/>
  </r>
  <r>
    <x v="1"/>
    <s v="46"/>
    <x v="79"/>
    <x v="1"/>
    <n v="22257.07"/>
    <n v="174754"/>
    <x v="814"/>
  </r>
  <r>
    <x v="1"/>
    <s v="46"/>
    <x v="79"/>
    <x v="2"/>
    <n v="26291.79"/>
    <n v="174754"/>
    <x v="815"/>
  </r>
  <r>
    <x v="1"/>
    <s v="48"/>
    <x v="80"/>
    <x v="0"/>
    <n v="21688.65"/>
    <n v="77156"/>
    <x v="816"/>
  </r>
  <r>
    <x v="1"/>
    <s v="48"/>
    <x v="80"/>
    <x v="1"/>
    <n v="5910.79"/>
    <n v="77156"/>
    <x v="817"/>
  </r>
  <r>
    <x v="1"/>
    <s v="48"/>
    <x v="80"/>
    <x v="2"/>
    <n v="11638.14"/>
    <n v="77156"/>
    <x v="818"/>
  </r>
  <r>
    <x v="1"/>
    <s v="65"/>
    <x v="81"/>
    <x v="0"/>
    <n v="71777.119999999995"/>
    <n v="229228"/>
    <x v="819"/>
  </r>
  <r>
    <x v="1"/>
    <s v="65"/>
    <x v="81"/>
    <x v="1"/>
    <n v="19676.29"/>
    <n v="229228"/>
    <x v="820"/>
  </r>
  <r>
    <x v="1"/>
    <s v="65"/>
    <x v="81"/>
    <x v="2"/>
    <n v="41517.89"/>
    <n v="229228"/>
    <x v="821"/>
  </r>
  <r>
    <x v="1"/>
    <s v="66"/>
    <x v="82"/>
    <x v="0"/>
    <n v="164274.19"/>
    <n v="452530"/>
    <x v="822"/>
  </r>
  <r>
    <x v="1"/>
    <s v="66"/>
    <x v="82"/>
    <x v="1"/>
    <n v="52166.05"/>
    <n v="452530"/>
    <x v="823"/>
  </r>
  <r>
    <x v="1"/>
    <s v="66"/>
    <x v="82"/>
    <x v="2"/>
    <n v="82166"/>
    <n v="452530"/>
    <x v="824"/>
  </r>
  <r>
    <x v="1"/>
    <s v="81"/>
    <x v="83"/>
    <x v="0"/>
    <n v="96771.92"/>
    <n v="377675"/>
    <x v="825"/>
  </r>
  <r>
    <x v="1"/>
    <s v="81"/>
    <x v="83"/>
    <x v="1"/>
    <n v="31384.37"/>
    <n v="377675"/>
    <x v="826"/>
  </r>
  <r>
    <x v="1"/>
    <s v="81"/>
    <x v="83"/>
    <x v="2"/>
    <n v="50968.05"/>
    <n v="377675"/>
    <x v="827"/>
  </r>
  <r>
    <x v="1"/>
    <s v="82"/>
    <x v="84"/>
    <x v="0"/>
    <n v="64433.7"/>
    <n v="244545"/>
    <x v="828"/>
  </r>
  <r>
    <x v="1"/>
    <s v="82"/>
    <x v="84"/>
    <x v="1"/>
    <n v="23711.16"/>
    <n v="244545"/>
    <x v="829"/>
  </r>
  <r>
    <x v="1"/>
    <s v="82"/>
    <x v="84"/>
    <x v="2"/>
    <n v="26686.61"/>
    <n v="244545"/>
    <x v="830"/>
  </r>
  <r>
    <x v="1"/>
    <s v="44"/>
    <x v="85"/>
    <x v="0"/>
    <n v="298456.96999999997"/>
    <n v="1296364"/>
    <x v="831"/>
  </r>
  <r>
    <x v="1"/>
    <s v="44"/>
    <x v="85"/>
    <x v="1"/>
    <n v="132249.1"/>
    <n v="1296364"/>
    <x v="832"/>
  </r>
  <r>
    <x v="1"/>
    <s v="44"/>
    <x v="85"/>
    <x v="2"/>
    <n v="241176.01"/>
    <n v="1296364"/>
    <x v="833"/>
  </r>
  <r>
    <x v="1"/>
    <s v="49"/>
    <x v="86"/>
    <x v="0"/>
    <n v="143179.06"/>
    <n v="790343"/>
    <x v="834"/>
  </r>
  <r>
    <x v="1"/>
    <s v="49"/>
    <x v="86"/>
    <x v="1"/>
    <n v="73860.66"/>
    <n v="790343"/>
    <x v="835"/>
  </r>
  <r>
    <x v="1"/>
    <s v="49"/>
    <x v="86"/>
    <x v="2"/>
    <n v="127201.63"/>
    <n v="790343"/>
    <x v="836"/>
  </r>
  <r>
    <x v="1"/>
    <s v="53"/>
    <x v="87"/>
    <x v="0"/>
    <n v="64514.22"/>
    <n v="307031"/>
    <x v="837"/>
  </r>
  <r>
    <x v="1"/>
    <s v="53"/>
    <x v="87"/>
    <x v="1"/>
    <n v="29570.58"/>
    <n v="307031"/>
    <x v="838"/>
  </r>
  <r>
    <x v="1"/>
    <s v="53"/>
    <x v="87"/>
    <x v="2"/>
    <n v="54077.4"/>
    <n v="307031"/>
    <x v="839"/>
  </r>
  <r>
    <x v="1"/>
    <s v="72"/>
    <x v="88"/>
    <x v="0"/>
    <n v="124999.96"/>
    <n v="565718"/>
    <x v="840"/>
  </r>
  <r>
    <x v="1"/>
    <s v="72"/>
    <x v="88"/>
    <x v="1"/>
    <n v="56967.55"/>
    <n v="565718"/>
    <x v="841"/>
  </r>
  <r>
    <x v="1"/>
    <s v="72"/>
    <x v="88"/>
    <x v="2"/>
    <n v="86648.84"/>
    <n v="565718"/>
    <x v="842"/>
  </r>
  <r>
    <x v="1"/>
    <s v="85"/>
    <x v="89"/>
    <x v="0"/>
    <n v="143705.92000000001"/>
    <n v="641657"/>
    <x v="843"/>
  </r>
  <r>
    <x v="1"/>
    <s v="85"/>
    <x v="89"/>
    <x v="1"/>
    <n v="72712.47"/>
    <n v="641657"/>
    <x v="844"/>
  </r>
  <r>
    <x v="1"/>
    <s v="85"/>
    <x v="89"/>
    <x v="2"/>
    <n v="160143.65"/>
    <n v="641657"/>
    <x v="845"/>
  </r>
  <r>
    <x v="1"/>
    <s v="04"/>
    <x v="90"/>
    <x v="0"/>
    <n v="61117.39"/>
    <n v="160959"/>
    <x v="846"/>
  </r>
  <r>
    <x v="1"/>
    <s v="04"/>
    <x v="90"/>
    <x v="1"/>
    <n v="9510.07"/>
    <n v="160959"/>
    <x v="847"/>
  </r>
  <r>
    <x v="1"/>
    <s v="04"/>
    <x v="90"/>
    <x v="2"/>
    <n v="31412.7"/>
    <n v="160959"/>
    <x v="848"/>
  </r>
  <r>
    <x v="1"/>
    <s v="05"/>
    <x v="91"/>
    <x v="0"/>
    <n v="49239.8"/>
    <n v="138605"/>
    <x v="849"/>
  </r>
  <r>
    <x v="1"/>
    <s v="05"/>
    <x v="91"/>
    <x v="1"/>
    <n v="13714.56"/>
    <n v="138605"/>
    <x v="850"/>
  </r>
  <r>
    <x v="1"/>
    <s v="05"/>
    <x v="91"/>
    <x v="2"/>
    <n v="25961.15"/>
    <n v="138605"/>
    <x v="851"/>
  </r>
  <r>
    <x v="1"/>
    <s v="06"/>
    <x v="92"/>
    <x v="0"/>
    <n v="492445.17"/>
    <n v="1081244"/>
    <x v="852"/>
  </r>
  <r>
    <x v="1"/>
    <s v="06"/>
    <x v="92"/>
    <x v="1"/>
    <n v="104452.45"/>
    <n v="1081244"/>
    <x v="853"/>
  </r>
  <r>
    <x v="1"/>
    <s v="06"/>
    <x v="92"/>
    <x v="2"/>
    <n v="156936.9"/>
    <n v="1081244"/>
    <x v="854"/>
  </r>
  <r>
    <x v="1"/>
    <s v="13"/>
    <x v="93"/>
    <x v="0"/>
    <n v="789427.16"/>
    <n v="1975896"/>
    <x v="855"/>
  </r>
  <r>
    <x v="1"/>
    <s v="13"/>
    <x v="93"/>
    <x v="1"/>
    <n v="106682.76"/>
    <n v="1975896"/>
    <x v="856"/>
  </r>
  <r>
    <x v="1"/>
    <s v="13"/>
    <x v="93"/>
    <x v="2"/>
    <n v="285446.46000000002"/>
    <n v="1975896"/>
    <x v="857"/>
  </r>
  <r>
    <x v="1"/>
    <s v="83"/>
    <x v="94"/>
    <x v="0"/>
    <n v="490318.1"/>
    <n v="1012735"/>
    <x v="858"/>
  </r>
  <r>
    <x v="1"/>
    <s v="83"/>
    <x v="94"/>
    <x v="1"/>
    <n v="89727.99"/>
    <n v="1012735"/>
    <x v="859"/>
  </r>
  <r>
    <x v="1"/>
    <s v="83"/>
    <x v="94"/>
    <x v="2"/>
    <n v="155085.85999999999"/>
    <n v="1012735"/>
    <x v="860"/>
  </r>
  <r>
    <x v="1"/>
    <s v="84"/>
    <x v="95"/>
    <x v="0"/>
    <n v="201187.42"/>
    <n v="546630"/>
    <x v="861"/>
  </r>
  <r>
    <x v="1"/>
    <s v="84"/>
    <x v="95"/>
    <x v="1"/>
    <n v="33155.910000000003"/>
    <n v="546630"/>
    <x v="862"/>
  </r>
  <r>
    <x v="1"/>
    <s v="84"/>
    <x v="95"/>
    <x v="2"/>
    <n v="102270.84"/>
    <n v="546630"/>
    <x v="863"/>
  </r>
  <r>
    <x v="3"/>
    <s v="01"/>
    <x v="0"/>
    <x v="0"/>
    <n v="125932.38"/>
    <n v="619497"/>
    <x v="864"/>
  </r>
  <r>
    <x v="3"/>
    <s v="01"/>
    <x v="0"/>
    <x v="1"/>
    <n v="48737.35"/>
    <n v="619497"/>
    <x v="865"/>
  </r>
  <r>
    <x v="3"/>
    <s v="01"/>
    <x v="0"/>
    <x v="2"/>
    <n v="119930.4"/>
    <n v="619497"/>
    <x v="866"/>
  </r>
  <r>
    <x v="3"/>
    <s v="03"/>
    <x v="1"/>
    <x v="0"/>
    <n v="94243.8"/>
    <n v="343431"/>
    <x v="867"/>
  </r>
  <r>
    <x v="3"/>
    <s v="03"/>
    <x v="1"/>
    <x v="1"/>
    <n v="26605.56"/>
    <n v="343431"/>
    <x v="868"/>
  </r>
  <r>
    <x v="3"/>
    <s v="03"/>
    <x v="1"/>
    <x v="2"/>
    <n v="58369.79"/>
    <n v="343431"/>
    <x v="869"/>
  </r>
  <r>
    <x v="3"/>
    <s v="07"/>
    <x v="2"/>
    <x v="0"/>
    <n v="83497.070000000007"/>
    <n v="320379"/>
    <x v="870"/>
  </r>
  <r>
    <x v="3"/>
    <s v="07"/>
    <x v="2"/>
    <x v="1"/>
    <n v="23480.85"/>
    <n v="320379"/>
    <x v="871"/>
  </r>
  <r>
    <x v="3"/>
    <s v="07"/>
    <x v="2"/>
    <x v="2"/>
    <n v="50986.83"/>
    <n v="320379"/>
    <x v="872"/>
  </r>
  <r>
    <x v="3"/>
    <s v="15"/>
    <x v="3"/>
    <x v="0"/>
    <n v="39395.61"/>
    <n v="147035"/>
    <x v="873"/>
  </r>
  <r>
    <x v="3"/>
    <s v="15"/>
    <x v="3"/>
    <x v="1"/>
    <n v="12232.36"/>
    <n v="147035"/>
    <x v="874"/>
  </r>
  <r>
    <x v="3"/>
    <s v="15"/>
    <x v="3"/>
    <x v="2"/>
    <n v="19960.66"/>
    <n v="147035"/>
    <x v="875"/>
  </r>
  <r>
    <x v="3"/>
    <s v="26"/>
    <x v="4"/>
    <x v="0"/>
    <n v="127278.75"/>
    <n v="494712"/>
    <x v="876"/>
  </r>
  <r>
    <x v="3"/>
    <s v="26"/>
    <x v="4"/>
    <x v="1"/>
    <n v="33669.46"/>
    <n v="494712"/>
    <x v="877"/>
  </r>
  <r>
    <x v="3"/>
    <s v="26"/>
    <x v="4"/>
    <x v="2"/>
    <n v="90286.73"/>
    <n v="494712"/>
    <x v="878"/>
  </r>
  <r>
    <x v="3"/>
    <s v="38"/>
    <x v="5"/>
    <x v="0"/>
    <n v="275259.46999999997"/>
    <n v="1235387"/>
    <x v="879"/>
  </r>
  <r>
    <x v="3"/>
    <s v="38"/>
    <x v="5"/>
    <x v="1"/>
    <n v="97642.23"/>
    <n v="1235387"/>
    <x v="880"/>
  </r>
  <r>
    <x v="3"/>
    <s v="38"/>
    <x v="5"/>
    <x v="2"/>
    <n v="260143.02"/>
    <n v="1235387"/>
    <x v="881"/>
  </r>
  <r>
    <x v="3"/>
    <s v="42"/>
    <x v="6"/>
    <x v="0"/>
    <n v="176042.49"/>
    <n v="756715"/>
    <x v="882"/>
  </r>
  <r>
    <x v="3"/>
    <s v="42"/>
    <x v="6"/>
    <x v="1"/>
    <n v="56828.160000000003"/>
    <n v="756715"/>
    <x v="883"/>
  </r>
  <r>
    <x v="3"/>
    <s v="42"/>
    <x v="6"/>
    <x v="2"/>
    <n v="117502.31"/>
    <n v="756715"/>
    <x v="884"/>
  </r>
  <r>
    <x v="3"/>
    <s v="43"/>
    <x v="7"/>
    <x v="0"/>
    <n v="51833.97"/>
    <n v="226203"/>
    <x v="885"/>
  </r>
  <r>
    <x v="3"/>
    <s v="43"/>
    <x v="7"/>
    <x v="1"/>
    <n v="18956.66"/>
    <n v="226203"/>
    <x v="886"/>
  </r>
  <r>
    <x v="3"/>
    <s v="43"/>
    <x v="7"/>
    <x v="2"/>
    <n v="32610.75"/>
    <n v="226203"/>
    <x v="887"/>
  </r>
  <r>
    <x v="3"/>
    <s v="63"/>
    <x v="8"/>
    <x v="0"/>
    <n v="146400.01999999999"/>
    <n v="640999"/>
    <x v="888"/>
  </r>
  <r>
    <x v="3"/>
    <s v="63"/>
    <x v="8"/>
    <x v="1"/>
    <n v="70188.92"/>
    <n v="640999"/>
    <x v="889"/>
  </r>
  <r>
    <x v="3"/>
    <s v="63"/>
    <x v="8"/>
    <x v="2"/>
    <n v="93291.61"/>
    <n v="640999"/>
    <x v="890"/>
  </r>
  <r>
    <x v="3"/>
    <s v="69"/>
    <x v="9"/>
    <x v="0"/>
    <n v="401225.05"/>
    <n v="1779845"/>
    <x v="891"/>
  </r>
  <r>
    <x v="3"/>
    <s v="69"/>
    <x v="9"/>
    <x v="1"/>
    <n v="123041"/>
    <n v="1779845"/>
    <x v="892"/>
  </r>
  <r>
    <x v="3"/>
    <s v="69"/>
    <x v="9"/>
    <x v="2"/>
    <n v="167613.9"/>
    <n v="1779845"/>
    <x v="893"/>
  </r>
  <r>
    <x v="3"/>
    <s v="73"/>
    <x v="10"/>
    <x v="0"/>
    <n v="130554.75"/>
    <n v="423715"/>
    <x v="894"/>
  </r>
  <r>
    <x v="3"/>
    <s v="73"/>
    <x v="10"/>
    <x v="1"/>
    <n v="45422.400000000001"/>
    <n v="423715"/>
    <x v="895"/>
  </r>
  <r>
    <x v="3"/>
    <s v="73"/>
    <x v="10"/>
    <x v="2"/>
    <n v="95357.2"/>
    <n v="423715"/>
    <x v="896"/>
  </r>
  <r>
    <x v="3"/>
    <s v="74"/>
    <x v="11"/>
    <x v="0"/>
    <n v="231336"/>
    <n v="769677"/>
    <x v="897"/>
  </r>
  <r>
    <x v="3"/>
    <s v="74"/>
    <x v="11"/>
    <x v="1"/>
    <n v="66440.47"/>
    <n v="769677"/>
    <x v="898"/>
  </r>
  <r>
    <x v="3"/>
    <s v="74"/>
    <x v="11"/>
    <x v="2"/>
    <n v="163625.13"/>
    <n v="769677"/>
    <x v="899"/>
  </r>
  <r>
    <x v="3"/>
    <s v="21"/>
    <x v="12"/>
    <x v="0"/>
    <n v="123566.32"/>
    <n v="529761"/>
    <x v="900"/>
  </r>
  <r>
    <x v="3"/>
    <s v="21"/>
    <x v="12"/>
    <x v="1"/>
    <n v="56068.39"/>
    <n v="529761"/>
    <x v="901"/>
  </r>
  <r>
    <x v="3"/>
    <s v="21"/>
    <x v="12"/>
    <x v="2"/>
    <n v="86318.86"/>
    <n v="529761"/>
    <x v="902"/>
  </r>
  <r>
    <x v="3"/>
    <s v="25"/>
    <x v="13"/>
    <x v="0"/>
    <n v="105883.56"/>
    <n v="533320"/>
    <x v="903"/>
  </r>
  <r>
    <x v="3"/>
    <s v="25"/>
    <x v="13"/>
    <x v="1"/>
    <n v="56479.74"/>
    <n v="533320"/>
    <x v="904"/>
  </r>
  <r>
    <x v="3"/>
    <s v="25"/>
    <x v="13"/>
    <x v="2"/>
    <n v="95351.52"/>
    <n v="533320"/>
    <x v="905"/>
  </r>
  <r>
    <x v="3"/>
    <s v="39"/>
    <x v="14"/>
    <x v="0"/>
    <n v="51156.13"/>
    <n v="260502"/>
    <x v="906"/>
  </r>
  <r>
    <x v="3"/>
    <s v="39"/>
    <x v="14"/>
    <x v="1"/>
    <n v="34999.33"/>
    <n v="260502"/>
    <x v="907"/>
  </r>
  <r>
    <x v="3"/>
    <s v="39"/>
    <x v="14"/>
    <x v="2"/>
    <n v="39904.36"/>
    <n v="260502"/>
    <x v="908"/>
  </r>
  <r>
    <x v="3"/>
    <s v="58"/>
    <x v="15"/>
    <x v="0"/>
    <n v="43433.85"/>
    <n v="215221"/>
    <x v="909"/>
  </r>
  <r>
    <x v="3"/>
    <s v="58"/>
    <x v="15"/>
    <x v="1"/>
    <n v="21895.53"/>
    <n v="215221"/>
    <x v="910"/>
  </r>
  <r>
    <x v="3"/>
    <s v="58"/>
    <x v="15"/>
    <x v="2"/>
    <n v="40679.57"/>
    <n v="215221"/>
    <x v="911"/>
  </r>
  <r>
    <x v="3"/>
    <s v="70"/>
    <x v="16"/>
    <x v="0"/>
    <n v="38244.31"/>
    <n v="238956"/>
    <x v="912"/>
  </r>
  <r>
    <x v="3"/>
    <s v="70"/>
    <x v="16"/>
    <x v="1"/>
    <n v="24583.87"/>
    <n v="238956"/>
    <x v="913"/>
  </r>
  <r>
    <x v="3"/>
    <s v="70"/>
    <x v="16"/>
    <x v="2"/>
    <n v="46781.33"/>
    <n v="238956"/>
    <x v="914"/>
  </r>
  <r>
    <x v="3"/>
    <s v="71"/>
    <x v="17"/>
    <x v="0"/>
    <n v="118035.02"/>
    <n v="556222"/>
    <x v="915"/>
  </r>
  <r>
    <x v="3"/>
    <s v="71"/>
    <x v="17"/>
    <x v="1"/>
    <n v="56098.83"/>
    <n v="556222"/>
    <x v="916"/>
  </r>
  <r>
    <x v="3"/>
    <s v="71"/>
    <x v="17"/>
    <x v="2"/>
    <n v="109813.85"/>
    <n v="556222"/>
    <x v="917"/>
  </r>
  <r>
    <x v="3"/>
    <s v="89"/>
    <x v="18"/>
    <x v="0"/>
    <n v="83674.880000000005"/>
    <n v="341483"/>
    <x v="918"/>
  </r>
  <r>
    <x v="3"/>
    <s v="89"/>
    <x v="18"/>
    <x v="1"/>
    <n v="32865.199999999997"/>
    <n v="341483"/>
    <x v="919"/>
  </r>
  <r>
    <x v="3"/>
    <s v="89"/>
    <x v="18"/>
    <x v="2"/>
    <n v="59557.79"/>
    <n v="341483"/>
    <x v="920"/>
  </r>
  <r>
    <x v="3"/>
    <s v="90"/>
    <x v="19"/>
    <x v="0"/>
    <n v="32798.61"/>
    <n v="144318"/>
    <x v="921"/>
  </r>
  <r>
    <x v="3"/>
    <s v="90"/>
    <x v="19"/>
    <x v="1"/>
    <n v="21456.31"/>
    <n v="144318"/>
    <x v="922"/>
  </r>
  <r>
    <x v="3"/>
    <s v="90"/>
    <x v="19"/>
    <x v="2"/>
    <n v="17899.919999999998"/>
    <n v="144318"/>
    <x v="923"/>
  </r>
  <r>
    <x v="3"/>
    <s v="22"/>
    <x v="20"/>
    <x v="0"/>
    <n v="134439.49"/>
    <n v="597085"/>
    <x v="924"/>
  </r>
  <r>
    <x v="3"/>
    <s v="22"/>
    <x v="20"/>
    <x v="1"/>
    <n v="62398.29"/>
    <n v="597085"/>
    <x v="925"/>
  </r>
  <r>
    <x v="3"/>
    <s v="22"/>
    <x v="20"/>
    <x v="2"/>
    <n v="180557.96"/>
    <n v="597085"/>
    <x v="926"/>
  </r>
  <r>
    <x v="4"/>
    <s v="01"/>
    <x v="0"/>
    <x v="0"/>
    <n v="122243.91"/>
    <n v="652432"/>
    <x v="927"/>
  </r>
  <r>
    <x v="4"/>
    <s v="01"/>
    <x v="0"/>
    <x v="1"/>
    <n v="54561.75"/>
    <n v="652432"/>
    <x v="928"/>
  </r>
  <r>
    <x v="4"/>
    <s v="01"/>
    <x v="0"/>
    <x v="2"/>
    <n v="130680.29"/>
    <n v="652432"/>
    <x v="929"/>
  </r>
  <r>
    <x v="4"/>
    <s v="02"/>
    <x v="42"/>
    <x v="0"/>
    <n v="122526.19"/>
    <n v="531345"/>
    <x v="930"/>
  </r>
  <r>
    <x v="4"/>
    <s v="02"/>
    <x v="42"/>
    <x v="1"/>
    <n v="60257.31"/>
    <n v="531345"/>
    <x v="931"/>
  </r>
  <r>
    <x v="4"/>
    <s v="02"/>
    <x v="42"/>
    <x v="2"/>
    <n v="103491.49"/>
    <n v="531345"/>
    <x v="932"/>
  </r>
  <r>
    <x v="4"/>
    <s v="03"/>
    <x v="1"/>
    <x v="0"/>
    <n v="80535.179999999993"/>
    <n v="335975"/>
    <x v="933"/>
  </r>
  <r>
    <x v="4"/>
    <s v="03"/>
    <x v="1"/>
    <x v="1"/>
    <n v="34020.800000000003"/>
    <n v="335975"/>
    <x v="934"/>
  </r>
  <r>
    <x v="4"/>
    <s v="03"/>
    <x v="1"/>
    <x v="2"/>
    <n v="63313.8"/>
    <n v="335975"/>
    <x v="935"/>
  </r>
  <r>
    <x v="3"/>
    <s v="29"/>
    <x v="21"/>
    <x v="0"/>
    <n v="223760.14"/>
    <n v="903921"/>
    <x v="936"/>
  </r>
  <r>
    <x v="3"/>
    <s v="29"/>
    <x v="21"/>
    <x v="1"/>
    <n v="138239.54"/>
    <n v="903921"/>
    <x v="937"/>
  </r>
  <r>
    <x v="3"/>
    <s v="29"/>
    <x v="21"/>
    <x v="2"/>
    <n v="254438.17"/>
    <n v="903921"/>
    <x v="938"/>
  </r>
  <r>
    <x v="4"/>
    <s v="04"/>
    <x v="90"/>
    <x v="0"/>
    <n v="56766.5"/>
    <n v="164308"/>
    <x v="939"/>
  </r>
  <r>
    <x v="4"/>
    <s v="04"/>
    <x v="90"/>
    <x v="1"/>
    <n v="11446.06"/>
    <n v="164308"/>
    <x v="940"/>
  </r>
  <r>
    <x v="4"/>
    <s v="04"/>
    <x v="90"/>
    <x v="2"/>
    <n v="40850.57"/>
    <n v="164308"/>
    <x v="941"/>
  </r>
  <r>
    <x v="4"/>
    <s v="05"/>
    <x v="91"/>
    <x v="0"/>
    <n v="41718.31"/>
    <n v="141220"/>
    <x v="942"/>
  </r>
  <r>
    <x v="4"/>
    <s v="05"/>
    <x v="91"/>
    <x v="1"/>
    <n v="15025.81"/>
    <n v="141220"/>
    <x v="943"/>
  </r>
  <r>
    <x v="4"/>
    <s v="05"/>
    <x v="91"/>
    <x v="2"/>
    <n v="33043.71"/>
    <n v="141220"/>
    <x v="944"/>
  </r>
  <r>
    <x v="4"/>
    <s v="06"/>
    <x v="92"/>
    <x v="0"/>
    <n v="417814"/>
    <n v="1094283"/>
    <x v="945"/>
  </r>
  <r>
    <x v="4"/>
    <s v="06"/>
    <x v="92"/>
    <x v="1"/>
    <n v="149340.1"/>
    <n v="1094283"/>
    <x v="946"/>
  </r>
  <r>
    <x v="4"/>
    <s v="06"/>
    <x v="92"/>
    <x v="2"/>
    <n v="190679.13"/>
    <n v="1094283"/>
    <x v="947"/>
  </r>
  <r>
    <x v="3"/>
    <s v="35"/>
    <x v="22"/>
    <x v="0"/>
    <n v="201675.09"/>
    <n v="1019923"/>
    <x v="948"/>
  </r>
  <r>
    <x v="3"/>
    <s v="35"/>
    <x v="22"/>
    <x v="1"/>
    <n v="107321.17"/>
    <n v="1019923"/>
    <x v="949"/>
  </r>
  <r>
    <x v="3"/>
    <s v="35"/>
    <x v="22"/>
    <x v="2"/>
    <n v="164826.78"/>
    <n v="1019923"/>
    <x v="950"/>
  </r>
  <r>
    <x v="4"/>
    <s v="07"/>
    <x v="2"/>
    <x v="0"/>
    <n v="76434.02"/>
    <n v="328278"/>
    <x v="951"/>
  </r>
  <r>
    <x v="4"/>
    <s v="07"/>
    <x v="2"/>
    <x v="1"/>
    <n v="29180.77"/>
    <n v="328278"/>
    <x v="952"/>
  </r>
  <r>
    <x v="4"/>
    <s v="07"/>
    <x v="2"/>
    <x v="2"/>
    <n v="74834.59"/>
    <n v="328278"/>
    <x v="953"/>
  </r>
  <r>
    <x v="4"/>
    <s v="08"/>
    <x v="32"/>
    <x v="0"/>
    <n v="61424.72"/>
    <n v="270582"/>
    <x v="954"/>
  </r>
  <r>
    <x v="4"/>
    <s v="08"/>
    <x v="32"/>
    <x v="1"/>
    <n v="28506.67"/>
    <n v="270582"/>
    <x v="955"/>
  </r>
  <r>
    <x v="4"/>
    <s v="08"/>
    <x v="32"/>
    <x v="2"/>
    <n v="50246.44"/>
    <n v="270582"/>
    <x v="956"/>
  </r>
  <r>
    <x v="4"/>
    <s v="09"/>
    <x v="72"/>
    <x v="0"/>
    <n v="38521.440000000002"/>
    <n v="153287"/>
    <x v="957"/>
  </r>
  <r>
    <x v="4"/>
    <s v="09"/>
    <x v="72"/>
    <x v="1"/>
    <n v="22348.48"/>
    <n v="153287"/>
    <x v="958"/>
  </r>
  <r>
    <x v="4"/>
    <s v="09"/>
    <x v="72"/>
    <x v="2"/>
    <n v="46387.72"/>
    <n v="153287"/>
    <x v="959"/>
  </r>
  <r>
    <x v="3"/>
    <s v="56"/>
    <x v="23"/>
    <x v="0"/>
    <n v="156787.28"/>
    <n v="737778"/>
    <x v="960"/>
  </r>
  <r>
    <x v="3"/>
    <s v="56"/>
    <x v="23"/>
    <x v="1"/>
    <n v="87282.27"/>
    <n v="737778"/>
    <x v="961"/>
  </r>
  <r>
    <x v="3"/>
    <s v="56"/>
    <x v="23"/>
    <x v="2"/>
    <n v="174145.15"/>
    <n v="737778"/>
    <x v="962"/>
  </r>
  <r>
    <x v="4"/>
    <s v="10"/>
    <x v="33"/>
    <x v="0"/>
    <n v="76098.64"/>
    <n v="310242"/>
    <x v="963"/>
  </r>
  <r>
    <x v="4"/>
    <s v="10"/>
    <x v="33"/>
    <x v="1"/>
    <n v="36507.46"/>
    <n v="310242"/>
    <x v="964"/>
  </r>
  <r>
    <x v="4"/>
    <s v="10"/>
    <x v="33"/>
    <x v="2"/>
    <n v="44154.51"/>
    <n v="310242"/>
    <x v="965"/>
  </r>
  <r>
    <x v="4"/>
    <s v="11"/>
    <x v="73"/>
    <x v="0"/>
    <n v="118684.94"/>
    <n v="374070"/>
    <x v="966"/>
  </r>
  <r>
    <x v="4"/>
    <s v="11"/>
    <x v="73"/>
    <x v="1"/>
    <n v="31793.52"/>
    <n v="374070"/>
    <x v="967"/>
  </r>
  <r>
    <x v="4"/>
    <s v="11"/>
    <x v="73"/>
    <x v="2"/>
    <n v="78872.789999999994"/>
    <n v="374070"/>
    <x v="968"/>
  </r>
  <r>
    <x v="4"/>
    <s v="12"/>
    <x v="74"/>
    <x v="0"/>
    <n v="61950.95"/>
    <n v="279595"/>
    <x v="969"/>
  </r>
  <r>
    <x v="4"/>
    <s v="12"/>
    <x v="74"/>
    <x v="1"/>
    <n v="26851.09"/>
    <n v="279595"/>
    <x v="970"/>
  </r>
  <r>
    <x v="4"/>
    <s v="12"/>
    <x v="74"/>
    <x v="2"/>
    <n v="53140.21"/>
    <n v="279595"/>
    <x v="971"/>
  </r>
  <r>
    <x v="3"/>
    <s v="18"/>
    <x v="24"/>
    <x v="0"/>
    <n v="65386.99"/>
    <n v="311650"/>
    <x v="972"/>
  </r>
  <r>
    <x v="3"/>
    <s v="18"/>
    <x v="24"/>
    <x v="1"/>
    <n v="28659.66"/>
    <n v="311650"/>
    <x v="973"/>
  </r>
  <r>
    <x v="3"/>
    <s v="18"/>
    <x v="24"/>
    <x v="2"/>
    <n v="57324.1"/>
    <n v="311650"/>
    <x v="974"/>
  </r>
  <r>
    <x v="4"/>
    <s v="13"/>
    <x v="93"/>
    <x v="0"/>
    <n v="748149.22"/>
    <n v="2043110"/>
    <x v="975"/>
  </r>
  <r>
    <x v="4"/>
    <s v="13"/>
    <x v="93"/>
    <x v="1"/>
    <n v="122649.38"/>
    <n v="2043110"/>
    <x v="976"/>
  </r>
  <r>
    <x v="4"/>
    <s v="13"/>
    <x v="93"/>
    <x v="2"/>
    <n v="260932.12"/>
    <n v="2043110"/>
    <x v="977"/>
  </r>
  <r>
    <x v="4"/>
    <s v="14"/>
    <x v="55"/>
    <x v="0"/>
    <n v="184618.06"/>
    <n v="694905"/>
    <x v="978"/>
  </r>
  <r>
    <x v="4"/>
    <s v="14"/>
    <x v="55"/>
    <x v="1"/>
    <n v="104704.72"/>
    <n v="694905"/>
    <x v="979"/>
  </r>
  <r>
    <x v="4"/>
    <s v="14"/>
    <x v="55"/>
    <x v="2"/>
    <n v="165273.42000000001"/>
    <n v="694905"/>
    <x v="980"/>
  </r>
  <r>
    <x v="4"/>
    <s v="15"/>
    <x v="3"/>
    <x v="0"/>
    <n v="34068.15"/>
    <n v="144692"/>
    <x v="981"/>
  </r>
  <r>
    <x v="4"/>
    <s v="15"/>
    <x v="3"/>
    <x v="1"/>
    <n v="13093.43"/>
    <n v="144692"/>
    <x v="982"/>
  </r>
  <r>
    <x v="4"/>
    <s v="15"/>
    <x v="3"/>
    <x v="2"/>
    <n v="23581.19"/>
    <n v="144692"/>
    <x v="983"/>
  </r>
  <r>
    <x v="3"/>
    <s v="28"/>
    <x v="25"/>
    <x v="0"/>
    <n v="108357.68"/>
    <n v="432967"/>
    <x v="984"/>
  </r>
  <r>
    <x v="3"/>
    <s v="28"/>
    <x v="25"/>
    <x v="1"/>
    <n v="43162.33"/>
    <n v="432967"/>
    <x v="985"/>
  </r>
  <r>
    <x v="3"/>
    <s v="28"/>
    <x v="25"/>
    <x v="2"/>
    <n v="75805.5"/>
    <n v="432967"/>
    <x v="986"/>
  </r>
  <r>
    <x v="4"/>
    <s v="16"/>
    <x v="60"/>
    <x v="0"/>
    <n v="64543.7"/>
    <n v="352015"/>
    <x v="987"/>
  </r>
  <r>
    <x v="4"/>
    <s v="16"/>
    <x v="60"/>
    <x v="1"/>
    <n v="38873.17"/>
    <n v="352015"/>
    <x v="988"/>
  </r>
  <r>
    <x v="4"/>
    <s v="16"/>
    <x v="60"/>
    <x v="2"/>
    <n v="78143.16"/>
    <n v="352015"/>
    <x v="989"/>
  </r>
  <r>
    <x v="4"/>
    <s v="17"/>
    <x v="61"/>
    <x v="0"/>
    <n v="165080.01999999999"/>
    <n v="651358"/>
    <x v="990"/>
  </r>
  <r>
    <x v="4"/>
    <s v="17"/>
    <x v="61"/>
    <x v="1"/>
    <n v="96426.42"/>
    <n v="651358"/>
    <x v="991"/>
  </r>
  <r>
    <x v="4"/>
    <s v="17"/>
    <x v="61"/>
    <x v="2"/>
    <n v="171024.62"/>
    <n v="651358"/>
    <x v="992"/>
  </r>
  <r>
    <x v="4"/>
    <s v="18"/>
    <x v="24"/>
    <x v="0"/>
    <n v="59435.51"/>
    <n v="302306"/>
    <x v="993"/>
  </r>
  <r>
    <x v="4"/>
    <s v="18"/>
    <x v="24"/>
    <x v="1"/>
    <n v="29283.07"/>
    <n v="302306"/>
    <x v="994"/>
  </r>
  <r>
    <x v="4"/>
    <s v="18"/>
    <x v="24"/>
    <x v="2"/>
    <n v="64561.25"/>
    <n v="302306"/>
    <x v="995"/>
  </r>
  <r>
    <x v="3"/>
    <s v="36"/>
    <x v="26"/>
    <x v="0"/>
    <n v="57562"/>
    <n v="228091"/>
    <x v="996"/>
  </r>
  <r>
    <x v="3"/>
    <s v="36"/>
    <x v="26"/>
    <x v="1"/>
    <n v="16956.34"/>
    <n v="228091"/>
    <x v="997"/>
  </r>
  <r>
    <x v="3"/>
    <s v="36"/>
    <x v="26"/>
    <x v="2"/>
    <n v="42588.93"/>
    <n v="228091"/>
    <x v="998"/>
  </r>
  <r>
    <x v="4"/>
    <s v="19"/>
    <x v="62"/>
    <x v="0"/>
    <n v="53698.07"/>
    <n v="240073"/>
    <x v="999"/>
  </r>
  <r>
    <x v="4"/>
    <s v="19"/>
    <x v="62"/>
    <x v="1"/>
    <n v="22411.22"/>
    <n v="240073"/>
    <x v="1000"/>
  </r>
  <r>
    <x v="4"/>
    <s v="19"/>
    <x v="62"/>
    <x v="2"/>
    <n v="51045.77"/>
    <n v="240073"/>
    <x v="1001"/>
  </r>
  <r>
    <x v="4"/>
    <s v="2A"/>
    <x v="30"/>
    <x v="0"/>
    <n v="72913"/>
    <n v="158507"/>
    <x v="1002"/>
  </r>
  <r>
    <x v="4"/>
    <s v="2A"/>
    <x v="30"/>
    <x v="1"/>
    <n v="18476.150000000001"/>
    <n v="158507"/>
    <x v="1003"/>
  </r>
  <r>
    <x v="4"/>
    <s v="2A"/>
    <x v="30"/>
    <x v="2"/>
    <n v="30042.53"/>
    <n v="158507"/>
    <x v="1004"/>
  </r>
  <r>
    <x v="4"/>
    <s v="2B"/>
    <x v="31"/>
    <x v="0"/>
    <n v="65457.91"/>
    <n v="181933"/>
    <x v="1005"/>
  </r>
  <r>
    <x v="4"/>
    <s v="2B"/>
    <x v="31"/>
    <x v="1"/>
    <n v="25087.63"/>
    <n v="181933"/>
    <x v="1006"/>
  </r>
  <r>
    <x v="4"/>
    <s v="2B"/>
    <x v="31"/>
    <x v="2"/>
    <n v="31969.32"/>
    <n v="181933"/>
    <x v="1007"/>
  </r>
  <r>
    <x v="3"/>
    <s v="37"/>
    <x v="27"/>
    <x v="0"/>
    <n v="127148.85"/>
    <n v="600252"/>
    <x v="1008"/>
  </r>
  <r>
    <x v="3"/>
    <s v="37"/>
    <x v="27"/>
    <x v="1"/>
    <n v="72754.02"/>
    <n v="600252"/>
    <x v="1009"/>
  </r>
  <r>
    <x v="3"/>
    <s v="37"/>
    <x v="27"/>
    <x v="2"/>
    <n v="84124.49"/>
    <n v="600252"/>
    <x v="1010"/>
  </r>
  <r>
    <x v="4"/>
    <s v="21"/>
    <x v="12"/>
    <x v="0"/>
    <n v="111795.53"/>
    <n v="534124"/>
    <x v="1011"/>
  </r>
  <r>
    <x v="4"/>
    <s v="21"/>
    <x v="12"/>
    <x v="1"/>
    <n v="56369.98"/>
    <n v="534124"/>
    <x v="1012"/>
  </r>
  <r>
    <x v="4"/>
    <s v="21"/>
    <x v="12"/>
    <x v="2"/>
    <n v="87646.42"/>
    <n v="534124"/>
    <x v="1013"/>
  </r>
  <r>
    <x v="4"/>
    <s v="22"/>
    <x v="20"/>
    <x v="0"/>
    <n v="121719.63"/>
    <n v="600582"/>
    <x v="1014"/>
  </r>
  <r>
    <x v="4"/>
    <s v="22"/>
    <x v="20"/>
    <x v="1"/>
    <n v="86724.87"/>
    <n v="600582"/>
    <x v="1015"/>
  </r>
  <r>
    <x v="4"/>
    <s v="22"/>
    <x v="20"/>
    <x v="2"/>
    <n v="223121.81"/>
    <n v="600582"/>
    <x v="1016"/>
  </r>
  <r>
    <x v="4"/>
    <s v="23"/>
    <x v="63"/>
    <x v="0"/>
    <n v="23173.7"/>
    <n v="116617"/>
    <x v="1017"/>
  </r>
  <r>
    <x v="4"/>
    <s v="23"/>
    <x v="63"/>
    <x v="1"/>
    <n v="12057.72"/>
    <n v="116617"/>
    <x v="1018"/>
  </r>
  <r>
    <x v="4"/>
    <s v="23"/>
    <x v="63"/>
    <x v="2"/>
    <n v="22567.64"/>
    <n v="116617"/>
    <x v="1019"/>
  </r>
  <r>
    <x v="3"/>
    <s v="41"/>
    <x v="28"/>
    <x v="0"/>
    <n v="76600.960000000006"/>
    <n v="332001"/>
    <x v="1020"/>
  </r>
  <r>
    <x v="3"/>
    <s v="41"/>
    <x v="28"/>
    <x v="1"/>
    <n v="27148.53"/>
    <n v="332001"/>
    <x v="1021"/>
  </r>
  <r>
    <x v="3"/>
    <s v="41"/>
    <x v="28"/>
    <x v="2"/>
    <n v="69474.39"/>
    <n v="332001"/>
    <x v="1022"/>
  </r>
  <r>
    <x v="4"/>
    <s v="24"/>
    <x v="64"/>
    <x v="0"/>
    <n v="100648.55"/>
    <n v="413223"/>
    <x v="1023"/>
  </r>
  <r>
    <x v="4"/>
    <s v="24"/>
    <x v="64"/>
    <x v="1"/>
    <n v="50070.71"/>
    <n v="413223"/>
    <x v="1024"/>
  </r>
  <r>
    <x v="4"/>
    <s v="24"/>
    <x v="64"/>
    <x v="2"/>
    <n v="92697.57"/>
    <n v="413223"/>
    <x v="1025"/>
  </r>
  <r>
    <x v="4"/>
    <s v="25"/>
    <x v="13"/>
    <x v="0"/>
    <n v="90052.36"/>
    <n v="543974"/>
    <x v="1026"/>
  </r>
  <r>
    <x v="4"/>
    <s v="25"/>
    <x v="13"/>
    <x v="1"/>
    <n v="55692"/>
    <n v="543974"/>
    <x v="1027"/>
  </r>
  <r>
    <x v="4"/>
    <s v="25"/>
    <x v="13"/>
    <x v="2"/>
    <n v="99790.34"/>
    <n v="543974"/>
    <x v="1028"/>
  </r>
  <r>
    <x v="4"/>
    <s v="26"/>
    <x v="4"/>
    <x v="0"/>
    <n v="124316.25"/>
    <n v="516762"/>
    <x v="1029"/>
  </r>
  <r>
    <x v="4"/>
    <s v="26"/>
    <x v="4"/>
    <x v="1"/>
    <n v="38701.58"/>
    <n v="516762"/>
    <x v="1030"/>
  </r>
  <r>
    <x v="4"/>
    <s v="26"/>
    <x v="4"/>
    <x v="2"/>
    <n v="116251.45"/>
    <n v="516762"/>
    <x v="1031"/>
  </r>
  <r>
    <x v="3"/>
    <s v="45"/>
    <x v="29"/>
    <x v="0"/>
    <n v="151004.47"/>
    <n v="665587"/>
    <x v="1032"/>
  </r>
  <r>
    <x v="3"/>
    <s v="45"/>
    <x v="29"/>
    <x v="1"/>
    <n v="47725.71"/>
    <n v="665587"/>
    <x v="1033"/>
  </r>
  <r>
    <x v="3"/>
    <s v="45"/>
    <x v="29"/>
    <x v="2"/>
    <n v="134054.20000000001"/>
    <n v="665587"/>
    <x v="1034"/>
  </r>
  <r>
    <x v="4"/>
    <s v="27"/>
    <x v="56"/>
    <x v="0"/>
    <n v="148980.04999999999"/>
    <n v="599507"/>
    <x v="1035"/>
  </r>
  <r>
    <x v="4"/>
    <s v="27"/>
    <x v="56"/>
    <x v="1"/>
    <n v="59395.64"/>
    <n v="599507"/>
    <x v="1036"/>
  </r>
  <r>
    <x v="4"/>
    <s v="27"/>
    <x v="56"/>
    <x v="2"/>
    <n v="132346.43"/>
    <n v="599507"/>
    <x v="1037"/>
  </r>
  <r>
    <x v="4"/>
    <s v="28"/>
    <x v="25"/>
    <x v="0"/>
    <n v="104183.21"/>
    <n v="431575"/>
    <x v="1038"/>
  </r>
  <r>
    <x v="4"/>
    <s v="28"/>
    <x v="25"/>
    <x v="1"/>
    <n v="50007.67"/>
    <n v="431575"/>
    <x v="1039"/>
  </r>
  <r>
    <x v="4"/>
    <s v="28"/>
    <x v="25"/>
    <x v="2"/>
    <n v="66996.13"/>
    <n v="431575"/>
    <x v="1040"/>
  </r>
  <r>
    <x v="4"/>
    <s v="29"/>
    <x v="21"/>
    <x v="0"/>
    <n v="201840.96"/>
    <n v="915090"/>
    <x v="1041"/>
  </r>
  <r>
    <x v="4"/>
    <s v="29"/>
    <x v="21"/>
    <x v="1"/>
    <n v="140920.79999999999"/>
    <n v="915090"/>
    <x v="1042"/>
  </r>
  <r>
    <x v="4"/>
    <s v="29"/>
    <x v="21"/>
    <x v="2"/>
    <n v="282871.17"/>
    <n v="915090"/>
    <x v="1043"/>
  </r>
  <r>
    <x v="3"/>
    <s v="2A"/>
    <x v="30"/>
    <x v="0"/>
    <n v="78061.56"/>
    <n v="149234"/>
    <x v="1044"/>
  </r>
  <r>
    <x v="3"/>
    <s v="2A"/>
    <x v="30"/>
    <x v="1"/>
    <n v="8518.33"/>
    <n v="149234"/>
    <x v="1045"/>
  </r>
  <r>
    <x v="3"/>
    <s v="2A"/>
    <x v="30"/>
    <x v="2"/>
    <n v="14421.04"/>
    <n v="149234"/>
    <x v="1046"/>
  </r>
  <r>
    <x v="4"/>
    <s v="30"/>
    <x v="75"/>
    <x v="0"/>
    <n v="210994.86"/>
    <n v="748437"/>
    <x v="1047"/>
  </r>
  <r>
    <x v="4"/>
    <s v="30"/>
    <x v="75"/>
    <x v="1"/>
    <n v="65550.83"/>
    <n v="748437"/>
    <x v="1048"/>
  </r>
  <r>
    <x v="4"/>
    <s v="30"/>
    <x v="75"/>
    <x v="2"/>
    <n v="160064.49"/>
    <n v="748437"/>
    <x v="1049"/>
  </r>
  <r>
    <x v="4"/>
    <s v="31"/>
    <x v="76"/>
    <x v="0"/>
    <n v="344470.85"/>
    <n v="1400039"/>
    <x v="1050"/>
  </r>
  <r>
    <x v="4"/>
    <s v="31"/>
    <x v="76"/>
    <x v="1"/>
    <n v="149903.9"/>
    <n v="1400039"/>
    <x v="1051"/>
  </r>
  <r>
    <x v="4"/>
    <s v="31"/>
    <x v="76"/>
    <x v="2"/>
    <n v="164408.9"/>
    <n v="1400039"/>
    <x v="1052"/>
  </r>
  <r>
    <x v="4"/>
    <s v="32"/>
    <x v="77"/>
    <x v="0"/>
    <n v="44035.1"/>
    <n v="191377"/>
    <x v="1053"/>
  </r>
  <r>
    <x v="4"/>
    <s v="32"/>
    <x v="77"/>
    <x v="1"/>
    <n v="18578.88"/>
    <n v="191377"/>
    <x v="1054"/>
  </r>
  <r>
    <x v="4"/>
    <s v="32"/>
    <x v="77"/>
    <x v="2"/>
    <n v="34040.6"/>
    <n v="191377"/>
    <x v="1055"/>
  </r>
  <r>
    <x v="3"/>
    <s v="2B"/>
    <x v="31"/>
    <x v="0"/>
    <n v="78664.47"/>
    <n v="170974"/>
    <x v="1056"/>
  </r>
  <r>
    <x v="3"/>
    <s v="2B"/>
    <x v="31"/>
    <x v="1"/>
    <n v="9838.7199999999993"/>
    <n v="170974"/>
    <x v="1057"/>
  </r>
  <r>
    <x v="3"/>
    <s v="2B"/>
    <x v="31"/>
    <x v="2"/>
    <n v="28093.59"/>
    <n v="170974"/>
    <x v="1058"/>
  </r>
  <r>
    <x v="4"/>
    <s v="33"/>
    <x v="65"/>
    <x v="0"/>
    <n v="394555.79"/>
    <n v="1623749"/>
    <x v="1059"/>
  </r>
  <r>
    <x v="4"/>
    <s v="33"/>
    <x v="65"/>
    <x v="1"/>
    <n v="162507.20000000001"/>
    <n v="1623749"/>
    <x v="1060"/>
  </r>
  <r>
    <x v="4"/>
    <s v="33"/>
    <x v="65"/>
    <x v="2"/>
    <n v="333696.37"/>
    <n v="1623749"/>
    <x v="1061"/>
  </r>
  <r>
    <x v="4"/>
    <s v="34"/>
    <x v="78"/>
    <x v="0"/>
    <n v="339967.42"/>
    <n v="1175623"/>
    <x v="1062"/>
  </r>
  <r>
    <x v="4"/>
    <s v="34"/>
    <x v="78"/>
    <x v="1"/>
    <n v="116350.09"/>
    <n v="1175623"/>
    <x v="1063"/>
  </r>
  <r>
    <x v="4"/>
    <s v="34"/>
    <x v="78"/>
    <x v="2"/>
    <n v="229731.01"/>
    <n v="1175623"/>
    <x v="1064"/>
  </r>
  <r>
    <x v="4"/>
    <s v="35"/>
    <x v="22"/>
    <x v="0"/>
    <n v="184587.19"/>
    <n v="1079498"/>
    <x v="1065"/>
  </r>
  <r>
    <x v="4"/>
    <s v="35"/>
    <x v="22"/>
    <x v="1"/>
    <n v="114117.37"/>
    <n v="1079498"/>
    <x v="1066"/>
  </r>
  <r>
    <x v="4"/>
    <s v="35"/>
    <x v="22"/>
    <x v="2"/>
    <n v="209849.49"/>
    <n v="1079498"/>
    <x v="1067"/>
  </r>
  <r>
    <x v="4"/>
    <s v="36"/>
    <x v="26"/>
    <x v="0"/>
    <n v="37913.589999999997"/>
    <n v="219316"/>
    <x v="1068"/>
  </r>
  <r>
    <x v="4"/>
    <s v="36"/>
    <x v="26"/>
    <x v="1"/>
    <n v="27755.62"/>
    <n v="219316"/>
    <x v="1069"/>
  </r>
  <r>
    <x v="4"/>
    <s v="36"/>
    <x v="26"/>
    <x v="2"/>
    <n v="37704.080000000002"/>
    <n v="219316"/>
    <x v="1070"/>
  </r>
  <r>
    <x v="4"/>
    <s v="37"/>
    <x v="27"/>
    <x v="0"/>
    <n v="125973.99"/>
    <n v="610079"/>
    <x v="1071"/>
  </r>
  <r>
    <x v="4"/>
    <s v="37"/>
    <x v="27"/>
    <x v="1"/>
    <n v="79601.63"/>
    <n v="610079"/>
    <x v="1072"/>
  </r>
  <r>
    <x v="4"/>
    <s v="37"/>
    <x v="27"/>
    <x v="2"/>
    <n v="93348.13"/>
    <n v="610079"/>
    <x v="1073"/>
  </r>
  <r>
    <x v="4"/>
    <s v="38"/>
    <x v="5"/>
    <x v="0"/>
    <n v="266061.65999999997"/>
    <n v="1271166"/>
    <x v="1074"/>
  </r>
  <r>
    <x v="4"/>
    <s v="38"/>
    <x v="5"/>
    <x v="1"/>
    <n v="106321.81"/>
    <n v="1271166"/>
    <x v="1075"/>
  </r>
  <r>
    <x v="4"/>
    <s v="38"/>
    <x v="5"/>
    <x v="2"/>
    <n v="261984.21"/>
    <n v="1271166"/>
    <x v="1076"/>
  </r>
  <r>
    <x v="4"/>
    <s v="39"/>
    <x v="14"/>
    <x v="0"/>
    <n v="47863.85"/>
    <n v="259199"/>
    <x v="1077"/>
  </r>
  <r>
    <x v="4"/>
    <s v="39"/>
    <x v="14"/>
    <x v="1"/>
    <n v="34042.160000000003"/>
    <n v="259199"/>
    <x v="1078"/>
  </r>
  <r>
    <x v="4"/>
    <s v="39"/>
    <x v="14"/>
    <x v="2"/>
    <n v="41642.129999999997"/>
    <n v="259199"/>
    <x v="1079"/>
  </r>
  <r>
    <x v="4"/>
    <s v="40"/>
    <x v="66"/>
    <x v="0"/>
    <n v="122333.26"/>
    <n v="413690"/>
    <x v="1080"/>
  </r>
  <r>
    <x v="4"/>
    <s v="40"/>
    <x v="66"/>
    <x v="1"/>
    <n v="42420.69"/>
    <n v="413690"/>
    <x v="1081"/>
  </r>
  <r>
    <x v="4"/>
    <s v="40"/>
    <x v="66"/>
    <x v="2"/>
    <n v="202029.33"/>
    <n v="413690"/>
    <x v="1082"/>
  </r>
  <r>
    <x v="4"/>
    <s v="41"/>
    <x v="28"/>
    <x v="0"/>
    <n v="71570.61"/>
    <n v="329470"/>
    <x v="1083"/>
  </r>
  <r>
    <x v="4"/>
    <s v="41"/>
    <x v="28"/>
    <x v="1"/>
    <n v="27892.69"/>
    <n v="329470"/>
    <x v="1084"/>
  </r>
  <r>
    <x v="4"/>
    <s v="41"/>
    <x v="28"/>
    <x v="2"/>
    <n v="85137.93"/>
    <n v="329470"/>
    <x v="1085"/>
  </r>
  <r>
    <x v="4"/>
    <s v="42"/>
    <x v="6"/>
    <x v="0"/>
    <n v="169040.52"/>
    <n v="765634"/>
    <x v="1086"/>
  </r>
  <r>
    <x v="4"/>
    <s v="42"/>
    <x v="6"/>
    <x v="1"/>
    <n v="66280.740000000005"/>
    <n v="765634"/>
    <x v="1087"/>
  </r>
  <r>
    <x v="4"/>
    <s v="42"/>
    <x v="6"/>
    <x v="2"/>
    <n v="141639.20000000001"/>
    <n v="765634"/>
    <x v="1088"/>
  </r>
  <r>
    <x v="4"/>
    <s v="43"/>
    <x v="7"/>
    <x v="0"/>
    <n v="47936.25"/>
    <n v="227570"/>
    <x v="1089"/>
  </r>
  <r>
    <x v="4"/>
    <s v="43"/>
    <x v="7"/>
    <x v="1"/>
    <n v="20253.650000000001"/>
    <n v="227570"/>
    <x v="1090"/>
  </r>
  <r>
    <x v="4"/>
    <s v="43"/>
    <x v="7"/>
    <x v="2"/>
    <n v="41820.76"/>
    <n v="227570"/>
    <x v="1091"/>
  </r>
  <r>
    <x v="4"/>
    <s v="44"/>
    <x v="85"/>
    <x v="0"/>
    <n v="265069.27"/>
    <n v="1429272"/>
    <x v="1092"/>
  </r>
  <r>
    <x v="4"/>
    <s v="44"/>
    <x v="85"/>
    <x v="1"/>
    <n v="140476.75"/>
    <n v="1429272"/>
    <x v="1093"/>
  </r>
  <r>
    <x v="4"/>
    <s v="44"/>
    <x v="85"/>
    <x v="2"/>
    <n v="311226.59999999998"/>
    <n v="1429272"/>
    <x v="1094"/>
  </r>
  <r>
    <x v="4"/>
    <s v="45"/>
    <x v="29"/>
    <x v="0"/>
    <n v="143997.56"/>
    <n v="680434"/>
    <x v="1095"/>
  </r>
  <r>
    <x v="4"/>
    <s v="45"/>
    <x v="29"/>
    <x v="1"/>
    <n v="55269.75"/>
    <n v="680434"/>
    <x v="1096"/>
  </r>
  <r>
    <x v="4"/>
    <s v="45"/>
    <x v="29"/>
    <x v="2"/>
    <n v="163587.81"/>
    <n v="680434"/>
    <x v="1097"/>
  </r>
  <r>
    <x v="4"/>
    <s v="46"/>
    <x v="79"/>
    <x v="0"/>
    <n v="37862.94"/>
    <n v="174094"/>
    <x v="1098"/>
  </r>
  <r>
    <x v="4"/>
    <s v="46"/>
    <x v="79"/>
    <x v="1"/>
    <n v="25022.55"/>
    <n v="174094"/>
    <x v="1099"/>
  </r>
  <r>
    <x v="4"/>
    <s v="46"/>
    <x v="79"/>
    <x v="2"/>
    <n v="39883.64"/>
    <n v="174094"/>
    <x v="1100"/>
  </r>
  <r>
    <x v="4"/>
    <s v="47"/>
    <x v="67"/>
    <x v="0"/>
    <n v="81808.149999999994"/>
    <n v="331271"/>
    <x v="1101"/>
  </r>
  <r>
    <x v="4"/>
    <s v="47"/>
    <x v="67"/>
    <x v="1"/>
    <n v="33846.519999999997"/>
    <n v="331271"/>
    <x v="1102"/>
  </r>
  <r>
    <x v="4"/>
    <s v="47"/>
    <x v="67"/>
    <x v="2"/>
    <n v="76324.97"/>
    <n v="331271"/>
    <x v="1103"/>
  </r>
  <r>
    <x v="4"/>
    <s v="48"/>
    <x v="80"/>
    <x v="0"/>
    <n v="19752.060000000001"/>
    <n v="76604"/>
    <x v="1104"/>
  </r>
  <r>
    <x v="4"/>
    <s v="48"/>
    <x v="80"/>
    <x v="1"/>
    <n v="6366.18"/>
    <n v="76604"/>
    <x v="1105"/>
  </r>
  <r>
    <x v="4"/>
    <s v="48"/>
    <x v="80"/>
    <x v="2"/>
    <n v="13987.35"/>
    <n v="76604"/>
    <x v="1106"/>
  </r>
  <r>
    <x v="4"/>
    <s v="49"/>
    <x v="86"/>
    <x v="0"/>
    <n v="119451.57"/>
    <n v="818273"/>
    <x v="1107"/>
  </r>
  <r>
    <x v="4"/>
    <s v="49"/>
    <x v="86"/>
    <x v="1"/>
    <n v="79792.070000000007"/>
    <n v="818273"/>
    <x v="1108"/>
  </r>
  <r>
    <x v="4"/>
    <s v="49"/>
    <x v="86"/>
    <x v="2"/>
    <n v="141801.38"/>
    <n v="818273"/>
    <x v="1109"/>
  </r>
  <r>
    <x v="4"/>
    <s v="50"/>
    <x v="57"/>
    <x v="0"/>
    <n v="108728.09"/>
    <n v="495045"/>
    <x v="1110"/>
  </r>
  <r>
    <x v="4"/>
    <s v="50"/>
    <x v="57"/>
    <x v="1"/>
    <n v="50716.54"/>
    <n v="495045"/>
    <x v="1111"/>
  </r>
  <r>
    <x v="4"/>
    <s v="50"/>
    <x v="57"/>
    <x v="2"/>
    <n v="155714.13"/>
    <n v="495045"/>
    <x v="1112"/>
  </r>
  <r>
    <x v="3"/>
    <s v="08"/>
    <x v="32"/>
    <x v="0"/>
    <n v="70849.509999999995"/>
    <n v="280907"/>
    <x v="1113"/>
  </r>
  <r>
    <x v="3"/>
    <s v="08"/>
    <x v="32"/>
    <x v="1"/>
    <n v="30491.26"/>
    <n v="280907"/>
    <x v="1114"/>
  </r>
  <r>
    <x v="3"/>
    <s v="08"/>
    <x v="32"/>
    <x v="2"/>
    <n v="37095.82"/>
    <n v="280907"/>
    <x v="1115"/>
  </r>
  <r>
    <x v="4"/>
    <s v="51"/>
    <x v="34"/>
    <x v="0"/>
    <n v="131355.96"/>
    <n v="566855"/>
    <x v="1116"/>
  </r>
  <r>
    <x v="4"/>
    <s v="51"/>
    <x v="34"/>
    <x v="1"/>
    <n v="58930.67"/>
    <n v="566855"/>
    <x v="1117"/>
  </r>
  <r>
    <x v="4"/>
    <s v="51"/>
    <x v="34"/>
    <x v="2"/>
    <n v="87487.44"/>
    <n v="566855"/>
    <x v="1118"/>
  </r>
  <r>
    <x v="4"/>
    <s v="52"/>
    <x v="35"/>
    <x v="0"/>
    <n v="39835.19"/>
    <n v="172512"/>
    <x v="1119"/>
  </r>
  <r>
    <x v="4"/>
    <s v="52"/>
    <x v="35"/>
    <x v="1"/>
    <n v="14186.43"/>
    <n v="172512"/>
    <x v="1120"/>
  </r>
  <r>
    <x v="4"/>
    <s v="52"/>
    <x v="35"/>
    <x v="2"/>
    <n v="31256.58"/>
    <n v="172512"/>
    <x v="1121"/>
  </r>
  <r>
    <x v="4"/>
    <s v="53"/>
    <x v="87"/>
    <x v="0"/>
    <n v="50064.56"/>
    <n v="307062"/>
    <x v="1122"/>
  </r>
  <r>
    <x v="4"/>
    <s v="53"/>
    <x v="87"/>
    <x v="1"/>
    <n v="42587.27"/>
    <n v="307062"/>
    <x v="1123"/>
  </r>
  <r>
    <x v="4"/>
    <s v="53"/>
    <x v="87"/>
    <x v="2"/>
    <n v="88188.47"/>
    <n v="307062"/>
    <x v="1124"/>
  </r>
  <r>
    <x v="3"/>
    <s v="10"/>
    <x v="33"/>
    <x v="0"/>
    <n v="79932.08"/>
    <n v="306581"/>
    <x v="1125"/>
  </r>
  <r>
    <x v="3"/>
    <s v="10"/>
    <x v="33"/>
    <x v="1"/>
    <n v="33867.22"/>
    <n v="306581"/>
    <x v="1126"/>
  </r>
  <r>
    <x v="3"/>
    <s v="10"/>
    <x v="33"/>
    <x v="2"/>
    <n v="38717.21"/>
    <n v="306581"/>
    <x v="1127"/>
  </r>
  <r>
    <x v="4"/>
    <s v="54"/>
    <x v="36"/>
    <x v="0"/>
    <n v="170784.15"/>
    <n v="733760"/>
    <x v="1128"/>
  </r>
  <r>
    <x v="4"/>
    <s v="54"/>
    <x v="36"/>
    <x v="1"/>
    <n v="77879.25"/>
    <n v="733760"/>
    <x v="1129"/>
  </r>
  <r>
    <x v="4"/>
    <s v="54"/>
    <x v="36"/>
    <x v="2"/>
    <n v="99383.44"/>
    <n v="733760"/>
    <x v="1130"/>
  </r>
  <r>
    <x v="4"/>
    <s v="55"/>
    <x v="37"/>
    <x v="0"/>
    <n v="36622.300000000003"/>
    <n v="184083"/>
    <x v="1131"/>
  </r>
  <r>
    <x v="4"/>
    <s v="55"/>
    <x v="37"/>
    <x v="1"/>
    <n v="16799.62"/>
    <n v="184083"/>
    <x v="1132"/>
  </r>
  <r>
    <x v="4"/>
    <s v="55"/>
    <x v="37"/>
    <x v="2"/>
    <n v="31584.73"/>
    <n v="184083"/>
    <x v="1133"/>
  </r>
  <r>
    <x v="4"/>
    <s v="56"/>
    <x v="23"/>
    <x v="0"/>
    <n v="143355.74"/>
    <n v="759684"/>
    <x v="1134"/>
  </r>
  <r>
    <x v="4"/>
    <s v="56"/>
    <x v="23"/>
    <x v="1"/>
    <n v="101215.32"/>
    <n v="759684"/>
    <x v="1135"/>
  </r>
  <r>
    <x v="4"/>
    <s v="56"/>
    <x v="23"/>
    <x v="2"/>
    <n v="217787.04"/>
    <n v="759684"/>
    <x v="1136"/>
  </r>
  <r>
    <x v="3"/>
    <s v="51"/>
    <x v="34"/>
    <x v="0"/>
    <n v="141085.87"/>
    <n v="569999"/>
    <x v="1137"/>
  </r>
  <r>
    <x v="3"/>
    <s v="51"/>
    <x v="34"/>
    <x v="1"/>
    <n v="59722.37"/>
    <n v="569999"/>
    <x v="1138"/>
  </r>
  <r>
    <x v="3"/>
    <s v="51"/>
    <x v="34"/>
    <x v="2"/>
    <n v="73075.100000000006"/>
    <n v="569999"/>
    <x v="1139"/>
  </r>
  <r>
    <x v="4"/>
    <s v="57"/>
    <x v="38"/>
    <x v="0"/>
    <n v="216933.18"/>
    <n v="1046543"/>
    <x v="1140"/>
  </r>
  <r>
    <x v="4"/>
    <s v="57"/>
    <x v="38"/>
    <x v="1"/>
    <n v="126769.36"/>
    <n v="1046543"/>
    <x v="1141"/>
  </r>
  <r>
    <x v="4"/>
    <s v="57"/>
    <x v="38"/>
    <x v="2"/>
    <n v="186273.36"/>
    <n v="1046543"/>
    <x v="1142"/>
  </r>
  <r>
    <x v="4"/>
    <s v="58"/>
    <x v="15"/>
    <x v="0"/>
    <n v="39174.28"/>
    <n v="204452"/>
    <x v="1143"/>
  </r>
  <r>
    <x v="4"/>
    <s v="58"/>
    <x v="15"/>
    <x v="1"/>
    <n v="25340.42"/>
    <n v="204452"/>
    <x v="1144"/>
  </r>
  <r>
    <x v="4"/>
    <s v="58"/>
    <x v="15"/>
    <x v="2"/>
    <n v="39145.53"/>
    <n v="204452"/>
    <x v="1145"/>
  </r>
  <r>
    <x v="4"/>
    <s v="59"/>
    <x v="43"/>
    <x v="0"/>
    <n v="614011.63"/>
    <n v="2608346"/>
    <x v="1146"/>
  </r>
  <r>
    <x v="4"/>
    <s v="59"/>
    <x v="43"/>
    <x v="1"/>
    <n v="392344.18"/>
    <n v="2608346"/>
    <x v="1147"/>
  </r>
  <r>
    <x v="4"/>
    <s v="59"/>
    <x v="43"/>
    <x v="2"/>
    <n v="324056.53999999998"/>
    <n v="2608346"/>
    <x v="1148"/>
  </r>
  <r>
    <x v="3"/>
    <s v="52"/>
    <x v="35"/>
    <x v="0"/>
    <n v="44721.81"/>
    <n v="181521"/>
    <x v="1149"/>
  </r>
  <r>
    <x v="3"/>
    <s v="52"/>
    <x v="35"/>
    <x v="1"/>
    <n v="15284.15"/>
    <n v="181521"/>
    <x v="1150"/>
  </r>
  <r>
    <x v="3"/>
    <s v="52"/>
    <x v="35"/>
    <x v="2"/>
    <n v="27698.57"/>
    <n v="181521"/>
    <x v="1151"/>
  </r>
  <r>
    <x v="4"/>
    <s v="60"/>
    <x v="44"/>
    <x v="0"/>
    <n v="190978.19"/>
    <n v="829419"/>
    <x v="1152"/>
  </r>
  <r>
    <x v="4"/>
    <s v="60"/>
    <x v="44"/>
    <x v="1"/>
    <n v="127883.71"/>
    <n v="829419"/>
    <x v="1153"/>
  </r>
  <r>
    <x v="4"/>
    <s v="60"/>
    <x v="44"/>
    <x v="2"/>
    <n v="145083.92000000001"/>
    <n v="829419"/>
    <x v="1154"/>
  </r>
  <r>
    <x v="4"/>
    <s v="61"/>
    <x v="58"/>
    <x v="0"/>
    <n v="57762.49"/>
    <n v="279942"/>
    <x v="1155"/>
  </r>
  <r>
    <x v="4"/>
    <s v="61"/>
    <x v="58"/>
    <x v="1"/>
    <n v="24175.84"/>
    <n v="279942"/>
    <x v="1156"/>
  </r>
  <r>
    <x v="4"/>
    <s v="61"/>
    <x v="58"/>
    <x v="2"/>
    <n v="73450.009999999995"/>
    <n v="279942"/>
    <x v="1157"/>
  </r>
  <r>
    <x v="4"/>
    <s v="62"/>
    <x v="45"/>
    <x v="0"/>
    <n v="377902.8"/>
    <n v="1465278"/>
    <x v="1158"/>
  </r>
  <r>
    <x v="4"/>
    <s v="62"/>
    <x v="45"/>
    <x v="1"/>
    <n v="215701.87"/>
    <n v="1465278"/>
    <x v="1159"/>
  </r>
  <r>
    <x v="4"/>
    <s v="62"/>
    <x v="45"/>
    <x v="2"/>
    <n v="216269.29"/>
    <n v="1465278"/>
    <x v="1160"/>
  </r>
  <r>
    <x v="3"/>
    <s v="54"/>
    <x v="36"/>
    <x v="0"/>
    <n v="192676.14"/>
    <n v="731004"/>
    <x v="1161"/>
  </r>
  <r>
    <x v="3"/>
    <s v="54"/>
    <x v="36"/>
    <x v="1"/>
    <n v="75621.67"/>
    <n v="731004"/>
    <x v="1162"/>
  </r>
  <r>
    <x v="3"/>
    <s v="54"/>
    <x v="36"/>
    <x v="2"/>
    <n v="80675.61"/>
    <n v="731004"/>
    <x v="1163"/>
  </r>
  <r>
    <x v="4"/>
    <s v="63"/>
    <x v="8"/>
    <x v="0"/>
    <n v="132985.04"/>
    <n v="662152"/>
    <x v="1164"/>
  </r>
  <r>
    <x v="4"/>
    <s v="63"/>
    <x v="8"/>
    <x v="1"/>
    <n v="72007.64"/>
    <n v="662152"/>
    <x v="1165"/>
  </r>
  <r>
    <x v="4"/>
    <s v="63"/>
    <x v="8"/>
    <x v="2"/>
    <n v="98093.09"/>
    <n v="662152"/>
    <x v="1166"/>
  </r>
  <r>
    <x v="4"/>
    <s v="64"/>
    <x v="68"/>
    <x v="0"/>
    <n v="164519.32999999999"/>
    <n v="682621"/>
    <x v="1167"/>
  </r>
  <r>
    <x v="4"/>
    <s v="64"/>
    <x v="68"/>
    <x v="1"/>
    <n v="76241.94"/>
    <n v="682621"/>
    <x v="1168"/>
  </r>
  <r>
    <x v="4"/>
    <s v="64"/>
    <x v="68"/>
    <x v="2"/>
    <n v="133765.29999999999"/>
    <n v="682621"/>
    <x v="1169"/>
  </r>
  <r>
    <x v="4"/>
    <s v="65"/>
    <x v="81"/>
    <x v="0"/>
    <n v="56576.93"/>
    <n v="229567"/>
    <x v="1170"/>
  </r>
  <r>
    <x v="4"/>
    <s v="65"/>
    <x v="81"/>
    <x v="1"/>
    <n v="22744.61"/>
    <n v="229567"/>
    <x v="1171"/>
  </r>
  <r>
    <x v="4"/>
    <s v="65"/>
    <x v="81"/>
    <x v="2"/>
    <n v="50185.74"/>
    <n v="229567"/>
    <x v="1172"/>
  </r>
  <r>
    <x v="3"/>
    <s v="55"/>
    <x v="37"/>
    <x v="0"/>
    <n v="46357.1"/>
    <n v="192094"/>
    <x v="1173"/>
  </r>
  <r>
    <x v="3"/>
    <s v="55"/>
    <x v="37"/>
    <x v="1"/>
    <n v="15301.12"/>
    <n v="192094"/>
    <x v="1174"/>
  </r>
  <r>
    <x v="3"/>
    <s v="55"/>
    <x v="37"/>
    <x v="2"/>
    <n v="25754.14"/>
    <n v="192094"/>
    <x v="1175"/>
  </r>
  <r>
    <x v="4"/>
    <s v="66"/>
    <x v="82"/>
    <x v="0"/>
    <n v="160149.78"/>
    <n v="479979"/>
    <x v="1176"/>
  </r>
  <r>
    <x v="4"/>
    <s v="66"/>
    <x v="82"/>
    <x v="1"/>
    <n v="49075.44"/>
    <n v="479979"/>
    <x v="1177"/>
  </r>
  <r>
    <x v="4"/>
    <s v="66"/>
    <x v="82"/>
    <x v="2"/>
    <n v="98070.81"/>
    <n v="479979"/>
    <x v="1178"/>
  </r>
  <r>
    <x v="4"/>
    <s v="67"/>
    <x v="39"/>
    <x v="0"/>
    <n v="220135.25"/>
    <n v="1140057"/>
    <x v="1179"/>
  </r>
  <r>
    <x v="4"/>
    <s v="67"/>
    <x v="39"/>
    <x v="1"/>
    <n v="118893.01"/>
    <n v="1140057"/>
    <x v="1180"/>
  </r>
  <r>
    <x v="4"/>
    <s v="67"/>
    <x v="39"/>
    <x v="2"/>
    <n v="167356.66"/>
    <n v="1140057"/>
    <x v="1181"/>
  </r>
  <r>
    <x v="4"/>
    <s v="68"/>
    <x v="40"/>
    <x v="0"/>
    <n v="136485.76000000001"/>
    <n v="767086"/>
    <x v="1182"/>
  </r>
  <r>
    <x v="4"/>
    <s v="68"/>
    <x v="40"/>
    <x v="1"/>
    <n v="135636.59"/>
    <n v="767086"/>
    <x v="1183"/>
  </r>
  <r>
    <x v="4"/>
    <s v="68"/>
    <x v="40"/>
    <x v="2"/>
    <n v="132690.12"/>
    <n v="767086"/>
    <x v="1184"/>
  </r>
  <r>
    <x v="3"/>
    <s v="57"/>
    <x v="38"/>
    <x v="0"/>
    <n v="261883.76"/>
    <n v="1046873"/>
    <x v="1185"/>
  </r>
  <r>
    <x v="3"/>
    <s v="57"/>
    <x v="38"/>
    <x v="1"/>
    <n v="119799.18"/>
    <n v="1046873"/>
    <x v="1186"/>
  </r>
  <r>
    <x v="3"/>
    <s v="57"/>
    <x v="38"/>
    <x v="2"/>
    <n v="155781.81"/>
    <n v="1046873"/>
    <x v="1187"/>
  </r>
  <r>
    <x v="4"/>
    <s v="69"/>
    <x v="9"/>
    <x v="0"/>
    <n v="407595.84"/>
    <n v="1875747"/>
    <x v="1188"/>
  </r>
  <r>
    <x v="4"/>
    <s v="69"/>
    <x v="9"/>
    <x v="1"/>
    <n v="126121.5"/>
    <n v="1875747"/>
    <x v="1189"/>
  </r>
  <r>
    <x v="4"/>
    <s v="69"/>
    <x v="9"/>
    <x v="2"/>
    <n v="190710.06"/>
    <n v="1875747"/>
    <x v="1190"/>
  </r>
  <r>
    <x v="4"/>
    <s v="70"/>
    <x v="16"/>
    <x v="0"/>
    <n v="31578.3"/>
    <n v="235313"/>
    <x v="1191"/>
  </r>
  <r>
    <x v="4"/>
    <s v="70"/>
    <x v="16"/>
    <x v="1"/>
    <n v="27345.52"/>
    <n v="235313"/>
    <x v="1192"/>
  </r>
  <r>
    <x v="4"/>
    <s v="70"/>
    <x v="16"/>
    <x v="2"/>
    <n v="57757.13"/>
    <n v="235313"/>
    <x v="1193"/>
  </r>
  <r>
    <x v="4"/>
    <s v="71"/>
    <x v="17"/>
    <x v="0"/>
    <n v="108329.06"/>
    <n v="551493"/>
    <x v="1194"/>
  </r>
  <r>
    <x v="4"/>
    <s v="71"/>
    <x v="17"/>
    <x v="1"/>
    <n v="55008.46"/>
    <n v="551493"/>
    <x v="1195"/>
  </r>
  <r>
    <x v="4"/>
    <s v="71"/>
    <x v="17"/>
    <x v="2"/>
    <n v="110064.74"/>
    <n v="551493"/>
    <x v="1196"/>
  </r>
  <r>
    <x v="3"/>
    <s v="67"/>
    <x v="39"/>
    <x v="0"/>
    <n v="235667.62"/>
    <n v="1109460"/>
    <x v="1197"/>
  </r>
  <r>
    <x v="3"/>
    <s v="67"/>
    <x v="39"/>
    <x v="1"/>
    <n v="105149.13"/>
    <n v="1109460"/>
    <x v="1198"/>
  </r>
  <r>
    <x v="3"/>
    <s v="67"/>
    <x v="39"/>
    <x v="2"/>
    <n v="164348.4"/>
    <n v="1109460"/>
    <x v="1199"/>
  </r>
  <r>
    <x v="4"/>
    <s v="72"/>
    <x v="88"/>
    <x v="0"/>
    <n v="98170.98"/>
    <n v="566412"/>
    <x v="1200"/>
  </r>
  <r>
    <x v="4"/>
    <s v="72"/>
    <x v="88"/>
    <x v="1"/>
    <n v="60210.15"/>
    <n v="566412"/>
    <x v="1201"/>
  </r>
  <r>
    <x v="4"/>
    <s v="72"/>
    <x v="88"/>
    <x v="2"/>
    <n v="112438.69"/>
    <n v="566412"/>
    <x v="1202"/>
  </r>
  <r>
    <x v="4"/>
    <s v="73"/>
    <x v="10"/>
    <x v="0"/>
    <n v="128646.84"/>
    <n v="436434"/>
    <x v="1203"/>
  </r>
  <r>
    <x v="4"/>
    <s v="73"/>
    <x v="10"/>
    <x v="1"/>
    <n v="51806.41"/>
    <n v="436434"/>
    <x v="1204"/>
  </r>
  <r>
    <x v="4"/>
    <s v="73"/>
    <x v="10"/>
    <x v="2"/>
    <n v="95544.83"/>
    <n v="436434"/>
    <x v="1205"/>
  </r>
  <r>
    <x v="4"/>
    <s v="74"/>
    <x v="11"/>
    <x v="0"/>
    <n v="222801.73"/>
    <n v="826094"/>
    <x v="1206"/>
  </r>
  <r>
    <x v="4"/>
    <s v="74"/>
    <x v="11"/>
    <x v="1"/>
    <n v="77040.77"/>
    <n v="826094"/>
    <x v="1207"/>
  </r>
  <r>
    <x v="4"/>
    <s v="74"/>
    <x v="11"/>
    <x v="2"/>
    <n v="174956.17"/>
    <n v="826094"/>
    <x v="1208"/>
  </r>
  <r>
    <x v="3"/>
    <s v="68"/>
    <x v="40"/>
    <x v="0"/>
    <n v="159735.15"/>
    <n v="758723"/>
    <x v="1209"/>
  </r>
  <r>
    <x v="3"/>
    <s v="68"/>
    <x v="40"/>
    <x v="1"/>
    <n v="111175.29"/>
    <n v="758723"/>
    <x v="1210"/>
  </r>
  <r>
    <x v="3"/>
    <s v="68"/>
    <x v="40"/>
    <x v="2"/>
    <n v="118981.75999999999"/>
    <n v="758723"/>
    <x v="1211"/>
  </r>
  <r>
    <x v="4"/>
    <s v="75"/>
    <x v="47"/>
    <x v="0"/>
    <n v="748991"/>
    <n v="2165423"/>
    <x v="1212"/>
  </r>
  <r>
    <x v="4"/>
    <s v="75"/>
    <x v="47"/>
    <x v="1"/>
    <n v="274242.62"/>
    <n v="2165423"/>
    <x v="1213"/>
  </r>
  <r>
    <x v="4"/>
    <s v="75"/>
    <x v="47"/>
    <x v="2"/>
    <n v="1734.57"/>
    <n v="2165423"/>
    <x v="1214"/>
  </r>
  <r>
    <x v="4"/>
    <s v="76"/>
    <x v="59"/>
    <x v="0"/>
    <n v="326412"/>
    <n v="1255633"/>
    <x v="1215"/>
  </r>
  <r>
    <x v="4"/>
    <s v="76"/>
    <x v="59"/>
    <x v="1"/>
    <n v="143587.23000000001"/>
    <n v="1255633"/>
    <x v="1216"/>
  </r>
  <r>
    <x v="4"/>
    <s v="76"/>
    <x v="59"/>
    <x v="2"/>
    <n v="268012.94"/>
    <n v="1255633"/>
    <x v="1217"/>
  </r>
  <r>
    <x v="4"/>
    <s v="77"/>
    <x v="48"/>
    <x v="0"/>
    <n v="386950.13"/>
    <n v="1421197"/>
    <x v="1218"/>
  </r>
  <r>
    <x v="4"/>
    <s v="77"/>
    <x v="48"/>
    <x v="1"/>
    <n v="153040.85"/>
    <n v="1421197"/>
    <x v="1219"/>
  </r>
  <r>
    <x v="4"/>
    <s v="77"/>
    <x v="48"/>
    <x v="2"/>
    <n v="133982.64000000001"/>
    <n v="1421197"/>
    <x v="1220"/>
  </r>
  <r>
    <x v="3"/>
    <s v="88"/>
    <x v="41"/>
    <x v="0"/>
    <n v="89693.67"/>
    <n v="375226"/>
    <x v="1221"/>
  </r>
  <r>
    <x v="3"/>
    <s v="88"/>
    <x v="41"/>
    <x v="1"/>
    <n v="37373.660000000003"/>
    <n v="375226"/>
    <x v="1222"/>
  </r>
  <r>
    <x v="3"/>
    <s v="88"/>
    <x v="41"/>
    <x v="2"/>
    <n v="64361.09"/>
    <n v="375226"/>
    <x v="1223"/>
  </r>
  <r>
    <x v="4"/>
    <s v="78"/>
    <x v="49"/>
    <x v="0"/>
    <n v="362545.61"/>
    <n v="1448207"/>
    <x v="1224"/>
  </r>
  <r>
    <x v="4"/>
    <s v="78"/>
    <x v="49"/>
    <x v="1"/>
    <n v="186177.7"/>
    <n v="1448207"/>
    <x v="1225"/>
  </r>
  <r>
    <x v="4"/>
    <s v="78"/>
    <x v="49"/>
    <x v="2"/>
    <n v="111966.67"/>
    <n v="1448207"/>
    <x v="1226"/>
  </r>
  <r>
    <x v="4"/>
    <s v="79"/>
    <x v="69"/>
    <x v="0"/>
    <n v="62388.62"/>
    <n v="374878"/>
    <x v="1227"/>
  </r>
  <r>
    <x v="4"/>
    <s v="79"/>
    <x v="69"/>
    <x v="1"/>
    <n v="37627.56"/>
    <n v="374878"/>
    <x v="1228"/>
  </r>
  <r>
    <x v="4"/>
    <s v="79"/>
    <x v="69"/>
    <x v="2"/>
    <n v="87043.29"/>
    <n v="374878"/>
    <x v="1229"/>
  </r>
  <r>
    <x v="4"/>
    <s v="80"/>
    <x v="46"/>
    <x v="0"/>
    <n v="145686.51999999999"/>
    <n v="570559"/>
    <x v="1230"/>
  </r>
  <r>
    <x v="4"/>
    <s v="80"/>
    <x v="46"/>
    <x v="1"/>
    <n v="64289.07"/>
    <n v="570559"/>
    <x v="1231"/>
  </r>
  <r>
    <x v="4"/>
    <s v="80"/>
    <x v="46"/>
    <x v="2"/>
    <n v="115920.89"/>
    <n v="570559"/>
    <x v="1232"/>
  </r>
  <r>
    <x v="3"/>
    <s v="02"/>
    <x v="42"/>
    <x v="0"/>
    <n v="132392.64000000001"/>
    <n v="540067"/>
    <x v="1233"/>
  </r>
  <r>
    <x v="3"/>
    <s v="02"/>
    <x v="42"/>
    <x v="1"/>
    <n v="64940.79"/>
    <n v="540067"/>
    <x v="1234"/>
  </r>
  <r>
    <x v="3"/>
    <s v="02"/>
    <x v="42"/>
    <x v="2"/>
    <n v="84326.29"/>
    <n v="540067"/>
    <x v="1235"/>
  </r>
  <r>
    <x v="4"/>
    <s v="81"/>
    <x v="83"/>
    <x v="0"/>
    <n v="91730.79"/>
    <n v="389844"/>
    <x v="1236"/>
  </r>
  <r>
    <x v="4"/>
    <s v="81"/>
    <x v="83"/>
    <x v="1"/>
    <n v="36992.74"/>
    <n v="389844"/>
    <x v="1237"/>
  </r>
  <r>
    <x v="4"/>
    <s v="81"/>
    <x v="83"/>
    <x v="2"/>
    <n v="81652.179999999993"/>
    <n v="389844"/>
    <x v="1238"/>
  </r>
  <r>
    <x v="4"/>
    <s v="82"/>
    <x v="84"/>
    <x v="0"/>
    <n v="63123.48"/>
    <n v="260669"/>
    <x v="1239"/>
  </r>
  <r>
    <x v="4"/>
    <s v="82"/>
    <x v="84"/>
    <x v="1"/>
    <n v="27428.29"/>
    <n v="260669"/>
    <x v="1240"/>
  </r>
  <r>
    <x v="4"/>
    <s v="82"/>
    <x v="84"/>
    <x v="2"/>
    <n v="47391.98"/>
    <n v="260669"/>
    <x v="1241"/>
  </r>
  <r>
    <x v="4"/>
    <s v="83"/>
    <x v="94"/>
    <x v="0"/>
    <n v="427627.15"/>
    <n v="1076711"/>
    <x v="1242"/>
  </r>
  <r>
    <x v="4"/>
    <s v="83"/>
    <x v="94"/>
    <x v="1"/>
    <n v="97703.7"/>
    <n v="1076711"/>
    <x v="1243"/>
  </r>
  <r>
    <x v="4"/>
    <s v="83"/>
    <x v="94"/>
    <x v="2"/>
    <n v="260466.83"/>
    <n v="1076711"/>
    <x v="1244"/>
  </r>
  <r>
    <x v="3"/>
    <s v="59"/>
    <x v="43"/>
    <x v="0"/>
    <n v="650803.80000000005"/>
    <n v="2595536"/>
    <x v="1245"/>
  </r>
  <r>
    <x v="3"/>
    <s v="59"/>
    <x v="43"/>
    <x v="1"/>
    <n v="427296.6"/>
    <n v="2595536"/>
    <x v="1246"/>
  </r>
  <r>
    <x v="3"/>
    <s v="59"/>
    <x v="43"/>
    <x v="2"/>
    <n v="287337.56"/>
    <n v="2595536"/>
    <x v="1247"/>
  </r>
  <r>
    <x v="4"/>
    <s v="84"/>
    <x v="95"/>
    <x v="0"/>
    <n v="185138.06"/>
    <n v="561469"/>
    <x v="1248"/>
  </r>
  <r>
    <x v="4"/>
    <s v="84"/>
    <x v="95"/>
    <x v="1"/>
    <n v="41302.01"/>
    <n v="561469"/>
    <x v="1249"/>
  </r>
  <r>
    <x v="4"/>
    <s v="84"/>
    <x v="95"/>
    <x v="2"/>
    <n v="114770.52"/>
    <n v="561469"/>
    <x v="1250"/>
  </r>
  <r>
    <x v="4"/>
    <s v="85"/>
    <x v="89"/>
    <x v="0"/>
    <n v="110226.69"/>
    <n v="685442"/>
    <x v="1251"/>
  </r>
  <r>
    <x v="4"/>
    <s v="85"/>
    <x v="89"/>
    <x v="1"/>
    <n v="88826.21"/>
    <n v="685442"/>
    <x v="1252"/>
  </r>
  <r>
    <x v="4"/>
    <s v="85"/>
    <x v="89"/>
    <x v="2"/>
    <n v="191712.81"/>
    <n v="685442"/>
    <x v="1253"/>
  </r>
  <r>
    <x v="4"/>
    <s v="86"/>
    <x v="70"/>
    <x v="0"/>
    <n v="84449.49"/>
    <n v="438435"/>
    <x v="1254"/>
  </r>
  <r>
    <x v="4"/>
    <s v="86"/>
    <x v="70"/>
    <x v="1"/>
    <n v="41312.03"/>
    <n v="438435"/>
    <x v="1255"/>
  </r>
  <r>
    <x v="4"/>
    <s v="86"/>
    <x v="70"/>
    <x v="2"/>
    <n v="93788.57"/>
    <n v="438435"/>
    <x v="1256"/>
  </r>
  <r>
    <x v="3"/>
    <s v="60"/>
    <x v="44"/>
    <x v="0"/>
    <n v="212453.02"/>
    <n v="815400"/>
    <x v="1257"/>
  </r>
  <r>
    <x v="3"/>
    <s v="60"/>
    <x v="44"/>
    <x v="1"/>
    <n v="110598.31"/>
    <n v="815400"/>
    <x v="1258"/>
  </r>
  <r>
    <x v="3"/>
    <s v="60"/>
    <x v="44"/>
    <x v="2"/>
    <n v="128768.26"/>
    <n v="815400"/>
    <x v="1259"/>
  </r>
  <r>
    <x v="4"/>
    <s v="87"/>
    <x v="71"/>
    <x v="0"/>
    <n v="80343.37"/>
    <n v="372359"/>
    <x v="1260"/>
  </r>
  <r>
    <x v="4"/>
    <s v="87"/>
    <x v="71"/>
    <x v="1"/>
    <n v="34071.269999999997"/>
    <n v="372359"/>
    <x v="1261"/>
  </r>
  <r>
    <x v="4"/>
    <s v="87"/>
    <x v="71"/>
    <x v="2"/>
    <n v="67910.679999999993"/>
    <n v="372359"/>
    <x v="1262"/>
  </r>
  <r>
    <x v="4"/>
    <s v="88"/>
    <x v="41"/>
    <x v="0"/>
    <n v="77904.479999999996"/>
    <n v="364499"/>
    <x v="1263"/>
  </r>
  <r>
    <x v="4"/>
    <s v="88"/>
    <x v="41"/>
    <x v="1"/>
    <n v="37796.03"/>
    <n v="364499"/>
    <x v="1264"/>
  </r>
  <r>
    <x v="4"/>
    <s v="88"/>
    <x v="41"/>
    <x v="2"/>
    <n v="69738.679999999993"/>
    <n v="364499"/>
    <x v="1265"/>
  </r>
  <r>
    <x v="4"/>
    <s v="89"/>
    <x v="18"/>
    <x v="0"/>
    <n v="63508.92"/>
    <n v="335707"/>
    <x v="1266"/>
  </r>
  <r>
    <x v="4"/>
    <s v="89"/>
    <x v="18"/>
    <x v="1"/>
    <n v="38364.81"/>
    <n v="335707"/>
    <x v="1267"/>
  </r>
  <r>
    <x v="4"/>
    <s v="89"/>
    <x v="18"/>
    <x v="2"/>
    <n v="71873.53"/>
    <n v="335707"/>
    <x v="1268"/>
  </r>
  <r>
    <x v="3"/>
    <s v="62"/>
    <x v="45"/>
    <x v="0"/>
    <n v="417564.43"/>
    <n v="1465205"/>
    <x v="1269"/>
  </r>
  <r>
    <x v="3"/>
    <s v="62"/>
    <x v="45"/>
    <x v="1"/>
    <n v="267421.59999999998"/>
    <n v="1465205"/>
    <x v="1270"/>
  </r>
  <r>
    <x v="3"/>
    <s v="62"/>
    <x v="45"/>
    <x v="2"/>
    <n v="198764.89"/>
    <n v="1465205"/>
    <x v="1271"/>
  </r>
  <r>
    <x v="4"/>
    <s v="90"/>
    <x v="19"/>
    <x v="0"/>
    <n v="28391.279999999999"/>
    <n v="141318"/>
    <x v="1272"/>
  </r>
  <r>
    <x v="4"/>
    <s v="90"/>
    <x v="19"/>
    <x v="1"/>
    <n v="21446.53"/>
    <n v="141318"/>
    <x v="1273"/>
  </r>
  <r>
    <x v="4"/>
    <s v="90"/>
    <x v="19"/>
    <x v="2"/>
    <n v="21150.14"/>
    <n v="141318"/>
    <x v="1274"/>
  </r>
  <r>
    <x v="4"/>
    <s v="91"/>
    <x v="50"/>
    <x v="0"/>
    <n v="320811.11"/>
    <n v="1301659"/>
    <x v="1275"/>
  </r>
  <r>
    <x v="4"/>
    <s v="91"/>
    <x v="50"/>
    <x v="1"/>
    <n v="171872.76"/>
    <n v="1301659"/>
    <x v="1276"/>
  </r>
  <r>
    <x v="4"/>
    <s v="91"/>
    <x v="50"/>
    <x v="2"/>
    <n v="140372.63"/>
    <n v="1301659"/>
    <x v="1277"/>
  </r>
  <r>
    <x v="4"/>
    <s v="92"/>
    <x v="51"/>
    <x v="0"/>
    <n v="432190.57"/>
    <n v="1624357"/>
    <x v="1278"/>
  </r>
  <r>
    <x v="4"/>
    <s v="92"/>
    <x v="51"/>
    <x v="1"/>
    <n v="164329.69"/>
    <n v="1624357"/>
    <x v="1279"/>
  </r>
  <r>
    <x v="4"/>
    <s v="92"/>
    <x v="51"/>
    <x v="2"/>
    <n v="33408.5"/>
    <n v="1624357"/>
    <x v="1280"/>
  </r>
  <r>
    <x v="3"/>
    <s v="80"/>
    <x v="46"/>
    <x v="0"/>
    <n v="158717.10999999999"/>
    <n v="571675"/>
    <x v="1281"/>
  </r>
  <r>
    <x v="3"/>
    <s v="80"/>
    <x v="46"/>
    <x v="1"/>
    <n v="63758.05"/>
    <n v="571675"/>
    <x v="1282"/>
  </r>
  <r>
    <x v="3"/>
    <s v="80"/>
    <x v="46"/>
    <x v="2"/>
    <n v="91814.11"/>
    <n v="571675"/>
    <x v="1283"/>
  </r>
  <r>
    <x v="4"/>
    <s v="93"/>
    <x v="52"/>
    <x v="0"/>
    <n v="499912.19"/>
    <n v="1644903"/>
    <x v="1284"/>
  </r>
  <r>
    <x v="4"/>
    <s v="93"/>
    <x v="52"/>
    <x v="1"/>
    <n v="113219.22"/>
    <n v="1644903"/>
    <x v="1285"/>
  </r>
  <r>
    <x v="4"/>
    <s v="93"/>
    <x v="52"/>
    <x v="2"/>
    <n v="98256.28"/>
    <n v="1644903"/>
    <x v="1286"/>
  </r>
  <r>
    <x v="4"/>
    <s v="94"/>
    <x v="53"/>
    <x v="0"/>
    <n v="367694.23"/>
    <n v="1407124"/>
    <x v="1287"/>
  </r>
  <r>
    <x v="4"/>
    <s v="94"/>
    <x v="53"/>
    <x v="1"/>
    <n v="132484.79"/>
    <n v="1407124"/>
    <x v="1288"/>
  </r>
  <r>
    <x v="4"/>
    <s v="94"/>
    <x v="53"/>
    <x v="2"/>
    <n v="45843.85"/>
    <n v="1407124"/>
    <x v="1289"/>
  </r>
  <r>
    <x v="4"/>
    <s v="95"/>
    <x v="54"/>
    <x v="0"/>
    <n v="339172.04"/>
    <n v="1249674"/>
    <x v="1290"/>
  </r>
  <r>
    <x v="4"/>
    <s v="95"/>
    <x v="54"/>
    <x v="1"/>
    <n v="145297.12"/>
    <n v="1249674"/>
    <x v="1291"/>
  </r>
  <r>
    <x v="4"/>
    <s v="95"/>
    <x v="54"/>
    <x v="2"/>
    <n v="94685.68"/>
    <n v="1249674"/>
    <x v="1292"/>
  </r>
  <r>
    <x v="3"/>
    <s v="75"/>
    <x v="47"/>
    <x v="0"/>
    <n v="803409"/>
    <n v="2229621"/>
    <x v="1293"/>
  </r>
  <r>
    <x v="3"/>
    <s v="75"/>
    <x v="47"/>
    <x v="1"/>
    <n v="234696.27"/>
    <n v="2229621"/>
    <x v="1294"/>
  </r>
  <r>
    <x v="3"/>
    <s v="75"/>
    <x v="47"/>
    <x v="2"/>
    <n v="5720.8"/>
    <n v="2229621"/>
    <x v="1295"/>
  </r>
  <r>
    <x v="3"/>
    <s v="77"/>
    <x v="48"/>
    <x v="0"/>
    <n v="395256.66"/>
    <n v="1365200"/>
    <x v="1296"/>
  </r>
  <r>
    <x v="3"/>
    <s v="77"/>
    <x v="48"/>
    <x v="1"/>
    <n v="153261.29999999999"/>
    <n v="1365200"/>
    <x v="1297"/>
  </r>
  <r>
    <x v="3"/>
    <s v="77"/>
    <x v="48"/>
    <x v="2"/>
    <n v="131061.05"/>
    <n v="1365200"/>
    <x v="1298"/>
  </r>
  <r>
    <x v="3"/>
    <s v="78"/>
    <x v="49"/>
    <x v="0"/>
    <n v="361262.85"/>
    <n v="1418484"/>
    <x v="1299"/>
  </r>
  <r>
    <x v="3"/>
    <s v="78"/>
    <x v="49"/>
    <x v="1"/>
    <n v="181410.31"/>
    <n v="1418484"/>
    <x v="1300"/>
  </r>
  <r>
    <x v="3"/>
    <s v="78"/>
    <x v="49"/>
    <x v="2"/>
    <n v="83436.039999999994"/>
    <n v="1418484"/>
    <x v="1301"/>
  </r>
  <r>
    <x v="3"/>
    <s v="91"/>
    <x v="50"/>
    <x v="0"/>
    <n v="322783.15000000002"/>
    <n v="1253931"/>
    <x v="1302"/>
  </r>
  <r>
    <x v="3"/>
    <s v="91"/>
    <x v="50"/>
    <x v="1"/>
    <n v="173841.54"/>
    <n v="1253931"/>
    <x v="1303"/>
  </r>
  <r>
    <x v="3"/>
    <s v="91"/>
    <x v="50"/>
    <x v="2"/>
    <n v="98438.61"/>
    <n v="1253931"/>
    <x v="1304"/>
  </r>
  <r>
    <x v="3"/>
    <s v="92"/>
    <x v="51"/>
    <x v="0"/>
    <n v="442632.65"/>
    <n v="1591403"/>
    <x v="1305"/>
  </r>
  <r>
    <x v="3"/>
    <s v="92"/>
    <x v="51"/>
    <x v="1"/>
    <n v="152161.37"/>
    <n v="1591403"/>
    <x v="1306"/>
  </r>
  <r>
    <x v="3"/>
    <s v="92"/>
    <x v="51"/>
    <x v="2"/>
    <n v="21073.919999999998"/>
    <n v="1591403"/>
    <x v="1307"/>
  </r>
  <r>
    <x v="3"/>
    <s v="93"/>
    <x v="52"/>
    <x v="0"/>
    <n v="500226.49"/>
    <n v="1552482"/>
    <x v="1308"/>
  </r>
  <r>
    <x v="3"/>
    <s v="93"/>
    <x v="52"/>
    <x v="1"/>
    <n v="97181.4"/>
    <n v="1552482"/>
    <x v="1309"/>
  </r>
  <r>
    <x v="3"/>
    <s v="93"/>
    <x v="52"/>
    <x v="2"/>
    <n v="79295.48"/>
    <n v="1552482"/>
    <x v="1310"/>
  </r>
  <r>
    <x v="3"/>
    <s v="94"/>
    <x v="53"/>
    <x v="0"/>
    <n v="370453.41"/>
    <n v="1354005"/>
    <x v="1311"/>
  </r>
  <r>
    <x v="3"/>
    <s v="94"/>
    <x v="53"/>
    <x v="1"/>
    <n v="122563.49"/>
    <n v="1354005"/>
    <x v="1312"/>
  </r>
  <r>
    <x v="3"/>
    <s v="94"/>
    <x v="53"/>
    <x v="2"/>
    <n v="39808"/>
    <n v="1354005"/>
    <x v="1313"/>
  </r>
  <r>
    <x v="3"/>
    <s v="95"/>
    <x v="54"/>
    <x v="0"/>
    <n v="349444.99"/>
    <n v="1194681"/>
    <x v="1314"/>
  </r>
  <r>
    <x v="3"/>
    <s v="95"/>
    <x v="54"/>
    <x v="1"/>
    <n v="122409.43"/>
    <n v="1194681"/>
    <x v="1315"/>
  </r>
  <r>
    <x v="3"/>
    <s v="95"/>
    <x v="54"/>
    <x v="2"/>
    <n v="78791.460000000006"/>
    <n v="1194681"/>
    <x v="1316"/>
  </r>
  <r>
    <x v="3"/>
    <s v="14"/>
    <x v="55"/>
    <x v="0"/>
    <n v="189068.63"/>
    <n v="689945"/>
    <x v="1317"/>
  </r>
  <r>
    <x v="3"/>
    <s v="14"/>
    <x v="55"/>
    <x v="1"/>
    <n v="89669.81"/>
    <n v="689945"/>
    <x v="1318"/>
  </r>
  <r>
    <x v="3"/>
    <s v="14"/>
    <x v="55"/>
    <x v="2"/>
    <n v="146884.68"/>
    <n v="689945"/>
    <x v="1319"/>
  </r>
  <r>
    <x v="3"/>
    <s v="27"/>
    <x v="56"/>
    <x v="0"/>
    <n v="158313.78"/>
    <n v="595043"/>
    <x v="1320"/>
  </r>
  <r>
    <x v="3"/>
    <s v="27"/>
    <x v="56"/>
    <x v="1"/>
    <n v="71752.63"/>
    <n v="595043"/>
    <x v="1321"/>
  </r>
  <r>
    <x v="3"/>
    <s v="27"/>
    <x v="56"/>
    <x v="2"/>
    <n v="130446.85"/>
    <n v="595043"/>
    <x v="1322"/>
  </r>
  <r>
    <x v="3"/>
    <s v="50"/>
    <x v="57"/>
    <x v="0"/>
    <n v="116635.24"/>
    <n v="499919"/>
    <x v="1323"/>
  </r>
  <r>
    <x v="3"/>
    <s v="50"/>
    <x v="57"/>
    <x v="1"/>
    <n v="56909.96"/>
    <n v="499919"/>
    <x v="1324"/>
  </r>
  <r>
    <x v="3"/>
    <s v="50"/>
    <x v="57"/>
    <x v="2"/>
    <n v="123670.97"/>
    <n v="499919"/>
    <x v="1325"/>
  </r>
  <r>
    <x v="3"/>
    <s v="61"/>
    <x v="58"/>
    <x v="0"/>
    <n v="72201.39"/>
    <n v="288848"/>
    <x v="1326"/>
  </r>
  <r>
    <x v="3"/>
    <s v="61"/>
    <x v="58"/>
    <x v="1"/>
    <n v="22676.01"/>
    <n v="288848"/>
    <x v="1327"/>
  </r>
  <r>
    <x v="3"/>
    <s v="61"/>
    <x v="58"/>
    <x v="2"/>
    <n v="67362.820000000007"/>
    <n v="288848"/>
    <x v="1328"/>
  </r>
  <r>
    <x v="3"/>
    <s v="76"/>
    <x v="59"/>
    <x v="0"/>
    <n v="355628.7"/>
    <n v="1254609"/>
    <x v="1329"/>
  </r>
  <r>
    <x v="3"/>
    <s v="76"/>
    <x v="59"/>
    <x v="1"/>
    <n v="139889.70000000001"/>
    <n v="1254609"/>
    <x v="1330"/>
  </r>
  <r>
    <x v="3"/>
    <s v="76"/>
    <x v="59"/>
    <x v="2"/>
    <n v="261169.48"/>
    <n v="1254609"/>
    <x v="1331"/>
  </r>
  <r>
    <x v="3"/>
    <s v="16"/>
    <x v="60"/>
    <x v="0"/>
    <n v="74412.78"/>
    <n v="353482"/>
    <x v="1332"/>
  </r>
  <r>
    <x v="3"/>
    <s v="16"/>
    <x v="60"/>
    <x v="1"/>
    <n v="33917.660000000003"/>
    <n v="353482"/>
    <x v="1333"/>
  </r>
  <r>
    <x v="3"/>
    <s v="16"/>
    <x v="60"/>
    <x v="2"/>
    <n v="70928.94"/>
    <n v="353482"/>
    <x v="1334"/>
  </r>
  <r>
    <x v="3"/>
    <s v="17"/>
    <x v="61"/>
    <x v="0"/>
    <n v="183498.4"/>
    <n v="633417"/>
    <x v="1335"/>
  </r>
  <r>
    <x v="3"/>
    <s v="17"/>
    <x v="61"/>
    <x v="1"/>
    <n v="74151.490000000005"/>
    <n v="633417"/>
    <x v="1336"/>
  </r>
  <r>
    <x v="3"/>
    <s v="17"/>
    <x v="61"/>
    <x v="2"/>
    <n v="149661.39000000001"/>
    <n v="633417"/>
    <x v="1337"/>
  </r>
  <r>
    <x v="3"/>
    <s v="19"/>
    <x v="62"/>
    <x v="0"/>
    <n v="61135.55"/>
    <n v="240781"/>
    <x v="1338"/>
  </r>
  <r>
    <x v="3"/>
    <s v="19"/>
    <x v="62"/>
    <x v="1"/>
    <n v="17516.86"/>
    <n v="240781"/>
    <x v="1339"/>
  </r>
  <r>
    <x v="3"/>
    <s v="19"/>
    <x v="62"/>
    <x v="2"/>
    <n v="33586.400000000001"/>
    <n v="240781"/>
    <x v="1340"/>
  </r>
  <r>
    <x v="3"/>
    <s v="23"/>
    <x v="63"/>
    <x v="0"/>
    <n v="29101.67"/>
    <n v="120872"/>
    <x v="1341"/>
  </r>
  <r>
    <x v="3"/>
    <s v="23"/>
    <x v="63"/>
    <x v="1"/>
    <n v="11283.25"/>
    <n v="120872"/>
    <x v="1342"/>
  </r>
  <r>
    <x v="3"/>
    <s v="23"/>
    <x v="63"/>
    <x v="2"/>
    <n v="16506.47"/>
    <n v="120872"/>
    <x v="1343"/>
  </r>
  <r>
    <x v="3"/>
    <s v="24"/>
    <x v="64"/>
    <x v="0"/>
    <n v="104547.11"/>
    <n v="416909"/>
    <x v="1344"/>
  </r>
  <r>
    <x v="3"/>
    <s v="24"/>
    <x v="64"/>
    <x v="1"/>
    <n v="40152.35"/>
    <n v="416909"/>
    <x v="1345"/>
  </r>
  <r>
    <x v="3"/>
    <s v="24"/>
    <x v="64"/>
    <x v="2"/>
    <n v="65753.09"/>
    <n v="416909"/>
    <x v="1346"/>
  </r>
  <r>
    <x v="3"/>
    <s v="33"/>
    <x v="65"/>
    <x v="0"/>
    <n v="369169.4"/>
    <n v="1505517"/>
    <x v="1347"/>
  </r>
  <r>
    <x v="3"/>
    <s v="33"/>
    <x v="65"/>
    <x v="1"/>
    <n v="157837.44"/>
    <n v="1505517"/>
    <x v="1348"/>
  </r>
  <r>
    <x v="3"/>
    <s v="33"/>
    <x v="65"/>
    <x v="2"/>
    <n v="289630.55"/>
    <n v="1505517"/>
    <x v="1349"/>
  </r>
  <r>
    <x v="3"/>
    <s v="40"/>
    <x v="66"/>
    <x v="0"/>
    <n v="122977.44"/>
    <n v="397226"/>
    <x v="1350"/>
  </r>
  <r>
    <x v="3"/>
    <s v="40"/>
    <x v="66"/>
    <x v="1"/>
    <n v="33693.71"/>
    <n v="397226"/>
    <x v="1351"/>
  </r>
  <r>
    <x v="3"/>
    <s v="40"/>
    <x v="66"/>
    <x v="2"/>
    <n v="143232.25"/>
    <n v="397226"/>
    <x v="1352"/>
  </r>
  <r>
    <x v="3"/>
    <s v="47"/>
    <x v="67"/>
    <x v="0"/>
    <n v="87187.68"/>
    <n v="333180"/>
    <x v="1353"/>
  </r>
  <r>
    <x v="3"/>
    <s v="47"/>
    <x v="67"/>
    <x v="1"/>
    <n v="33872.019999999997"/>
    <n v="333180"/>
    <x v="1354"/>
  </r>
  <r>
    <x v="3"/>
    <s v="47"/>
    <x v="67"/>
    <x v="2"/>
    <n v="53983.02"/>
    <n v="333180"/>
    <x v="1355"/>
  </r>
  <r>
    <x v="3"/>
    <s v="64"/>
    <x v="68"/>
    <x v="0"/>
    <n v="173909.84"/>
    <n v="664057"/>
    <x v="1356"/>
  </r>
  <r>
    <x v="3"/>
    <s v="64"/>
    <x v="68"/>
    <x v="1"/>
    <n v="70663.31"/>
    <n v="664057"/>
    <x v="1357"/>
  </r>
  <r>
    <x v="3"/>
    <s v="64"/>
    <x v="68"/>
    <x v="2"/>
    <n v="111513.81"/>
    <n v="664057"/>
    <x v="1358"/>
  </r>
  <r>
    <x v="3"/>
    <s v="79"/>
    <x v="69"/>
    <x v="0"/>
    <n v="73638.75"/>
    <n v="371632"/>
    <x v="1359"/>
  </r>
  <r>
    <x v="3"/>
    <s v="79"/>
    <x v="69"/>
    <x v="1"/>
    <n v="38235.35"/>
    <n v="371632"/>
    <x v="1360"/>
  </r>
  <r>
    <x v="3"/>
    <s v="79"/>
    <x v="69"/>
    <x v="2"/>
    <n v="76819.5"/>
    <n v="371632"/>
    <x v="1361"/>
  </r>
  <r>
    <x v="3"/>
    <s v="86"/>
    <x v="70"/>
    <x v="0"/>
    <n v="93064.8"/>
    <n v="431248"/>
    <x v="1362"/>
  </r>
  <r>
    <x v="3"/>
    <s v="86"/>
    <x v="70"/>
    <x v="1"/>
    <n v="36753.699999999997"/>
    <n v="431248"/>
    <x v="1363"/>
  </r>
  <r>
    <x v="3"/>
    <s v="86"/>
    <x v="70"/>
    <x v="2"/>
    <n v="89229.02"/>
    <n v="431248"/>
    <x v="1364"/>
  </r>
  <r>
    <x v="3"/>
    <s v="87"/>
    <x v="71"/>
    <x v="0"/>
    <n v="87903.54"/>
    <n v="375856"/>
    <x v="1365"/>
  </r>
  <r>
    <x v="3"/>
    <s v="87"/>
    <x v="71"/>
    <x v="1"/>
    <n v="32013.99"/>
    <n v="375856"/>
    <x v="1366"/>
  </r>
  <r>
    <x v="3"/>
    <s v="87"/>
    <x v="71"/>
    <x v="2"/>
    <n v="56034.62"/>
    <n v="375856"/>
    <x v="1367"/>
  </r>
  <r>
    <x v="3"/>
    <s v="09"/>
    <x v="72"/>
    <x v="0"/>
    <n v="45726"/>
    <n v="152684"/>
    <x v="1368"/>
  </r>
  <r>
    <x v="3"/>
    <s v="09"/>
    <x v="72"/>
    <x v="1"/>
    <n v="19472.689999999999"/>
    <n v="152684"/>
    <x v="1369"/>
  </r>
  <r>
    <x v="3"/>
    <s v="09"/>
    <x v="72"/>
    <x v="2"/>
    <n v="29318.12"/>
    <n v="152684"/>
    <x v="1370"/>
  </r>
  <r>
    <x v="3"/>
    <s v="11"/>
    <x v="73"/>
    <x v="0"/>
    <n v="129901.34"/>
    <n v="364877"/>
    <x v="1371"/>
  </r>
  <r>
    <x v="3"/>
    <s v="11"/>
    <x v="73"/>
    <x v="1"/>
    <n v="28903.23"/>
    <n v="364877"/>
    <x v="1372"/>
  </r>
  <r>
    <x v="3"/>
    <s v="11"/>
    <x v="73"/>
    <x v="2"/>
    <n v="62704.99"/>
    <n v="364877"/>
    <x v="1373"/>
  </r>
  <r>
    <x v="3"/>
    <s v="12"/>
    <x v="74"/>
    <x v="0"/>
    <n v="62816.37"/>
    <n v="277740"/>
    <x v="1374"/>
  </r>
  <r>
    <x v="3"/>
    <s v="12"/>
    <x v="74"/>
    <x v="1"/>
    <n v="27138.37"/>
    <n v="277740"/>
    <x v="1375"/>
  </r>
  <r>
    <x v="3"/>
    <s v="12"/>
    <x v="74"/>
    <x v="2"/>
    <n v="37637.480000000003"/>
    <n v="277740"/>
    <x v="1376"/>
  </r>
  <r>
    <x v="3"/>
    <s v="30"/>
    <x v="75"/>
    <x v="0"/>
    <n v="209073.08"/>
    <n v="733201"/>
    <x v="1377"/>
  </r>
  <r>
    <x v="3"/>
    <s v="30"/>
    <x v="75"/>
    <x v="1"/>
    <n v="54603.4"/>
    <n v="733201"/>
    <x v="1378"/>
  </r>
  <r>
    <x v="3"/>
    <s v="30"/>
    <x v="75"/>
    <x v="2"/>
    <n v="118669.65"/>
    <n v="733201"/>
    <x v="1379"/>
  </r>
  <r>
    <x v="3"/>
    <s v="31"/>
    <x v="76"/>
    <x v="0"/>
    <n v="354758.12"/>
    <n v="1298562"/>
    <x v="1380"/>
  </r>
  <r>
    <x v="3"/>
    <s v="31"/>
    <x v="76"/>
    <x v="1"/>
    <n v="105931.82"/>
    <n v="1298562"/>
    <x v="1381"/>
  </r>
  <r>
    <x v="3"/>
    <s v="31"/>
    <x v="76"/>
    <x v="2"/>
    <n v="118278.73"/>
    <n v="1298562"/>
    <x v="1382"/>
  </r>
  <r>
    <x v="3"/>
    <s v="32"/>
    <x v="77"/>
    <x v="0"/>
    <n v="45880.3"/>
    <n v="190276"/>
    <x v="1383"/>
  </r>
  <r>
    <x v="3"/>
    <s v="32"/>
    <x v="77"/>
    <x v="1"/>
    <n v="16223.97"/>
    <n v="190276"/>
    <x v="1384"/>
  </r>
  <r>
    <x v="3"/>
    <s v="32"/>
    <x v="77"/>
    <x v="2"/>
    <n v="29816.01"/>
    <n v="190276"/>
    <x v="1385"/>
  </r>
  <r>
    <x v="3"/>
    <s v="34"/>
    <x v="78"/>
    <x v="0"/>
    <n v="339976.53"/>
    <n v="1092331"/>
    <x v="1386"/>
  </r>
  <r>
    <x v="3"/>
    <s v="34"/>
    <x v="78"/>
    <x v="1"/>
    <n v="121948.03"/>
    <n v="1092331"/>
    <x v="1387"/>
  </r>
  <r>
    <x v="3"/>
    <s v="34"/>
    <x v="78"/>
    <x v="2"/>
    <n v="203216.02"/>
    <n v="1092331"/>
    <x v="1388"/>
  </r>
  <r>
    <x v="3"/>
    <s v="46"/>
    <x v="79"/>
    <x v="0"/>
    <n v="40946.18"/>
    <n v="173758"/>
    <x v="1389"/>
  </r>
  <r>
    <x v="3"/>
    <s v="46"/>
    <x v="79"/>
    <x v="1"/>
    <n v="23670.81"/>
    <n v="173758"/>
    <x v="1390"/>
  </r>
  <r>
    <x v="3"/>
    <s v="46"/>
    <x v="79"/>
    <x v="2"/>
    <n v="31332.17"/>
    <n v="173758"/>
    <x v="1391"/>
  </r>
  <r>
    <x v="3"/>
    <s v="48"/>
    <x v="80"/>
    <x v="0"/>
    <n v="21414.68"/>
    <n v="76607"/>
    <x v="1392"/>
  </r>
  <r>
    <x v="3"/>
    <s v="48"/>
    <x v="80"/>
    <x v="1"/>
    <n v="5078.4799999999996"/>
    <n v="76607"/>
    <x v="1393"/>
  </r>
  <r>
    <x v="3"/>
    <s v="48"/>
    <x v="80"/>
    <x v="2"/>
    <n v="11291.9"/>
    <n v="76607"/>
    <x v="1394"/>
  </r>
  <r>
    <x v="3"/>
    <s v="65"/>
    <x v="81"/>
    <x v="0"/>
    <n v="70191.27"/>
    <n v="228868"/>
    <x v="1395"/>
  </r>
  <r>
    <x v="3"/>
    <s v="65"/>
    <x v="81"/>
    <x v="1"/>
    <n v="18366.740000000002"/>
    <n v="228868"/>
    <x v="1396"/>
  </r>
  <r>
    <x v="3"/>
    <s v="65"/>
    <x v="81"/>
    <x v="2"/>
    <n v="32169.14"/>
    <n v="228868"/>
    <x v="1397"/>
  </r>
  <r>
    <x v="3"/>
    <s v="66"/>
    <x v="82"/>
    <x v="0"/>
    <n v="165511.1"/>
    <n v="462705"/>
    <x v="1398"/>
  </r>
  <r>
    <x v="3"/>
    <s v="66"/>
    <x v="82"/>
    <x v="1"/>
    <n v="47480.23"/>
    <n v="462705"/>
    <x v="1399"/>
  </r>
  <r>
    <x v="3"/>
    <s v="66"/>
    <x v="82"/>
    <x v="2"/>
    <n v="85090.58"/>
    <n v="462705"/>
    <x v="1400"/>
  </r>
  <r>
    <x v="3"/>
    <s v="81"/>
    <x v="83"/>
    <x v="0"/>
    <n v="93135.89"/>
    <n v="381927"/>
    <x v="1401"/>
  </r>
  <r>
    <x v="3"/>
    <s v="81"/>
    <x v="83"/>
    <x v="1"/>
    <n v="33290.379999999997"/>
    <n v="381927"/>
    <x v="1402"/>
  </r>
  <r>
    <x v="3"/>
    <s v="81"/>
    <x v="83"/>
    <x v="2"/>
    <n v="56131.08"/>
    <n v="381927"/>
    <x v="1403"/>
  </r>
  <r>
    <x v="3"/>
    <s v="82"/>
    <x v="84"/>
    <x v="0"/>
    <n v="64067.16"/>
    <n v="250342"/>
    <x v="1404"/>
  </r>
  <r>
    <x v="3"/>
    <s v="82"/>
    <x v="84"/>
    <x v="1"/>
    <n v="23209.31"/>
    <n v="250342"/>
    <x v="1405"/>
  </r>
  <r>
    <x v="3"/>
    <s v="82"/>
    <x v="84"/>
    <x v="2"/>
    <n v="29439.27"/>
    <n v="250342"/>
    <x v="1406"/>
  </r>
  <r>
    <x v="3"/>
    <s v="44"/>
    <x v="85"/>
    <x v="0"/>
    <n v="279162.36"/>
    <n v="1328620"/>
    <x v="1407"/>
  </r>
  <r>
    <x v="3"/>
    <s v="44"/>
    <x v="85"/>
    <x v="1"/>
    <n v="125122.92"/>
    <n v="1328620"/>
    <x v="1408"/>
  </r>
  <r>
    <x v="3"/>
    <s v="44"/>
    <x v="85"/>
    <x v="2"/>
    <n v="265462.18"/>
    <n v="1328620"/>
    <x v="1409"/>
  </r>
  <r>
    <x v="3"/>
    <s v="49"/>
    <x v="86"/>
    <x v="0"/>
    <n v="133408.44"/>
    <n v="800191"/>
    <x v="1410"/>
  </r>
  <r>
    <x v="3"/>
    <s v="49"/>
    <x v="86"/>
    <x v="1"/>
    <n v="77409.990000000005"/>
    <n v="800191"/>
    <x v="1411"/>
  </r>
  <r>
    <x v="3"/>
    <s v="49"/>
    <x v="86"/>
    <x v="2"/>
    <n v="145586.45000000001"/>
    <n v="800191"/>
    <x v="1412"/>
  </r>
  <r>
    <x v="3"/>
    <s v="53"/>
    <x v="87"/>
    <x v="0"/>
    <n v="58812.56"/>
    <n v="307500"/>
    <x v="1413"/>
  </r>
  <r>
    <x v="3"/>
    <s v="53"/>
    <x v="87"/>
    <x v="1"/>
    <n v="26573.439999999999"/>
    <n v="307500"/>
    <x v="1414"/>
  </r>
  <r>
    <x v="3"/>
    <s v="53"/>
    <x v="87"/>
    <x v="2"/>
    <n v="59687.35"/>
    <n v="307500"/>
    <x v="1415"/>
  </r>
  <r>
    <x v="3"/>
    <s v="72"/>
    <x v="88"/>
    <x v="0"/>
    <n v="114031.79"/>
    <n v="569035"/>
    <x v="1416"/>
  </r>
  <r>
    <x v="3"/>
    <s v="72"/>
    <x v="88"/>
    <x v="1"/>
    <n v="55716.58"/>
    <n v="569035"/>
    <x v="1417"/>
  </r>
  <r>
    <x v="3"/>
    <s v="72"/>
    <x v="88"/>
    <x v="2"/>
    <n v="90537.03"/>
    <n v="569035"/>
    <x v="1418"/>
  </r>
  <r>
    <x v="3"/>
    <s v="85"/>
    <x v="89"/>
    <x v="0"/>
    <n v="130281.29"/>
    <n v="655506"/>
    <x v="1419"/>
  </r>
  <r>
    <x v="3"/>
    <s v="85"/>
    <x v="89"/>
    <x v="1"/>
    <n v="76728.320000000007"/>
    <n v="655506"/>
    <x v="1420"/>
  </r>
  <r>
    <x v="3"/>
    <s v="85"/>
    <x v="89"/>
    <x v="2"/>
    <n v="173278.37"/>
    <n v="655506"/>
    <x v="1421"/>
  </r>
  <r>
    <x v="5"/>
    <s v="01"/>
    <x v="0"/>
    <x v="0"/>
    <n v="120762.54"/>
    <n v="643350"/>
    <x v="1422"/>
  </r>
  <r>
    <x v="5"/>
    <s v="01"/>
    <x v="0"/>
    <x v="1"/>
    <n v="51588.39"/>
    <n v="643350"/>
    <x v="1423"/>
  </r>
  <r>
    <x v="5"/>
    <s v="01"/>
    <x v="0"/>
    <x v="2"/>
    <n v="124834.79"/>
    <n v="643350"/>
    <x v="1424"/>
  </r>
  <r>
    <x v="5"/>
    <s v="02"/>
    <x v="42"/>
    <x v="0"/>
    <n v="120842.12"/>
    <n v="534490"/>
    <x v="1425"/>
  </r>
  <r>
    <x v="5"/>
    <s v="02"/>
    <x v="42"/>
    <x v="1"/>
    <n v="58844.32"/>
    <n v="534490"/>
    <x v="1426"/>
  </r>
  <r>
    <x v="5"/>
    <s v="02"/>
    <x v="42"/>
    <x v="2"/>
    <n v="102221.43"/>
    <n v="534490"/>
    <x v="1427"/>
  </r>
  <r>
    <x v="5"/>
    <s v="03"/>
    <x v="1"/>
    <x v="0"/>
    <n v="87596.26"/>
    <n v="337988"/>
    <x v="1428"/>
  </r>
  <r>
    <x v="5"/>
    <s v="03"/>
    <x v="1"/>
    <x v="1"/>
    <n v="31589.47"/>
    <n v="337988"/>
    <x v="1429"/>
  </r>
  <r>
    <x v="5"/>
    <s v="03"/>
    <x v="1"/>
    <x v="2"/>
    <n v="66080.95"/>
    <n v="337988"/>
    <x v="1430"/>
  </r>
  <r>
    <x v="3"/>
    <s v="04"/>
    <x v="90"/>
    <x v="0"/>
    <n v="60178.42"/>
    <n v="161916"/>
    <x v="1431"/>
  </r>
  <r>
    <x v="3"/>
    <s v="04"/>
    <x v="90"/>
    <x v="1"/>
    <n v="9746.4500000000007"/>
    <n v="161916"/>
    <x v="1432"/>
  </r>
  <r>
    <x v="3"/>
    <s v="04"/>
    <x v="90"/>
    <x v="2"/>
    <n v="27996.35"/>
    <n v="161916"/>
    <x v="1433"/>
  </r>
  <r>
    <x v="5"/>
    <s v="04"/>
    <x v="90"/>
    <x v="0"/>
    <n v="59252.41"/>
    <n v="163915"/>
    <x v="1434"/>
  </r>
  <r>
    <x v="5"/>
    <s v="04"/>
    <x v="90"/>
    <x v="1"/>
    <n v="10488.98"/>
    <n v="163915"/>
    <x v="1435"/>
  </r>
  <r>
    <x v="5"/>
    <s v="04"/>
    <x v="90"/>
    <x v="2"/>
    <n v="35564.769999999997"/>
    <n v="163915"/>
    <x v="1436"/>
  </r>
  <r>
    <x v="5"/>
    <s v="05"/>
    <x v="91"/>
    <x v="0"/>
    <n v="44417.48"/>
    <n v="141284"/>
    <x v="1437"/>
  </r>
  <r>
    <x v="5"/>
    <s v="05"/>
    <x v="91"/>
    <x v="1"/>
    <n v="13857.4"/>
    <n v="141284"/>
    <x v="1438"/>
  </r>
  <r>
    <x v="5"/>
    <s v="05"/>
    <x v="91"/>
    <x v="2"/>
    <n v="30470.65"/>
    <n v="141284"/>
    <x v="1439"/>
  </r>
  <r>
    <x v="5"/>
    <s v="06"/>
    <x v="92"/>
    <x v="0"/>
    <n v="425769.7"/>
    <n v="1083310"/>
    <x v="1440"/>
  </r>
  <r>
    <x v="5"/>
    <s v="06"/>
    <x v="92"/>
    <x v="1"/>
    <n v="141979.48000000001"/>
    <n v="1083310"/>
    <x v="1441"/>
  </r>
  <r>
    <x v="5"/>
    <s v="06"/>
    <x v="92"/>
    <x v="2"/>
    <n v="183334.12"/>
    <n v="1083310"/>
    <x v="1442"/>
  </r>
  <r>
    <x v="3"/>
    <s v="05"/>
    <x v="91"/>
    <x v="0"/>
    <n v="46775.040000000001"/>
    <n v="139279"/>
    <x v="1443"/>
  </r>
  <r>
    <x v="3"/>
    <s v="05"/>
    <x v="91"/>
    <x v="1"/>
    <n v="13754.7"/>
    <n v="139279"/>
    <x v="1444"/>
  </r>
  <r>
    <x v="3"/>
    <s v="05"/>
    <x v="91"/>
    <x v="2"/>
    <n v="28888.400000000001"/>
    <n v="139279"/>
    <x v="1445"/>
  </r>
  <r>
    <x v="5"/>
    <s v="07"/>
    <x v="2"/>
    <x v="0"/>
    <n v="78693.929999999993"/>
    <n v="325712"/>
    <x v="1446"/>
  </r>
  <r>
    <x v="5"/>
    <s v="07"/>
    <x v="2"/>
    <x v="1"/>
    <n v="26103.54"/>
    <n v="325712"/>
    <x v="1447"/>
  </r>
  <r>
    <x v="5"/>
    <s v="07"/>
    <x v="2"/>
    <x v="2"/>
    <n v="65170.2"/>
    <n v="325712"/>
    <x v="1448"/>
  </r>
  <r>
    <x v="5"/>
    <s v="08"/>
    <x v="32"/>
    <x v="0"/>
    <n v="65726.37"/>
    <n v="273579"/>
    <x v="1449"/>
  </r>
  <r>
    <x v="5"/>
    <s v="08"/>
    <x v="32"/>
    <x v="1"/>
    <n v="28156.18"/>
    <n v="273579"/>
    <x v="1450"/>
  </r>
  <r>
    <x v="5"/>
    <s v="08"/>
    <x v="32"/>
    <x v="2"/>
    <n v="49572.6"/>
    <n v="273579"/>
    <x v="1451"/>
  </r>
  <r>
    <x v="5"/>
    <s v="09"/>
    <x v="72"/>
    <x v="0"/>
    <n v="44743.94"/>
    <n v="153153"/>
    <x v="1452"/>
  </r>
  <r>
    <x v="5"/>
    <s v="09"/>
    <x v="72"/>
    <x v="1"/>
    <n v="22899.79"/>
    <n v="153153"/>
    <x v="1453"/>
  </r>
  <r>
    <x v="5"/>
    <s v="09"/>
    <x v="72"/>
    <x v="2"/>
    <n v="35143.82"/>
    <n v="153153"/>
    <x v="1454"/>
  </r>
  <r>
    <x v="3"/>
    <s v="06"/>
    <x v="92"/>
    <x v="0"/>
    <n v="475024.43"/>
    <n v="1080771"/>
    <x v="1455"/>
  </r>
  <r>
    <x v="3"/>
    <s v="06"/>
    <x v="92"/>
    <x v="1"/>
    <n v="107117.03"/>
    <n v="1080771"/>
    <x v="1456"/>
  </r>
  <r>
    <x v="3"/>
    <s v="06"/>
    <x v="92"/>
    <x v="2"/>
    <n v="153641.74"/>
    <n v="1080771"/>
    <x v="1457"/>
  </r>
  <r>
    <x v="5"/>
    <s v="10"/>
    <x v="33"/>
    <x v="0"/>
    <n v="72743.66"/>
    <n v="310020"/>
    <x v="1458"/>
  </r>
  <r>
    <x v="5"/>
    <s v="10"/>
    <x v="33"/>
    <x v="1"/>
    <n v="38952.050000000003"/>
    <n v="310020"/>
    <x v="1459"/>
  </r>
  <r>
    <x v="5"/>
    <s v="10"/>
    <x v="33"/>
    <x v="2"/>
    <n v="42729.99"/>
    <n v="310020"/>
    <x v="1460"/>
  </r>
  <r>
    <x v="5"/>
    <s v="11"/>
    <x v="73"/>
    <x v="0"/>
    <n v="125614.87"/>
    <n v="370260"/>
    <x v="1461"/>
  </r>
  <r>
    <x v="5"/>
    <s v="11"/>
    <x v="73"/>
    <x v="1"/>
    <n v="28888.57"/>
    <n v="370260"/>
    <x v="1462"/>
  </r>
  <r>
    <x v="5"/>
    <s v="11"/>
    <x v="73"/>
    <x v="2"/>
    <n v="72327.89"/>
    <n v="370260"/>
    <x v="1463"/>
  </r>
  <r>
    <x v="5"/>
    <s v="12"/>
    <x v="74"/>
    <x v="0"/>
    <n v="64330.86"/>
    <n v="279206"/>
    <x v="1464"/>
  </r>
  <r>
    <x v="5"/>
    <s v="12"/>
    <x v="74"/>
    <x v="1"/>
    <n v="26910.95"/>
    <n v="279206"/>
    <x v="1465"/>
  </r>
  <r>
    <x v="5"/>
    <s v="12"/>
    <x v="74"/>
    <x v="2"/>
    <n v="48722.69"/>
    <n v="279206"/>
    <x v="1466"/>
  </r>
  <r>
    <x v="3"/>
    <s v="13"/>
    <x v="93"/>
    <x v="0"/>
    <n v="755507.02"/>
    <n v="1993177"/>
    <x v="1467"/>
  </r>
  <r>
    <x v="3"/>
    <s v="13"/>
    <x v="93"/>
    <x v="1"/>
    <n v="107598.94"/>
    <n v="1993177"/>
    <x v="1468"/>
  </r>
  <r>
    <x v="3"/>
    <s v="13"/>
    <x v="93"/>
    <x v="2"/>
    <n v="271508.59999999998"/>
    <n v="1993177"/>
    <x v="1469"/>
  </r>
  <r>
    <x v="5"/>
    <s v="13"/>
    <x v="93"/>
    <x v="0"/>
    <n v="748121.58"/>
    <n v="2024162"/>
    <x v="1470"/>
  </r>
  <r>
    <x v="5"/>
    <s v="13"/>
    <x v="93"/>
    <x v="1"/>
    <n v="108957.08"/>
    <n v="2024162"/>
    <x v="1471"/>
  </r>
  <r>
    <x v="5"/>
    <s v="13"/>
    <x v="93"/>
    <x v="2"/>
    <n v="295218.33"/>
    <n v="2024162"/>
    <x v="1472"/>
  </r>
  <r>
    <x v="5"/>
    <s v="14"/>
    <x v="55"/>
    <x v="0"/>
    <n v="180953.62"/>
    <n v="694002"/>
    <x v="1473"/>
  </r>
  <r>
    <x v="5"/>
    <s v="14"/>
    <x v="55"/>
    <x v="1"/>
    <n v="101403.61"/>
    <n v="694002"/>
    <x v="1474"/>
  </r>
  <r>
    <x v="5"/>
    <s v="14"/>
    <x v="55"/>
    <x v="2"/>
    <n v="166721.18"/>
    <n v="694002"/>
    <x v="1475"/>
  </r>
  <r>
    <x v="5"/>
    <s v="15"/>
    <x v="3"/>
    <x v="0"/>
    <n v="35744.36"/>
    <n v="145143"/>
    <x v="1476"/>
  </r>
  <r>
    <x v="5"/>
    <s v="15"/>
    <x v="3"/>
    <x v="1"/>
    <n v="14053.48"/>
    <n v="145143"/>
    <x v="1477"/>
  </r>
  <r>
    <x v="5"/>
    <s v="15"/>
    <x v="3"/>
    <x v="2"/>
    <n v="25028.61"/>
    <n v="145143"/>
    <x v="1478"/>
  </r>
  <r>
    <x v="3"/>
    <s v="83"/>
    <x v="94"/>
    <x v="0"/>
    <n v="459636.51"/>
    <n v="1028583"/>
    <x v="1479"/>
  </r>
  <r>
    <x v="3"/>
    <s v="83"/>
    <x v="94"/>
    <x v="1"/>
    <n v="71628.75"/>
    <n v="1028583"/>
    <x v="1480"/>
  </r>
  <r>
    <x v="3"/>
    <s v="83"/>
    <x v="94"/>
    <x v="2"/>
    <n v="198263.86"/>
    <n v="1028583"/>
    <x v="1481"/>
  </r>
  <r>
    <x v="5"/>
    <s v="16"/>
    <x v="60"/>
    <x v="0"/>
    <n v="67958.039999999994"/>
    <n v="352335"/>
    <x v="1482"/>
  </r>
  <r>
    <x v="5"/>
    <s v="16"/>
    <x v="60"/>
    <x v="1"/>
    <n v="38165.57"/>
    <n v="352335"/>
    <x v="1483"/>
  </r>
  <r>
    <x v="5"/>
    <s v="16"/>
    <x v="60"/>
    <x v="2"/>
    <n v="79049.45"/>
    <n v="352335"/>
    <x v="1484"/>
  </r>
  <r>
    <x v="5"/>
    <s v="17"/>
    <x v="61"/>
    <x v="0"/>
    <n v="169458.32"/>
    <n v="644303"/>
    <x v="1485"/>
  </r>
  <r>
    <x v="5"/>
    <s v="17"/>
    <x v="61"/>
    <x v="1"/>
    <n v="83892.63"/>
    <n v="644303"/>
    <x v="1486"/>
  </r>
  <r>
    <x v="5"/>
    <s v="17"/>
    <x v="61"/>
    <x v="2"/>
    <n v="165941.6"/>
    <n v="644303"/>
    <x v="1487"/>
  </r>
  <r>
    <x v="5"/>
    <s v="18"/>
    <x v="24"/>
    <x v="0"/>
    <n v="61659.08"/>
    <n v="304256"/>
    <x v="1488"/>
  </r>
  <r>
    <x v="5"/>
    <s v="18"/>
    <x v="24"/>
    <x v="1"/>
    <n v="27935.25"/>
    <n v="304256"/>
    <x v="1489"/>
  </r>
  <r>
    <x v="5"/>
    <s v="18"/>
    <x v="24"/>
    <x v="2"/>
    <n v="69939.199999999997"/>
    <n v="304256"/>
    <x v="1490"/>
  </r>
  <r>
    <x v="3"/>
    <s v="84"/>
    <x v="95"/>
    <x v="0"/>
    <n v="192993.68"/>
    <n v="549949"/>
    <x v="1491"/>
  </r>
  <r>
    <x v="3"/>
    <s v="84"/>
    <x v="95"/>
    <x v="1"/>
    <n v="36588.36"/>
    <n v="549949"/>
    <x v="1492"/>
  </r>
  <r>
    <x v="3"/>
    <s v="84"/>
    <x v="95"/>
    <x v="2"/>
    <n v="84843.96"/>
    <n v="549949"/>
    <x v="1493"/>
  </r>
  <r>
    <x v="5"/>
    <s v="19"/>
    <x v="62"/>
    <x v="0"/>
    <n v="56526.74"/>
    <n v="241464"/>
    <x v="1494"/>
  </r>
  <r>
    <x v="5"/>
    <s v="19"/>
    <x v="62"/>
    <x v="1"/>
    <n v="24092.31"/>
    <n v="241464"/>
    <x v="1495"/>
  </r>
  <r>
    <x v="5"/>
    <s v="19"/>
    <x v="62"/>
    <x v="2"/>
    <n v="47898.14"/>
    <n v="241464"/>
    <x v="1496"/>
  </r>
  <r>
    <x v="5"/>
    <s v="2A"/>
    <x v="30"/>
    <x v="0"/>
    <n v="73766.600000000006"/>
    <n v="157249"/>
    <x v="1497"/>
  </r>
  <r>
    <x v="5"/>
    <s v="2A"/>
    <x v="30"/>
    <x v="1"/>
    <n v="15119.9"/>
    <n v="157249"/>
    <x v="1498"/>
  </r>
  <r>
    <x v="5"/>
    <s v="2A"/>
    <x v="30"/>
    <x v="2"/>
    <n v="22677.69"/>
    <n v="157249"/>
    <x v="1499"/>
  </r>
  <r>
    <x v="5"/>
    <s v="2B"/>
    <x v="31"/>
    <x v="0"/>
    <n v="70996.77"/>
    <n v="177689"/>
    <x v="1500"/>
  </r>
  <r>
    <x v="5"/>
    <s v="2B"/>
    <x v="31"/>
    <x v="1"/>
    <n v="18060.61"/>
    <n v="177689"/>
    <x v="1501"/>
  </r>
  <r>
    <x v="5"/>
    <s v="2B"/>
    <x v="31"/>
    <x v="2"/>
    <n v="27093.96"/>
    <n v="177689"/>
    <x v="1502"/>
  </r>
  <r>
    <x v="6"/>
    <s v="01"/>
    <x v="0"/>
    <x v="0"/>
    <n v="121432.88"/>
    <n v="631877"/>
    <x v="1503"/>
  </r>
  <r>
    <x v="6"/>
    <s v="01"/>
    <x v="0"/>
    <x v="1"/>
    <n v="46795.8"/>
    <n v="631877"/>
    <x v="1504"/>
  </r>
  <r>
    <x v="6"/>
    <s v="01"/>
    <x v="0"/>
    <x v="2"/>
    <n v="122141.98"/>
    <n v="631877"/>
    <x v="1505"/>
  </r>
  <r>
    <x v="5"/>
    <s v="21"/>
    <x v="12"/>
    <x v="0"/>
    <n v="116177.09"/>
    <n v="533819"/>
    <x v="1506"/>
  </r>
  <r>
    <x v="5"/>
    <s v="21"/>
    <x v="12"/>
    <x v="1"/>
    <n v="62760.24"/>
    <n v="533819"/>
    <x v="1507"/>
  </r>
  <r>
    <x v="5"/>
    <s v="21"/>
    <x v="12"/>
    <x v="2"/>
    <n v="85287.95"/>
    <n v="533819"/>
    <x v="1508"/>
  </r>
  <r>
    <x v="5"/>
    <s v="22"/>
    <x v="20"/>
    <x v="0"/>
    <n v="131133.97"/>
    <n v="598814"/>
    <x v="1509"/>
  </r>
  <r>
    <x v="5"/>
    <s v="22"/>
    <x v="20"/>
    <x v="1"/>
    <n v="76800.44"/>
    <n v="598814"/>
    <x v="1510"/>
  </r>
  <r>
    <x v="5"/>
    <s v="22"/>
    <x v="20"/>
    <x v="2"/>
    <n v="228995.87"/>
    <n v="598814"/>
    <x v="1511"/>
  </r>
  <r>
    <x v="5"/>
    <s v="23"/>
    <x v="63"/>
    <x v="0"/>
    <n v="26893.21"/>
    <n v="118638"/>
    <x v="1512"/>
  </r>
  <r>
    <x v="5"/>
    <s v="23"/>
    <x v="63"/>
    <x v="1"/>
    <n v="13028.01"/>
    <n v="118638"/>
    <x v="1513"/>
  </r>
  <r>
    <x v="5"/>
    <s v="23"/>
    <x v="63"/>
    <x v="2"/>
    <n v="20921.310000000001"/>
    <n v="118638"/>
    <x v="1514"/>
  </r>
  <r>
    <x v="6"/>
    <s v="03"/>
    <x v="1"/>
    <x v="0"/>
    <n v="91615.94"/>
    <n v="341613"/>
    <x v="1515"/>
  </r>
  <r>
    <x v="6"/>
    <s v="03"/>
    <x v="1"/>
    <x v="1"/>
    <n v="29079.52"/>
    <n v="341613"/>
    <x v="1516"/>
  </r>
  <r>
    <x v="6"/>
    <s v="03"/>
    <x v="1"/>
    <x v="2"/>
    <n v="61300.13"/>
    <n v="341613"/>
    <x v="1517"/>
  </r>
  <r>
    <x v="5"/>
    <s v="24"/>
    <x v="64"/>
    <x v="0"/>
    <n v="98846.54"/>
    <n v="413606"/>
    <x v="1518"/>
  </r>
  <r>
    <x v="5"/>
    <s v="24"/>
    <x v="64"/>
    <x v="1"/>
    <n v="42887.13"/>
    <n v="413606"/>
    <x v="1519"/>
  </r>
  <r>
    <x v="5"/>
    <s v="24"/>
    <x v="64"/>
    <x v="2"/>
    <n v="87082.16"/>
    <n v="413606"/>
    <x v="1520"/>
  </r>
  <r>
    <x v="5"/>
    <s v="25"/>
    <x v="13"/>
    <x v="0"/>
    <n v="94205.13"/>
    <n v="539067"/>
    <x v="1521"/>
  </r>
  <r>
    <x v="5"/>
    <s v="25"/>
    <x v="13"/>
    <x v="1"/>
    <n v="52415.519999999997"/>
    <n v="539067"/>
    <x v="1522"/>
  </r>
  <r>
    <x v="5"/>
    <s v="25"/>
    <x v="13"/>
    <x v="2"/>
    <n v="94830.88"/>
    <n v="539067"/>
    <x v="1523"/>
  </r>
  <r>
    <x v="5"/>
    <s v="26"/>
    <x v="4"/>
    <x v="0"/>
    <n v="126174.1"/>
    <n v="511553"/>
    <x v="1524"/>
  </r>
  <r>
    <x v="5"/>
    <s v="26"/>
    <x v="4"/>
    <x v="1"/>
    <n v="36283.35"/>
    <n v="511553"/>
    <x v="1525"/>
  </r>
  <r>
    <x v="5"/>
    <s v="26"/>
    <x v="4"/>
    <x v="2"/>
    <n v="100857.08"/>
    <n v="511553"/>
    <x v="1526"/>
  </r>
  <r>
    <x v="6"/>
    <s v="07"/>
    <x v="2"/>
    <x v="0"/>
    <n v="80283.38"/>
    <n v="324209"/>
    <x v="1527"/>
  </r>
  <r>
    <x v="6"/>
    <s v="07"/>
    <x v="2"/>
    <x v="1"/>
    <n v="24819.45"/>
    <n v="324209"/>
    <x v="1528"/>
  </r>
  <r>
    <x v="6"/>
    <s v="07"/>
    <x v="2"/>
    <x v="2"/>
    <n v="61930.96"/>
    <n v="324209"/>
    <x v="1529"/>
  </r>
  <r>
    <x v="5"/>
    <s v="27"/>
    <x v="56"/>
    <x v="0"/>
    <n v="147205.04"/>
    <n v="601843"/>
    <x v="1530"/>
  </r>
  <r>
    <x v="5"/>
    <s v="27"/>
    <x v="56"/>
    <x v="1"/>
    <n v="62407.21"/>
    <n v="601843"/>
    <x v="1531"/>
  </r>
  <r>
    <x v="5"/>
    <s v="27"/>
    <x v="56"/>
    <x v="2"/>
    <n v="124935.64"/>
    <n v="601843"/>
    <x v="1532"/>
  </r>
  <r>
    <x v="5"/>
    <s v="28"/>
    <x v="25"/>
    <x v="0"/>
    <n v="103480.5"/>
    <n v="433233"/>
    <x v="1533"/>
  </r>
  <r>
    <x v="5"/>
    <s v="28"/>
    <x v="25"/>
    <x v="1"/>
    <n v="52719.33"/>
    <n v="433233"/>
    <x v="1534"/>
  </r>
  <r>
    <x v="5"/>
    <s v="28"/>
    <x v="25"/>
    <x v="2"/>
    <n v="89284.42"/>
    <n v="433233"/>
    <x v="1535"/>
  </r>
  <r>
    <x v="5"/>
    <s v="29"/>
    <x v="21"/>
    <x v="0"/>
    <n v="210087.2"/>
    <n v="909028"/>
    <x v="1536"/>
  </r>
  <r>
    <x v="5"/>
    <s v="29"/>
    <x v="21"/>
    <x v="1"/>
    <n v="142526.09"/>
    <n v="909028"/>
    <x v="1537"/>
  </r>
  <r>
    <x v="5"/>
    <s v="29"/>
    <x v="21"/>
    <x v="2"/>
    <n v="278108.65999999997"/>
    <n v="909028"/>
    <x v="1538"/>
  </r>
  <r>
    <x v="6"/>
    <s v="15"/>
    <x v="3"/>
    <x v="0"/>
    <n v="37784.39"/>
    <n v="146219"/>
    <x v="1539"/>
  </r>
  <r>
    <x v="6"/>
    <s v="15"/>
    <x v="3"/>
    <x v="1"/>
    <n v="12347.98"/>
    <n v="146219"/>
    <x v="1540"/>
  </r>
  <r>
    <x v="6"/>
    <s v="15"/>
    <x v="3"/>
    <x v="2"/>
    <n v="23968.86"/>
    <n v="146219"/>
    <x v="1541"/>
  </r>
  <r>
    <x v="5"/>
    <s v="30"/>
    <x v="75"/>
    <x v="0"/>
    <n v="212152.36"/>
    <n v="744178"/>
    <x v="1542"/>
  </r>
  <r>
    <x v="5"/>
    <s v="30"/>
    <x v="75"/>
    <x v="1"/>
    <n v="63842.45"/>
    <n v="744178"/>
    <x v="1543"/>
  </r>
  <r>
    <x v="5"/>
    <s v="30"/>
    <x v="75"/>
    <x v="2"/>
    <n v="153234.59"/>
    <n v="744178"/>
    <x v="1544"/>
  </r>
  <r>
    <x v="5"/>
    <s v="31"/>
    <x v="76"/>
    <x v="0"/>
    <n v="348575.49"/>
    <n v="1362672"/>
    <x v="1545"/>
  </r>
  <r>
    <x v="5"/>
    <s v="31"/>
    <x v="76"/>
    <x v="1"/>
    <n v="152289.60000000001"/>
    <n v="1362672"/>
    <x v="1546"/>
  </r>
  <r>
    <x v="5"/>
    <s v="31"/>
    <x v="76"/>
    <x v="2"/>
    <n v="148862.56"/>
    <n v="1362672"/>
    <x v="1547"/>
  </r>
  <r>
    <x v="5"/>
    <s v="32"/>
    <x v="77"/>
    <x v="0"/>
    <n v="44548.87"/>
    <n v="191091"/>
    <x v="1548"/>
  </r>
  <r>
    <x v="5"/>
    <s v="32"/>
    <x v="77"/>
    <x v="1"/>
    <n v="18872.79"/>
    <n v="191091"/>
    <x v="1549"/>
  </r>
  <r>
    <x v="5"/>
    <s v="32"/>
    <x v="77"/>
    <x v="2"/>
    <n v="31159.79"/>
    <n v="191091"/>
    <x v="1550"/>
  </r>
  <r>
    <x v="6"/>
    <s v="26"/>
    <x v="4"/>
    <x v="0"/>
    <n v="128427.93"/>
    <n v="504637"/>
    <x v="1551"/>
  </r>
  <r>
    <x v="6"/>
    <s v="26"/>
    <x v="4"/>
    <x v="1"/>
    <n v="35517.89"/>
    <n v="504637"/>
    <x v="1552"/>
  </r>
  <r>
    <x v="6"/>
    <s v="26"/>
    <x v="4"/>
    <x v="2"/>
    <n v="92115.79"/>
    <n v="504637"/>
    <x v="1553"/>
  </r>
  <r>
    <x v="5"/>
    <s v="33"/>
    <x v="65"/>
    <x v="0"/>
    <n v="393696.64"/>
    <n v="1583384"/>
    <x v="1554"/>
  </r>
  <r>
    <x v="5"/>
    <s v="33"/>
    <x v="65"/>
    <x v="1"/>
    <n v="160854.79999999999"/>
    <n v="1583384"/>
    <x v="1555"/>
  </r>
  <r>
    <x v="5"/>
    <s v="33"/>
    <x v="65"/>
    <x v="2"/>
    <n v="311391.34000000003"/>
    <n v="1583384"/>
    <x v="1556"/>
  </r>
  <r>
    <x v="5"/>
    <s v="34"/>
    <x v="78"/>
    <x v="0"/>
    <n v="340383.83"/>
    <n v="1144892"/>
    <x v="1557"/>
  </r>
  <r>
    <x v="5"/>
    <s v="34"/>
    <x v="78"/>
    <x v="1"/>
    <n v="112046.86"/>
    <n v="1144892"/>
    <x v="1558"/>
  </r>
  <r>
    <x v="5"/>
    <s v="34"/>
    <x v="78"/>
    <x v="2"/>
    <n v="225505.92000000001"/>
    <n v="1144892"/>
    <x v="1559"/>
  </r>
  <r>
    <x v="5"/>
    <s v="35"/>
    <x v="22"/>
    <x v="0"/>
    <n v="191200.42"/>
    <n v="1060199"/>
    <x v="1560"/>
  </r>
  <r>
    <x v="5"/>
    <s v="35"/>
    <x v="22"/>
    <x v="1"/>
    <n v="110603.54"/>
    <n v="1060199"/>
    <x v="1561"/>
  </r>
  <r>
    <x v="5"/>
    <s v="35"/>
    <x v="22"/>
    <x v="2"/>
    <n v="198988.29"/>
    <n v="1060199"/>
    <x v="1562"/>
  </r>
  <r>
    <x v="6"/>
    <s v="38"/>
    <x v="5"/>
    <x v="0"/>
    <n v="272531.68"/>
    <n v="1251060"/>
    <x v="1563"/>
  </r>
  <r>
    <x v="6"/>
    <s v="38"/>
    <x v="5"/>
    <x v="1"/>
    <n v="95767.5"/>
    <n v="1251060"/>
    <x v="1564"/>
  </r>
  <r>
    <x v="6"/>
    <s v="38"/>
    <x v="5"/>
    <x v="2"/>
    <n v="273624.51"/>
    <n v="1251060"/>
    <x v="1565"/>
  </r>
  <r>
    <x v="5"/>
    <s v="36"/>
    <x v="26"/>
    <x v="0"/>
    <n v="39662.49"/>
    <n v="222232"/>
    <x v="1566"/>
  </r>
  <r>
    <x v="5"/>
    <s v="36"/>
    <x v="26"/>
    <x v="1"/>
    <n v="29940.97"/>
    <n v="222232"/>
    <x v="1567"/>
  </r>
  <r>
    <x v="5"/>
    <s v="36"/>
    <x v="26"/>
    <x v="2"/>
    <n v="42488.06"/>
    <n v="222232"/>
    <x v="1568"/>
  </r>
  <r>
    <x v="5"/>
    <s v="37"/>
    <x v="27"/>
    <x v="0"/>
    <n v="128608.53"/>
    <n v="606511"/>
    <x v="1569"/>
  </r>
  <r>
    <x v="5"/>
    <s v="37"/>
    <x v="27"/>
    <x v="1"/>
    <n v="78130.14"/>
    <n v="606511"/>
    <x v="1570"/>
  </r>
  <r>
    <x v="5"/>
    <s v="37"/>
    <x v="27"/>
    <x v="2"/>
    <n v="101296.7"/>
    <n v="606511"/>
    <x v="1571"/>
  </r>
  <r>
    <x v="5"/>
    <s v="38"/>
    <x v="5"/>
    <x v="0"/>
    <n v="270874.53999999998"/>
    <n v="1258722"/>
    <x v="1572"/>
  </r>
  <r>
    <x v="5"/>
    <s v="38"/>
    <x v="5"/>
    <x v="1"/>
    <n v="96873.75"/>
    <n v="1258722"/>
    <x v="1573"/>
  </r>
  <r>
    <x v="5"/>
    <s v="38"/>
    <x v="5"/>
    <x v="2"/>
    <n v="272221.65999999997"/>
    <n v="1258722"/>
    <x v="1574"/>
  </r>
  <r>
    <x v="6"/>
    <s v="42"/>
    <x v="6"/>
    <x v="0"/>
    <n v="172994.95"/>
    <n v="759411"/>
    <x v="1575"/>
  </r>
  <r>
    <x v="6"/>
    <s v="42"/>
    <x v="6"/>
    <x v="1"/>
    <n v="59887.94"/>
    <n v="759411"/>
    <x v="1576"/>
  </r>
  <r>
    <x v="6"/>
    <s v="42"/>
    <x v="6"/>
    <x v="2"/>
    <n v="134191.98000000001"/>
    <n v="759411"/>
    <x v="1577"/>
  </r>
  <r>
    <x v="5"/>
    <s v="39"/>
    <x v="14"/>
    <x v="0"/>
    <n v="49895.47"/>
    <n v="260188"/>
    <x v="1578"/>
  </r>
  <r>
    <x v="5"/>
    <s v="39"/>
    <x v="14"/>
    <x v="1"/>
    <n v="34545.32"/>
    <n v="260188"/>
    <x v="1579"/>
  </r>
  <r>
    <x v="5"/>
    <s v="39"/>
    <x v="14"/>
    <x v="2"/>
    <n v="43425.52"/>
    <n v="260188"/>
    <x v="1580"/>
  </r>
  <r>
    <x v="5"/>
    <s v="40"/>
    <x v="66"/>
    <x v="0"/>
    <n v="122430.93"/>
    <n v="407444"/>
    <x v="1581"/>
  </r>
  <r>
    <x v="5"/>
    <s v="40"/>
    <x v="66"/>
    <x v="1"/>
    <n v="40635.94"/>
    <n v="407444"/>
    <x v="1582"/>
  </r>
  <r>
    <x v="5"/>
    <s v="40"/>
    <x v="66"/>
    <x v="2"/>
    <n v="176727.81"/>
    <n v="407444"/>
    <x v="1583"/>
  </r>
  <r>
    <x v="5"/>
    <s v="41"/>
    <x v="28"/>
    <x v="0"/>
    <n v="73941.61"/>
    <n v="331915"/>
    <x v="1584"/>
  </r>
  <r>
    <x v="5"/>
    <s v="41"/>
    <x v="28"/>
    <x v="1"/>
    <n v="26750.89"/>
    <n v="331915"/>
    <x v="1585"/>
  </r>
  <r>
    <x v="5"/>
    <s v="41"/>
    <x v="28"/>
    <x v="2"/>
    <n v="75537.97"/>
    <n v="331915"/>
    <x v="1586"/>
  </r>
  <r>
    <x v="6"/>
    <s v="43"/>
    <x v="7"/>
    <x v="0"/>
    <n v="50287.83"/>
    <n v="227034"/>
    <x v="1587"/>
  </r>
  <r>
    <x v="6"/>
    <s v="43"/>
    <x v="7"/>
    <x v="1"/>
    <n v="19007.169999999998"/>
    <n v="227034"/>
    <x v="1588"/>
  </r>
  <r>
    <x v="6"/>
    <s v="43"/>
    <x v="7"/>
    <x v="2"/>
    <n v="36048.949999999997"/>
    <n v="227034"/>
    <x v="1589"/>
  </r>
  <r>
    <x v="5"/>
    <s v="42"/>
    <x v="6"/>
    <x v="0"/>
    <n v="171271.28"/>
    <n v="762941"/>
    <x v="1590"/>
  </r>
  <r>
    <x v="5"/>
    <s v="42"/>
    <x v="6"/>
    <x v="1"/>
    <n v="61906.7"/>
    <n v="762941"/>
    <x v="1591"/>
  </r>
  <r>
    <x v="5"/>
    <s v="42"/>
    <x v="6"/>
    <x v="2"/>
    <n v="132619.92000000001"/>
    <n v="762941"/>
    <x v="1592"/>
  </r>
  <r>
    <x v="5"/>
    <s v="43"/>
    <x v="7"/>
    <x v="0"/>
    <n v="48463.4"/>
    <n v="227283"/>
    <x v="1593"/>
  </r>
  <r>
    <x v="5"/>
    <s v="43"/>
    <x v="7"/>
    <x v="1"/>
    <n v="20011.080000000002"/>
    <n v="227283"/>
    <x v="1594"/>
  </r>
  <r>
    <x v="5"/>
    <s v="43"/>
    <x v="7"/>
    <x v="2"/>
    <n v="38244.85"/>
    <n v="227283"/>
    <x v="1595"/>
  </r>
  <r>
    <x v="5"/>
    <s v="44"/>
    <x v="85"/>
    <x v="0"/>
    <n v="272212.92"/>
    <n v="1394909"/>
    <x v="1596"/>
  </r>
  <r>
    <x v="5"/>
    <s v="44"/>
    <x v="85"/>
    <x v="1"/>
    <n v="120617.98"/>
    <n v="1394909"/>
    <x v="1597"/>
  </r>
  <r>
    <x v="5"/>
    <s v="44"/>
    <x v="85"/>
    <x v="2"/>
    <n v="300508.03999999998"/>
    <n v="1394909"/>
    <x v="1598"/>
  </r>
  <r>
    <x v="6"/>
    <s v="63"/>
    <x v="8"/>
    <x v="0"/>
    <n v="142092.76999999999"/>
    <n v="647501"/>
    <x v="1599"/>
  </r>
  <r>
    <x v="6"/>
    <s v="63"/>
    <x v="8"/>
    <x v="1"/>
    <n v="70770.87"/>
    <n v="647501"/>
    <x v="1600"/>
  </r>
  <r>
    <x v="6"/>
    <s v="63"/>
    <x v="8"/>
    <x v="2"/>
    <n v="92835.79"/>
    <n v="647501"/>
    <x v="1601"/>
  </r>
  <r>
    <x v="5"/>
    <s v="45"/>
    <x v="29"/>
    <x v="0"/>
    <n v="145686.63"/>
    <n v="678105"/>
    <x v="1602"/>
  </r>
  <r>
    <x v="5"/>
    <s v="45"/>
    <x v="29"/>
    <x v="1"/>
    <n v="52618.33"/>
    <n v="678105"/>
    <x v="1603"/>
  </r>
  <r>
    <x v="5"/>
    <s v="45"/>
    <x v="29"/>
    <x v="2"/>
    <n v="141363.29"/>
    <n v="678105"/>
    <x v="1604"/>
  </r>
  <r>
    <x v="5"/>
    <s v="46"/>
    <x v="79"/>
    <x v="0"/>
    <n v="39342.46"/>
    <n v="173828"/>
    <x v="1605"/>
  </r>
  <r>
    <x v="5"/>
    <s v="46"/>
    <x v="79"/>
    <x v="1"/>
    <n v="24285.09"/>
    <n v="173828"/>
    <x v="1606"/>
  </r>
  <r>
    <x v="5"/>
    <s v="46"/>
    <x v="79"/>
    <x v="2"/>
    <n v="37729.360000000001"/>
    <n v="173828"/>
    <x v="1607"/>
  </r>
  <r>
    <x v="5"/>
    <s v="47"/>
    <x v="67"/>
    <x v="0"/>
    <n v="85254.71"/>
    <n v="332842"/>
    <x v="1608"/>
  </r>
  <r>
    <x v="5"/>
    <s v="47"/>
    <x v="67"/>
    <x v="1"/>
    <n v="33439.29"/>
    <n v="332842"/>
    <x v="1609"/>
  </r>
  <r>
    <x v="5"/>
    <s v="47"/>
    <x v="67"/>
    <x v="2"/>
    <n v="65706.66"/>
    <n v="332842"/>
    <x v="1610"/>
  </r>
  <r>
    <x v="6"/>
    <s v="69"/>
    <x v="9"/>
    <x v="0"/>
    <n v="401938.28"/>
    <n v="1821995"/>
    <x v="1611"/>
  </r>
  <r>
    <x v="6"/>
    <s v="69"/>
    <x v="9"/>
    <x v="1"/>
    <n v="125315.11"/>
    <n v="1821995"/>
    <x v="1612"/>
  </r>
  <r>
    <x v="6"/>
    <s v="69"/>
    <x v="9"/>
    <x v="2"/>
    <n v="174414.4"/>
    <n v="1821995"/>
    <x v="1613"/>
  </r>
  <r>
    <x v="5"/>
    <s v="48"/>
    <x v="80"/>
    <x v="0"/>
    <n v="20258.43"/>
    <n v="76601"/>
    <x v="1614"/>
  </r>
  <r>
    <x v="5"/>
    <s v="48"/>
    <x v="80"/>
    <x v="1"/>
    <n v="5857.73"/>
    <n v="76601"/>
    <x v="1615"/>
  </r>
  <r>
    <x v="5"/>
    <s v="48"/>
    <x v="80"/>
    <x v="2"/>
    <n v="12972.29"/>
    <n v="76601"/>
    <x v="1616"/>
  </r>
  <r>
    <x v="5"/>
    <s v="49"/>
    <x v="86"/>
    <x v="0"/>
    <n v="129679.17"/>
    <n v="813493"/>
    <x v="1617"/>
  </r>
  <r>
    <x v="5"/>
    <s v="49"/>
    <x v="86"/>
    <x v="1"/>
    <n v="81429.81"/>
    <n v="813493"/>
    <x v="1618"/>
  </r>
  <r>
    <x v="5"/>
    <s v="49"/>
    <x v="86"/>
    <x v="2"/>
    <n v="164976.19"/>
    <n v="813493"/>
    <x v="1619"/>
  </r>
  <r>
    <x v="5"/>
    <s v="50"/>
    <x v="57"/>
    <x v="0"/>
    <n v="114215.03"/>
    <n v="496883"/>
    <x v="1620"/>
  </r>
  <r>
    <x v="5"/>
    <s v="50"/>
    <x v="57"/>
    <x v="1"/>
    <n v="54301.97"/>
    <n v="496883"/>
    <x v="1621"/>
  </r>
  <r>
    <x v="5"/>
    <s v="50"/>
    <x v="57"/>
    <x v="2"/>
    <n v="153189.01999999999"/>
    <n v="496883"/>
    <x v="1622"/>
  </r>
  <r>
    <x v="6"/>
    <s v="73"/>
    <x v="10"/>
    <x v="0"/>
    <n v="129566.45"/>
    <n v="428204"/>
    <x v="1623"/>
  </r>
  <r>
    <x v="6"/>
    <s v="73"/>
    <x v="10"/>
    <x v="1"/>
    <n v="47170.23"/>
    <n v="428204"/>
    <x v="1624"/>
  </r>
  <r>
    <x v="6"/>
    <s v="73"/>
    <x v="10"/>
    <x v="2"/>
    <n v="96152.38"/>
    <n v="428204"/>
    <x v="1625"/>
  </r>
  <r>
    <x v="5"/>
    <s v="51"/>
    <x v="34"/>
    <x v="0"/>
    <n v="135598.98000000001"/>
    <n v="568895"/>
    <x v="1626"/>
  </r>
  <r>
    <x v="5"/>
    <s v="51"/>
    <x v="34"/>
    <x v="1"/>
    <n v="58155.93"/>
    <n v="568895"/>
    <x v="1627"/>
  </r>
  <r>
    <x v="5"/>
    <s v="51"/>
    <x v="34"/>
    <x v="2"/>
    <n v="84430.66"/>
    <n v="568895"/>
    <x v="1628"/>
  </r>
  <r>
    <x v="5"/>
    <s v="52"/>
    <x v="35"/>
    <x v="0"/>
    <n v="40673.96"/>
    <n v="175640"/>
    <x v="1629"/>
  </r>
  <r>
    <x v="5"/>
    <s v="52"/>
    <x v="35"/>
    <x v="1"/>
    <n v="15139.1"/>
    <n v="175640"/>
    <x v="1630"/>
  </r>
  <r>
    <x v="5"/>
    <s v="52"/>
    <x v="35"/>
    <x v="2"/>
    <n v="30305.8"/>
    <n v="175640"/>
    <x v="1631"/>
  </r>
  <r>
    <x v="5"/>
    <s v="53"/>
    <x v="87"/>
    <x v="0"/>
    <n v="52727.26"/>
    <n v="307445"/>
    <x v="1632"/>
  </r>
  <r>
    <x v="5"/>
    <s v="53"/>
    <x v="87"/>
    <x v="1"/>
    <n v="32002.98"/>
    <n v="307445"/>
    <x v="1633"/>
  </r>
  <r>
    <x v="5"/>
    <s v="53"/>
    <x v="87"/>
    <x v="2"/>
    <n v="75415.240000000005"/>
    <n v="307445"/>
    <x v="1634"/>
  </r>
  <r>
    <x v="6"/>
    <s v="74"/>
    <x v="11"/>
    <x v="0"/>
    <n v="226247.32"/>
    <n v="793938"/>
    <x v="1635"/>
  </r>
  <r>
    <x v="6"/>
    <s v="74"/>
    <x v="11"/>
    <x v="1"/>
    <n v="66536.86"/>
    <n v="793938"/>
    <x v="1636"/>
  </r>
  <r>
    <x v="6"/>
    <s v="74"/>
    <x v="11"/>
    <x v="2"/>
    <n v="170397.28"/>
    <n v="793938"/>
    <x v="1637"/>
  </r>
  <r>
    <x v="5"/>
    <s v="54"/>
    <x v="36"/>
    <x v="0"/>
    <n v="177158.27"/>
    <n v="733481"/>
    <x v="1638"/>
  </r>
  <r>
    <x v="5"/>
    <s v="54"/>
    <x v="36"/>
    <x v="1"/>
    <n v="74382.02"/>
    <n v="733481"/>
    <x v="1639"/>
  </r>
  <r>
    <x v="5"/>
    <s v="54"/>
    <x v="36"/>
    <x v="2"/>
    <n v="94423.23"/>
    <n v="733481"/>
    <x v="1640"/>
  </r>
  <r>
    <x v="5"/>
    <s v="55"/>
    <x v="37"/>
    <x v="0"/>
    <n v="42177.5"/>
    <n v="187187"/>
    <x v="1641"/>
  </r>
  <r>
    <x v="5"/>
    <s v="55"/>
    <x v="37"/>
    <x v="1"/>
    <n v="17129.830000000002"/>
    <n v="187187"/>
    <x v="1642"/>
  </r>
  <r>
    <x v="5"/>
    <s v="55"/>
    <x v="37"/>
    <x v="2"/>
    <n v="30695.5"/>
    <n v="187187"/>
    <x v="1643"/>
  </r>
  <r>
    <x v="5"/>
    <s v="56"/>
    <x v="23"/>
    <x v="0"/>
    <n v="149381.4"/>
    <n v="750863"/>
    <x v="1644"/>
  </r>
  <r>
    <x v="5"/>
    <s v="56"/>
    <x v="23"/>
    <x v="1"/>
    <n v="94461.48"/>
    <n v="750863"/>
    <x v="1645"/>
  </r>
  <r>
    <x v="5"/>
    <s v="56"/>
    <x v="23"/>
    <x v="2"/>
    <n v="194401.48"/>
    <n v="750863"/>
    <x v="1646"/>
  </r>
  <r>
    <x v="6"/>
    <s v="21"/>
    <x v="12"/>
    <x v="0"/>
    <n v="118514.75"/>
    <n v="533147"/>
    <x v="1647"/>
  </r>
  <r>
    <x v="6"/>
    <s v="21"/>
    <x v="12"/>
    <x v="1"/>
    <n v="57135.48"/>
    <n v="533147"/>
    <x v="1648"/>
  </r>
  <r>
    <x v="6"/>
    <s v="21"/>
    <x v="12"/>
    <x v="2"/>
    <n v="87594.92"/>
    <n v="533147"/>
    <x v="1649"/>
  </r>
  <r>
    <x v="5"/>
    <s v="57"/>
    <x v="38"/>
    <x v="0"/>
    <n v="229928.44"/>
    <n v="1043522"/>
    <x v="1650"/>
  </r>
  <r>
    <x v="5"/>
    <s v="57"/>
    <x v="38"/>
    <x v="1"/>
    <n v="124173.67"/>
    <n v="1043522"/>
    <x v="1651"/>
  </r>
  <r>
    <x v="5"/>
    <s v="57"/>
    <x v="38"/>
    <x v="2"/>
    <n v="172217.39"/>
    <n v="1043522"/>
    <x v="1652"/>
  </r>
  <r>
    <x v="5"/>
    <s v="58"/>
    <x v="15"/>
    <x v="0"/>
    <n v="40256.639999999999"/>
    <n v="207182"/>
    <x v="1653"/>
  </r>
  <r>
    <x v="5"/>
    <s v="58"/>
    <x v="15"/>
    <x v="1"/>
    <n v="23094.05"/>
    <n v="207182"/>
    <x v="1654"/>
  </r>
  <r>
    <x v="5"/>
    <s v="58"/>
    <x v="15"/>
    <x v="2"/>
    <n v="42126.07"/>
    <n v="207182"/>
    <x v="1655"/>
  </r>
  <r>
    <x v="5"/>
    <s v="59"/>
    <x v="43"/>
    <x v="0"/>
    <n v="625089.35"/>
    <n v="2604361"/>
    <x v="1656"/>
  </r>
  <r>
    <x v="5"/>
    <s v="59"/>
    <x v="43"/>
    <x v="1"/>
    <n v="373711.44"/>
    <n v="2604361"/>
    <x v="1657"/>
  </r>
  <r>
    <x v="5"/>
    <s v="59"/>
    <x v="43"/>
    <x v="2"/>
    <n v="336878.2"/>
    <n v="2604361"/>
    <x v="1658"/>
  </r>
  <r>
    <x v="6"/>
    <s v="25"/>
    <x v="13"/>
    <x v="0"/>
    <n v="98935.84"/>
    <n v="536959"/>
    <x v="1659"/>
  </r>
  <r>
    <x v="6"/>
    <s v="25"/>
    <x v="13"/>
    <x v="1"/>
    <n v="52366.45"/>
    <n v="536959"/>
    <x v="1660"/>
  </r>
  <r>
    <x v="6"/>
    <s v="25"/>
    <x v="13"/>
    <x v="2"/>
    <n v="96430.48"/>
    <n v="536959"/>
    <x v="1661"/>
  </r>
  <r>
    <x v="5"/>
    <s v="60"/>
    <x v="44"/>
    <x v="0"/>
    <n v="199975.24"/>
    <n v="824503"/>
    <x v="1662"/>
  </r>
  <r>
    <x v="5"/>
    <s v="60"/>
    <x v="44"/>
    <x v="1"/>
    <n v="118131.67"/>
    <n v="824503"/>
    <x v="1663"/>
  </r>
  <r>
    <x v="5"/>
    <s v="60"/>
    <x v="44"/>
    <x v="2"/>
    <n v="150781.18"/>
    <n v="824503"/>
    <x v="1664"/>
  </r>
  <r>
    <x v="5"/>
    <s v="61"/>
    <x v="58"/>
    <x v="0"/>
    <n v="62917.55"/>
    <n v="283372"/>
    <x v="1665"/>
  </r>
  <r>
    <x v="5"/>
    <s v="61"/>
    <x v="58"/>
    <x v="1"/>
    <n v="22040.85"/>
    <n v="283372"/>
    <x v="1666"/>
  </r>
  <r>
    <x v="5"/>
    <s v="61"/>
    <x v="58"/>
    <x v="2"/>
    <n v="74703.3"/>
    <n v="283372"/>
    <x v="1667"/>
  </r>
  <r>
    <x v="5"/>
    <s v="62"/>
    <x v="45"/>
    <x v="0"/>
    <n v="397742.69"/>
    <n v="1468018"/>
    <x v="1668"/>
  </r>
  <r>
    <x v="5"/>
    <s v="62"/>
    <x v="45"/>
    <x v="1"/>
    <n v="241616.68"/>
    <n v="1468018"/>
    <x v="1669"/>
  </r>
  <r>
    <x v="5"/>
    <s v="62"/>
    <x v="45"/>
    <x v="2"/>
    <n v="316145.68"/>
    <n v="1468018"/>
    <x v="1670"/>
  </r>
  <r>
    <x v="6"/>
    <s v="39"/>
    <x v="14"/>
    <x v="0"/>
    <n v="50215.19"/>
    <n v="260587"/>
    <x v="1671"/>
  </r>
  <r>
    <x v="6"/>
    <s v="39"/>
    <x v="14"/>
    <x v="1"/>
    <n v="34415.22"/>
    <n v="260587"/>
    <x v="1672"/>
  </r>
  <r>
    <x v="6"/>
    <s v="39"/>
    <x v="14"/>
    <x v="2"/>
    <n v="39422.879999999997"/>
    <n v="260587"/>
    <x v="1673"/>
  </r>
  <r>
    <x v="5"/>
    <s v="63"/>
    <x v="8"/>
    <x v="0"/>
    <n v="136681.57"/>
    <n v="653742"/>
    <x v="1674"/>
  </r>
  <r>
    <x v="5"/>
    <s v="63"/>
    <x v="8"/>
    <x v="1"/>
    <n v="72747.88"/>
    <n v="653742"/>
    <x v="1675"/>
  </r>
  <r>
    <x v="5"/>
    <s v="63"/>
    <x v="8"/>
    <x v="2"/>
    <n v="98134.95"/>
    <n v="653742"/>
    <x v="1676"/>
  </r>
  <r>
    <x v="5"/>
    <s v="64"/>
    <x v="68"/>
    <x v="0"/>
    <n v="168190.57"/>
    <n v="677309"/>
    <x v="1677"/>
  </r>
  <r>
    <x v="5"/>
    <s v="64"/>
    <x v="68"/>
    <x v="1"/>
    <n v="74169.55"/>
    <n v="677309"/>
    <x v="1678"/>
  </r>
  <r>
    <x v="5"/>
    <s v="64"/>
    <x v="68"/>
    <x v="2"/>
    <n v="126370.15"/>
    <n v="677309"/>
    <x v="1679"/>
  </r>
  <r>
    <x v="5"/>
    <s v="65"/>
    <x v="81"/>
    <x v="0"/>
    <n v="60171.1"/>
    <n v="228530"/>
    <x v="1680"/>
  </r>
  <r>
    <x v="5"/>
    <s v="65"/>
    <x v="81"/>
    <x v="1"/>
    <n v="21008.47"/>
    <n v="228530"/>
    <x v="1681"/>
  </r>
  <r>
    <x v="5"/>
    <s v="65"/>
    <x v="81"/>
    <x v="2"/>
    <n v="43210.15"/>
    <n v="228530"/>
    <x v="1682"/>
  </r>
  <r>
    <x v="6"/>
    <s v="58"/>
    <x v="15"/>
    <x v="0"/>
    <n v="42042.46"/>
    <n v="211747"/>
    <x v="1683"/>
  </r>
  <r>
    <x v="6"/>
    <s v="58"/>
    <x v="15"/>
    <x v="1"/>
    <n v="21142.11"/>
    <n v="211747"/>
    <x v="1684"/>
  </r>
  <r>
    <x v="6"/>
    <s v="58"/>
    <x v="15"/>
    <x v="2"/>
    <n v="40390.31"/>
    <n v="211747"/>
    <x v="1685"/>
  </r>
  <r>
    <x v="5"/>
    <s v="66"/>
    <x v="82"/>
    <x v="0"/>
    <n v="159529.79"/>
    <n v="474452"/>
    <x v="1686"/>
  </r>
  <r>
    <x v="5"/>
    <s v="66"/>
    <x v="82"/>
    <x v="1"/>
    <n v="47351.58"/>
    <n v="474452"/>
    <x v="1687"/>
  </r>
  <r>
    <x v="5"/>
    <s v="66"/>
    <x v="82"/>
    <x v="2"/>
    <n v="116530.18"/>
    <n v="474452"/>
    <x v="1688"/>
  </r>
  <r>
    <x v="5"/>
    <s v="67"/>
    <x v="39"/>
    <x v="0"/>
    <n v="220608.65"/>
    <n v="1125559"/>
    <x v="1689"/>
  </r>
  <r>
    <x v="5"/>
    <s v="67"/>
    <x v="39"/>
    <x v="1"/>
    <n v="116035.52"/>
    <n v="1125559"/>
    <x v="1690"/>
  </r>
  <r>
    <x v="5"/>
    <s v="67"/>
    <x v="39"/>
    <x v="2"/>
    <n v="158986.67000000001"/>
    <n v="1125559"/>
    <x v="1691"/>
  </r>
  <r>
    <x v="5"/>
    <s v="68"/>
    <x v="40"/>
    <x v="0"/>
    <n v="143242.57999999999"/>
    <n v="764030"/>
    <x v="1692"/>
  </r>
  <r>
    <x v="5"/>
    <s v="68"/>
    <x v="40"/>
    <x v="1"/>
    <n v="128640.35"/>
    <n v="764030"/>
    <x v="1693"/>
  </r>
  <r>
    <x v="5"/>
    <s v="68"/>
    <x v="40"/>
    <x v="2"/>
    <n v="117789.81"/>
    <n v="764030"/>
    <x v="1694"/>
  </r>
  <r>
    <x v="6"/>
    <s v="70"/>
    <x v="16"/>
    <x v="0"/>
    <n v="37186.699999999997"/>
    <n v="237706"/>
    <x v="1695"/>
  </r>
  <r>
    <x v="6"/>
    <s v="70"/>
    <x v="16"/>
    <x v="1"/>
    <n v="38725.839999999997"/>
    <n v="237706"/>
    <x v="1696"/>
  </r>
  <r>
    <x v="6"/>
    <s v="70"/>
    <x v="16"/>
    <x v="2"/>
    <n v="47060.25"/>
    <n v="237706"/>
    <x v="1697"/>
  </r>
  <r>
    <x v="5"/>
    <s v="69"/>
    <x v="9"/>
    <x v="0"/>
    <n v="404280.06"/>
    <n v="1843319"/>
    <x v="1698"/>
  </r>
  <r>
    <x v="5"/>
    <s v="69"/>
    <x v="9"/>
    <x v="1"/>
    <n v="128986.04"/>
    <n v="1843319"/>
    <x v="1699"/>
  </r>
  <r>
    <x v="5"/>
    <s v="69"/>
    <x v="9"/>
    <x v="2"/>
    <n v="177525.23"/>
    <n v="1843319"/>
    <x v="1700"/>
  </r>
  <r>
    <x v="5"/>
    <s v="70"/>
    <x v="16"/>
    <x v="0"/>
    <n v="32503.11"/>
    <n v="236659"/>
    <x v="1701"/>
  </r>
  <r>
    <x v="5"/>
    <s v="70"/>
    <x v="16"/>
    <x v="1"/>
    <n v="30193.43"/>
    <n v="236659"/>
    <x v="1702"/>
  </r>
  <r>
    <x v="5"/>
    <s v="70"/>
    <x v="16"/>
    <x v="2"/>
    <n v="54406.27"/>
    <n v="236659"/>
    <x v="1703"/>
  </r>
  <r>
    <x v="5"/>
    <s v="71"/>
    <x v="17"/>
    <x v="0"/>
    <n v="112208.1"/>
    <n v="553595"/>
    <x v="1704"/>
  </r>
  <r>
    <x v="5"/>
    <s v="71"/>
    <x v="17"/>
    <x v="1"/>
    <n v="53916.81"/>
    <n v="553595"/>
    <x v="1705"/>
  </r>
  <r>
    <x v="5"/>
    <s v="71"/>
    <x v="17"/>
    <x v="2"/>
    <n v="115855.32"/>
    <n v="553595"/>
    <x v="1706"/>
  </r>
  <r>
    <x v="6"/>
    <s v="71"/>
    <x v="17"/>
    <x v="0"/>
    <n v="115707.61"/>
    <n v="555408"/>
    <x v="1707"/>
  </r>
  <r>
    <x v="6"/>
    <s v="71"/>
    <x v="17"/>
    <x v="1"/>
    <n v="50915.99"/>
    <n v="555408"/>
    <x v="1708"/>
  </r>
  <r>
    <x v="6"/>
    <s v="71"/>
    <x v="17"/>
    <x v="2"/>
    <n v="110973.94"/>
    <n v="555408"/>
    <x v="1709"/>
  </r>
  <r>
    <x v="5"/>
    <s v="72"/>
    <x v="88"/>
    <x v="0"/>
    <n v="103114.66"/>
    <n v="566506"/>
    <x v="1710"/>
  </r>
  <r>
    <x v="5"/>
    <s v="72"/>
    <x v="88"/>
    <x v="1"/>
    <n v="56583.54"/>
    <n v="566506"/>
    <x v="1711"/>
  </r>
  <r>
    <x v="5"/>
    <s v="72"/>
    <x v="88"/>
    <x v="2"/>
    <n v="109021.96"/>
    <n v="566506"/>
    <x v="1712"/>
  </r>
  <r>
    <x v="5"/>
    <s v="73"/>
    <x v="10"/>
    <x v="0"/>
    <n v="127977.19"/>
    <n v="431174"/>
    <x v="1713"/>
  </r>
  <r>
    <x v="5"/>
    <s v="73"/>
    <x v="10"/>
    <x v="1"/>
    <n v="48789.65"/>
    <n v="431174"/>
    <x v="1714"/>
  </r>
  <r>
    <x v="5"/>
    <s v="73"/>
    <x v="10"/>
    <x v="2"/>
    <n v="90660.06"/>
    <n v="431174"/>
    <x v="1715"/>
  </r>
  <r>
    <x v="5"/>
    <s v="74"/>
    <x v="11"/>
    <x v="0"/>
    <n v="225440.39"/>
    <n v="807360"/>
    <x v="1716"/>
  </r>
  <r>
    <x v="5"/>
    <s v="74"/>
    <x v="11"/>
    <x v="1"/>
    <n v="70881.17"/>
    <n v="807360"/>
    <x v="1717"/>
  </r>
  <r>
    <x v="5"/>
    <s v="74"/>
    <x v="11"/>
    <x v="2"/>
    <n v="173875.14"/>
    <n v="807360"/>
    <x v="1718"/>
  </r>
  <r>
    <x v="6"/>
    <s v="89"/>
    <x v="18"/>
    <x v="0"/>
    <n v="75711.09"/>
    <n v="340903"/>
    <x v="1719"/>
  </r>
  <r>
    <x v="6"/>
    <s v="89"/>
    <x v="18"/>
    <x v="1"/>
    <n v="34073.949999999997"/>
    <n v="340903"/>
    <x v="1720"/>
  </r>
  <r>
    <x v="6"/>
    <s v="89"/>
    <x v="18"/>
    <x v="2"/>
    <n v="64201.98"/>
    <n v="340903"/>
    <x v="1721"/>
  </r>
  <r>
    <x v="5"/>
    <s v="75"/>
    <x v="47"/>
    <x v="0"/>
    <n v="776542"/>
    <n v="2187526"/>
    <x v="1722"/>
  </r>
  <r>
    <x v="5"/>
    <s v="75"/>
    <x v="47"/>
    <x v="1"/>
    <n v="263851.8"/>
    <n v="2187526"/>
    <x v="1723"/>
  </r>
  <r>
    <x v="5"/>
    <s v="75"/>
    <x v="47"/>
    <x v="2"/>
    <n v="3694.65"/>
    <n v="2187526"/>
    <x v="1724"/>
  </r>
  <r>
    <x v="5"/>
    <s v="76"/>
    <x v="59"/>
    <x v="0"/>
    <n v="336256.09"/>
    <n v="1254378"/>
    <x v="1725"/>
  </r>
  <r>
    <x v="5"/>
    <s v="76"/>
    <x v="59"/>
    <x v="1"/>
    <n v="136711.65"/>
    <n v="1254378"/>
    <x v="1726"/>
  </r>
  <r>
    <x v="5"/>
    <s v="76"/>
    <x v="59"/>
    <x v="2"/>
    <n v="266808.43"/>
    <n v="1254378"/>
    <x v="1727"/>
  </r>
  <r>
    <x v="5"/>
    <s v="77"/>
    <x v="48"/>
    <x v="0"/>
    <n v="395224.19"/>
    <n v="1403997"/>
    <x v="1728"/>
  </r>
  <r>
    <x v="5"/>
    <s v="77"/>
    <x v="48"/>
    <x v="1"/>
    <n v="152818.54999999999"/>
    <n v="1403997"/>
    <x v="1729"/>
  </r>
  <r>
    <x v="5"/>
    <s v="77"/>
    <x v="48"/>
    <x v="2"/>
    <n v="130908.79"/>
    <n v="1403997"/>
    <x v="1730"/>
  </r>
  <r>
    <x v="6"/>
    <s v="90"/>
    <x v="19"/>
    <x v="0"/>
    <n v="31932.87"/>
    <n v="144483"/>
    <x v="1731"/>
  </r>
  <r>
    <x v="6"/>
    <s v="90"/>
    <x v="19"/>
    <x v="1"/>
    <n v="13409.35"/>
    <n v="144483"/>
    <x v="1732"/>
  </r>
  <r>
    <x v="6"/>
    <s v="90"/>
    <x v="19"/>
    <x v="2"/>
    <n v="17921.13"/>
    <n v="144483"/>
    <x v="1733"/>
  </r>
  <r>
    <x v="5"/>
    <s v="78"/>
    <x v="49"/>
    <x v="0"/>
    <n v="361105.03"/>
    <n v="1438266"/>
    <x v="1734"/>
  </r>
  <r>
    <x v="5"/>
    <s v="78"/>
    <x v="49"/>
    <x v="1"/>
    <n v="184210.24"/>
    <n v="1438266"/>
    <x v="1735"/>
  </r>
  <r>
    <x v="5"/>
    <s v="78"/>
    <x v="49"/>
    <x v="2"/>
    <n v="110301.78"/>
    <n v="1438266"/>
    <x v="1736"/>
  </r>
  <r>
    <x v="5"/>
    <s v="79"/>
    <x v="69"/>
    <x v="0"/>
    <n v="68326.95"/>
    <n v="374351"/>
    <x v="1737"/>
  </r>
  <r>
    <x v="5"/>
    <s v="79"/>
    <x v="69"/>
    <x v="1"/>
    <n v="40715.72"/>
    <n v="374351"/>
    <x v="1738"/>
  </r>
  <r>
    <x v="5"/>
    <s v="79"/>
    <x v="69"/>
    <x v="2"/>
    <n v="78618.86"/>
    <n v="374351"/>
    <x v="1739"/>
  </r>
  <r>
    <x v="5"/>
    <s v="80"/>
    <x v="46"/>
    <x v="0"/>
    <n v="149716.24"/>
    <n v="572443"/>
    <x v="1740"/>
  </r>
  <r>
    <x v="5"/>
    <s v="80"/>
    <x v="46"/>
    <x v="1"/>
    <n v="74676.23"/>
    <n v="572443"/>
    <x v="1741"/>
  </r>
  <r>
    <x v="5"/>
    <s v="80"/>
    <x v="46"/>
    <x v="2"/>
    <n v="107127.67"/>
    <n v="572443"/>
    <x v="1742"/>
  </r>
  <r>
    <x v="6"/>
    <s v="22"/>
    <x v="20"/>
    <x v="0"/>
    <n v="135702.19"/>
    <n v="598357"/>
    <x v="1743"/>
  </r>
  <r>
    <x v="6"/>
    <s v="22"/>
    <x v="20"/>
    <x v="1"/>
    <n v="67420.350000000006"/>
    <n v="598357"/>
    <x v="1744"/>
  </r>
  <r>
    <x v="6"/>
    <s v="22"/>
    <x v="20"/>
    <x v="2"/>
    <n v="193622.33"/>
    <n v="598357"/>
    <x v="1745"/>
  </r>
  <r>
    <x v="5"/>
    <s v="81"/>
    <x v="83"/>
    <x v="0"/>
    <n v="93188.52"/>
    <n v="387890"/>
    <x v="1746"/>
  </r>
  <r>
    <x v="5"/>
    <s v="81"/>
    <x v="83"/>
    <x v="1"/>
    <n v="36684.6"/>
    <n v="387890"/>
    <x v="1747"/>
  </r>
  <r>
    <x v="5"/>
    <s v="81"/>
    <x v="83"/>
    <x v="2"/>
    <n v="69093.19"/>
    <n v="387890"/>
    <x v="1748"/>
  </r>
  <r>
    <x v="5"/>
    <s v="82"/>
    <x v="84"/>
    <x v="0"/>
    <n v="62888.91"/>
    <n v="258349"/>
    <x v="1749"/>
  </r>
  <r>
    <x v="5"/>
    <s v="82"/>
    <x v="84"/>
    <x v="1"/>
    <n v="27579.29"/>
    <n v="258349"/>
    <x v="1750"/>
  </r>
  <r>
    <x v="5"/>
    <s v="82"/>
    <x v="84"/>
    <x v="2"/>
    <n v="45329.59"/>
    <n v="258349"/>
    <x v="1751"/>
  </r>
  <r>
    <x v="5"/>
    <s v="83"/>
    <x v="94"/>
    <x v="0"/>
    <n v="440441.62"/>
    <n v="1058740"/>
    <x v="1752"/>
  </r>
  <r>
    <x v="5"/>
    <s v="83"/>
    <x v="94"/>
    <x v="1"/>
    <n v="95290.41"/>
    <n v="1058740"/>
    <x v="1753"/>
  </r>
  <r>
    <x v="5"/>
    <s v="83"/>
    <x v="94"/>
    <x v="2"/>
    <n v="233024.56"/>
    <n v="1058740"/>
    <x v="1754"/>
  </r>
  <r>
    <x v="6"/>
    <s v="29"/>
    <x v="21"/>
    <x v="0"/>
    <n v="214521.09"/>
    <n v="907796"/>
    <x v="1755"/>
  </r>
  <r>
    <x v="6"/>
    <s v="29"/>
    <x v="21"/>
    <x v="1"/>
    <n v="135022.65"/>
    <n v="907796"/>
    <x v="1756"/>
  </r>
  <r>
    <x v="6"/>
    <s v="29"/>
    <x v="21"/>
    <x v="2"/>
    <n v="263106.90999999997"/>
    <n v="907796"/>
    <x v="1757"/>
  </r>
  <r>
    <x v="5"/>
    <s v="84"/>
    <x v="95"/>
    <x v="0"/>
    <n v="186021.44"/>
    <n v="559479"/>
    <x v="1758"/>
  </r>
  <r>
    <x v="5"/>
    <s v="84"/>
    <x v="95"/>
    <x v="1"/>
    <n v="40447.839999999997"/>
    <n v="559479"/>
    <x v="1759"/>
  </r>
  <r>
    <x v="5"/>
    <s v="84"/>
    <x v="95"/>
    <x v="2"/>
    <n v="103381.63"/>
    <n v="559479"/>
    <x v="1760"/>
  </r>
  <r>
    <x v="5"/>
    <s v="85"/>
    <x v="89"/>
    <x v="0"/>
    <n v="117888.81"/>
    <n v="675247"/>
    <x v="1761"/>
  </r>
  <r>
    <x v="5"/>
    <s v="85"/>
    <x v="89"/>
    <x v="1"/>
    <n v="81443.759999999995"/>
    <n v="675247"/>
    <x v="1762"/>
  </r>
  <r>
    <x v="5"/>
    <s v="85"/>
    <x v="89"/>
    <x v="2"/>
    <n v="196743.14"/>
    <n v="675247"/>
    <x v="1763"/>
  </r>
  <r>
    <x v="5"/>
    <s v="86"/>
    <x v="70"/>
    <x v="0"/>
    <n v="87734.75"/>
    <n v="436876"/>
    <x v="1764"/>
  </r>
  <r>
    <x v="5"/>
    <s v="86"/>
    <x v="70"/>
    <x v="1"/>
    <n v="38922.03"/>
    <n v="436876"/>
    <x v="1765"/>
  </r>
  <r>
    <x v="5"/>
    <s v="86"/>
    <x v="70"/>
    <x v="2"/>
    <n v="93024.05"/>
    <n v="436876"/>
    <x v="1766"/>
  </r>
  <r>
    <x v="6"/>
    <s v="35"/>
    <x v="22"/>
    <x v="0"/>
    <n v="197804.4"/>
    <n v="1042884"/>
    <x v="1767"/>
  </r>
  <r>
    <x v="6"/>
    <s v="35"/>
    <x v="22"/>
    <x v="1"/>
    <n v="112230.72"/>
    <n v="1042884"/>
    <x v="1768"/>
  </r>
  <r>
    <x v="6"/>
    <s v="35"/>
    <x v="22"/>
    <x v="2"/>
    <n v="180051.75"/>
    <n v="1042884"/>
    <x v="1769"/>
  </r>
  <r>
    <x v="5"/>
    <s v="87"/>
    <x v="71"/>
    <x v="0"/>
    <n v="82927.320000000007"/>
    <n v="374426"/>
    <x v="1770"/>
  </r>
  <r>
    <x v="5"/>
    <s v="87"/>
    <x v="71"/>
    <x v="1"/>
    <n v="34988.81"/>
    <n v="374426"/>
    <x v="1771"/>
  </r>
  <r>
    <x v="5"/>
    <s v="87"/>
    <x v="71"/>
    <x v="2"/>
    <n v="68224.98"/>
    <n v="374426"/>
    <x v="1772"/>
  </r>
  <r>
    <x v="5"/>
    <s v="88"/>
    <x v="41"/>
    <x v="0"/>
    <n v="80631.38"/>
    <n v="367673"/>
    <x v="1773"/>
  </r>
  <r>
    <x v="5"/>
    <s v="88"/>
    <x v="41"/>
    <x v="1"/>
    <n v="37536.18"/>
    <n v="367673"/>
    <x v="1774"/>
  </r>
  <r>
    <x v="5"/>
    <s v="88"/>
    <x v="41"/>
    <x v="2"/>
    <n v="68230.95"/>
    <n v="367673"/>
    <x v="1775"/>
  </r>
  <r>
    <x v="5"/>
    <s v="89"/>
    <x v="18"/>
    <x v="0"/>
    <n v="67866.22"/>
    <n v="338291"/>
    <x v="1776"/>
  </r>
  <r>
    <x v="5"/>
    <s v="89"/>
    <x v="18"/>
    <x v="1"/>
    <n v="36071.72"/>
    <n v="338291"/>
    <x v="1777"/>
  </r>
  <r>
    <x v="5"/>
    <s v="89"/>
    <x v="18"/>
    <x v="2"/>
    <n v="71973.009999999995"/>
    <n v="338291"/>
    <x v="1778"/>
  </r>
  <r>
    <x v="6"/>
    <s v="56"/>
    <x v="23"/>
    <x v="0"/>
    <n v="153198.07999999999"/>
    <n v="744813"/>
    <x v="1779"/>
  </r>
  <r>
    <x v="6"/>
    <s v="56"/>
    <x v="23"/>
    <x v="1"/>
    <n v="93508.1"/>
    <n v="744813"/>
    <x v="1780"/>
  </r>
  <r>
    <x v="6"/>
    <s v="56"/>
    <x v="23"/>
    <x v="2"/>
    <n v="180228.82"/>
    <n v="744813"/>
    <x v="1781"/>
  </r>
  <r>
    <x v="5"/>
    <s v="90"/>
    <x v="19"/>
    <x v="0"/>
    <n v="31672.3"/>
    <n v="142622"/>
    <x v="1782"/>
  </r>
  <r>
    <x v="5"/>
    <s v="90"/>
    <x v="19"/>
    <x v="1"/>
    <n v="24877.34"/>
    <n v="142622"/>
    <x v="1783"/>
  </r>
  <r>
    <x v="5"/>
    <s v="90"/>
    <x v="19"/>
    <x v="2"/>
    <n v="18248.07"/>
    <n v="142622"/>
    <x v="1784"/>
  </r>
  <r>
    <x v="5"/>
    <s v="91"/>
    <x v="50"/>
    <x v="0"/>
    <n v="322077.83"/>
    <n v="1296130"/>
    <x v="1785"/>
  </r>
  <r>
    <x v="5"/>
    <s v="91"/>
    <x v="50"/>
    <x v="1"/>
    <n v="170783.1"/>
    <n v="1296130"/>
    <x v="1786"/>
  </r>
  <r>
    <x v="5"/>
    <s v="91"/>
    <x v="50"/>
    <x v="2"/>
    <n v="111010.07"/>
    <n v="1296130"/>
    <x v="1787"/>
  </r>
  <r>
    <x v="5"/>
    <s v="92"/>
    <x v="51"/>
    <x v="0"/>
    <n v="428365"/>
    <n v="1609306"/>
    <x v="1788"/>
  </r>
  <r>
    <x v="5"/>
    <s v="92"/>
    <x v="51"/>
    <x v="1"/>
    <n v="147004.07"/>
    <n v="1609306"/>
    <x v="1789"/>
  </r>
  <r>
    <x v="5"/>
    <s v="92"/>
    <x v="51"/>
    <x v="2"/>
    <n v="22899.89"/>
    <n v="1609306"/>
    <x v="1790"/>
  </r>
  <r>
    <x v="6"/>
    <s v="18"/>
    <x v="24"/>
    <x v="0"/>
    <n v="63193.69"/>
    <n v="308992"/>
    <x v="1791"/>
  </r>
  <r>
    <x v="6"/>
    <s v="18"/>
    <x v="24"/>
    <x v="1"/>
    <n v="30929.93"/>
    <n v="308992"/>
    <x v="1792"/>
  </r>
  <r>
    <x v="6"/>
    <s v="18"/>
    <x v="24"/>
    <x v="2"/>
    <n v="59151.19"/>
    <n v="308992"/>
    <x v="1793"/>
  </r>
  <r>
    <x v="5"/>
    <s v="93"/>
    <x v="52"/>
    <x v="0"/>
    <n v="491951.03"/>
    <n v="1623111"/>
    <x v="1794"/>
  </r>
  <r>
    <x v="5"/>
    <s v="93"/>
    <x v="52"/>
    <x v="1"/>
    <n v="115093.88"/>
    <n v="1623111"/>
    <x v="1795"/>
  </r>
  <r>
    <x v="5"/>
    <s v="93"/>
    <x v="52"/>
    <x v="2"/>
    <n v="93295.78"/>
    <n v="1623111"/>
    <x v="1796"/>
  </r>
  <r>
    <x v="5"/>
    <s v="94"/>
    <x v="53"/>
    <x v="0"/>
    <n v="371126.76"/>
    <n v="1387926"/>
    <x v="1797"/>
  </r>
  <r>
    <x v="5"/>
    <s v="94"/>
    <x v="53"/>
    <x v="1"/>
    <n v="131756.60999999999"/>
    <n v="1387926"/>
    <x v="1798"/>
  </r>
  <r>
    <x v="5"/>
    <s v="94"/>
    <x v="53"/>
    <x v="2"/>
    <n v="42215.48"/>
    <n v="1387926"/>
    <x v="1799"/>
  </r>
  <r>
    <x v="5"/>
    <s v="95"/>
    <x v="54"/>
    <x v="0"/>
    <n v="328314.49"/>
    <n v="1228618"/>
    <x v="1800"/>
  </r>
  <r>
    <x v="5"/>
    <s v="95"/>
    <x v="54"/>
    <x v="1"/>
    <n v="133737.49"/>
    <n v="1228618"/>
    <x v="1801"/>
  </r>
  <r>
    <x v="5"/>
    <s v="95"/>
    <x v="54"/>
    <x v="2"/>
    <n v="95071.18"/>
    <n v="1228618"/>
    <x v="1802"/>
  </r>
  <r>
    <x v="6"/>
    <s v="28"/>
    <x v="25"/>
    <x v="0"/>
    <n v="104926.98"/>
    <n v="434035"/>
    <x v="1803"/>
  </r>
  <r>
    <x v="6"/>
    <s v="28"/>
    <x v="25"/>
    <x v="1"/>
    <n v="52408.59"/>
    <n v="434035"/>
    <x v="1804"/>
  </r>
  <r>
    <x v="6"/>
    <s v="28"/>
    <x v="25"/>
    <x v="2"/>
    <n v="83274"/>
    <n v="434035"/>
    <x v="1805"/>
  </r>
  <r>
    <x v="6"/>
    <s v="36"/>
    <x v="26"/>
    <x v="0"/>
    <n v="42511.31"/>
    <n v="224200"/>
    <x v="1806"/>
  </r>
  <r>
    <x v="6"/>
    <s v="36"/>
    <x v="26"/>
    <x v="1"/>
    <n v="29235.69"/>
    <n v="224200"/>
    <x v="1807"/>
  </r>
  <r>
    <x v="6"/>
    <s v="36"/>
    <x v="26"/>
    <x v="2"/>
    <n v="38236.06"/>
    <n v="224200"/>
    <x v="1808"/>
  </r>
  <r>
    <x v="6"/>
    <s v="37"/>
    <x v="27"/>
    <x v="0"/>
    <n v="128827.03"/>
    <n v="604966"/>
    <x v="1809"/>
  </r>
  <r>
    <x v="6"/>
    <s v="37"/>
    <x v="27"/>
    <x v="1"/>
    <n v="75655.05"/>
    <n v="604966"/>
    <x v="1810"/>
  </r>
  <r>
    <x v="6"/>
    <s v="37"/>
    <x v="27"/>
    <x v="2"/>
    <n v="95996.33"/>
    <n v="604966"/>
    <x v="1811"/>
  </r>
  <r>
    <x v="6"/>
    <s v="41"/>
    <x v="28"/>
    <x v="0"/>
    <n v="75424.62"/>
    <n v="333050"/>
    <x v="1812"/>
  </r>
  <r>
    <x v="6"/>
    <s v="41"/>
    <x v="28"/>
    <x v="1"/>
    <n v="26842.959999999999"/>
    <n v="333050"/>
    <x v="1813"/>
  </r>
  <r>
    <x v="6"/>
    <s v="41"/>
    <x v="28"/>
    <x v="2"/>
    <n v="68599.69"/>
    <n v="333050"/>
    <x v="1814"/>
  </r>
  <r>
    <x v="6"/>
    <s v="45"/>
    <x v="29"/>
    <x v="0"/>
    <n v="149510.57999999999"/>
    <n v="673349"/>
    <x v="1815"/>
  </r>
  <r>
    <x v="6"/>
    <s v="45"/>
    <x v="29"/>
    <x v="1"/>
    <n v="51778.07"/>
    <n v="673349"/>
    <x v="1816"/>
  </r>
  <r>
    <x v="6"/>
    <s v="45"/>
    <x v="29"/>
    <x v="2"/>
    <n v="127979.17"/>
    <n v="673349"/>
    <x v="1817"/>
  </r>
  <r>
    <x v="6"/>
    <s v="2A"/>
    <x v="30"/>
    <x v="0"/>
    <n v="73728.87"/>
    <n v="152730"/>
    <x v="1818"/>
  </r>
  <r>
    <x v="6"/>
    <s v="2A"/>
    <x v="30"/>
    <x v="1"/>
    <n v="10280.01"/>
    <n v="152730"/>
    <x v="1819"/>
  </r>
  <r>
    <x v="6"/>
    <s v="2A"/>
    <x v="30"/>
    <x v="2"/>
    <n v="22156.639999999999"/>
    <n v="152730"/>
    <x v="1820"/>
  </r>
  <r>
    <x v="6"/>
    <s v="2B"/>
    <x v="31"/>
    <x v="0"/>
    <n v="76513.740000000005"/>
    <n v="174553"/>
    <x v="1821"/>
  </r>
  <r>
    <x v="6"/>
    <s v="2B"/>
    <x v="31"/>
    <x v="1"/>
    <n v="9475.2900000000009"/>
    <n v="174553"/>
    <x v="1822"/>
  </r>
  <r>
    <x v="6"/>
    <s v="2B"/>
    <x v="31"/>
    <x v="2"/>
    <n v="18578.400000000001"/>
    <n v="174553"/>
    <x v="1823"/>
  </r>
  <r>
    <x v="6"/>
    <s v="08"/>
    <x v="32"/>
    <x v="0"/>
    <n v="67643.47"/>
    <n v="277752"/>
    <x v="1824"/>
  </r>
  <r>
    <x v="6"/>
    <s v="08"/>
    <x v="32"/>
    <x v="1"/>
    <n v="28737.09"/>
    <n v="277752"/>
    <x v="1825"/>
  </r>
  <r>
    <x v="6"/>
    <s v="08"/>
    <x v="32"/>
    <x v="2"/>
    <n v="46591.42"/>
    <n v="277752"/>
    <x v="1826"/>
  </r>
  <r>
    <x v="6"/>
    <s v="10"/>
    <x v="33"/>
    <x v="0"/>
    <n v="77536.100000000006"/>
    <n v="309056"/>
    <x v="1827"/>
  </r>
  <r>
    <x v="6"/>
    <s v="10"/>
    <x v="33"/>
    <x v="1"/>
    <n v="33106.400000000001"/>
    <n v="309056"/>
    <x v="1828"/>
  </r>
  <r>
    <x v="6"/>
    <s v="10"/>
    <x v="33"/>
    <x v="2"/>
    <n v="35233.760000000002"/>
    <n v="309056"/>
    <x v="1829"/>
  </r>
  <r>
    <x v="6"/>
    <s v="51"/>
    <x v="34"/>
    <x v="0"/>
    <n v="136440.60999999999"/>
    <n v="572293"/>
    <x v="1830"/>
  </r>
  <r>
    <x v="6"/>
    <s v="51"/>
    <x v="34"/>
    <x v="1"/>
    <n v="57822.79"/>
    <n v="572293"/>
    <x v="1831"/>
  </r>
  <r>
    <x v="6"/>
    <s v="51"/>
    <x v="34"/>
    <x v="2"/>
    <n v="81977.759999999995"/>
    <n v="572293"/>
    <x v="1832"/>
  </r>
  <r>
    <x v="6"/>
    <s v="52"/>
    <x v="35"/>
    <x v="0"/>
    <n v="43473.85"/>
    <n v="179154"/>
    <x v="1833"/>
  </r>
  <r>
    <x v="6"/>
    <s v="52"/>
    <x v="35"/>
    <x v="1"/>
    <n v="14892.8"/>
    <n v="179154"/>
    <x v="1834"/>
  </r>
  <r>
    <x v="6"/>
    <s v="52"/>
    <x v="35"/>
    <x v="2"/>
    <n v="28332.25"/>
    <n v="179154"/>
    <x v="1835"/>
  </r>
  <r>
    <x v="6"/>
    <s v="54"/>
    <x v="36"/>
    <x v="0"/>
    <n v="183285.53"/>
    <n v="734403"/>
    <x v="1836"/>
  </r>
  <r>
    <x v="6"/>
    <s v="54"/>
    <x v="36"/>
    <x v="1"/>
    <n v="65208.08"/>
    <n v="734403"/>
    <x v="1837"/>
  </r>
  <r>
    <x v="6"/>
    <s v="54"/>
    <x v="36"/>
    <x v="2"/>
    <n v="70588.86"/>
    <n v="734403"/>
    <x v="1838"/>
  </r>
  <r>
    <x v="6"/>
    <s v="55"/>
    <x v="37"/>
    <x v="0"/>
    <n v="43434.65"/>
    <n v="190626"/>
    <x v="1839"/>
  </r>
  <r>
    <x v="6"/>
    <s v="55"/>
    <x v="37"/>
    <x v="1"/>
    <n v="16289.12"/>
    <n v="190626"/>
    <x v="1840"/>
  </r>
  <r>
    <x v="6"/>
    <s v="55"/>
    <x v="37"/>
    <x v="2"/>
    <n v="26288.23"/>
    <n v="190626"/>
    <x v="1841"/>
  </r>
  <r>
    <x v="6"/>
    <s v="57"/>
    <x v="38"/>
    <x v="0"/>
    <n v="247206.79"/>
    <n v="1044486"/>
    <x v="1842"/>
  </r>
  <r>
    <x v="6"/>
    <s v="57"/>
    <x v="38"/>
    <x v="1"/>
    <n v="125163.41"/>
    <n v="1044486"/>
    <x v="1843"/>
  </r>
  <r>
    <x v="6"/>
    <s v="57"/>
    <x v="38"/>
    <x v="2"/>
    <n v="164066.79999999999"/>
    <n v="1044486"/>
    <x v="1844"/>
  </r>
  <r>
    <x v="6"/>
    <s v="67"/>
    <x v="39"/>
    <x v="0"/>
    <n v="230261.12"/>
    <n v="1116658"/>
    <x v="1845"/>
  </r>
  <r>
    <x v="6"/>
    <s v="67"/>
    <x v="39"/>
    <x v="1"/>
    <n v="109474.19"/>
    <n v="1116658"/>
    <x v="1846"/>
  </r>
  <r>
    <x v="6"/>
    <s v="67"/>
    <x v="39"/>
    <x v="2"/>
    <n v="162541.85999999999"/>
    <n v="1116658"/>
    <x v="1847"/>
  </r>
  <r>
    <x v="6"/>
    <s v="68"/>
    <x v="40"/>
    <x v="0"/>
    <n v="151330.18"/>
    <n v="762607"/>
    <x v="1848"/>
  </r>
  <r>
    <x v="6"/>
    <s v="68"/>
    <x v="40"/>
    <x v="1"/>
    <n v="116150.14"/>
    <n v="762607"/>
    <x v="1849"/>
  </r>
  <r>
    <x v="6"/>
    <s v="68"/>
    <x v="40"/>
    <x v="2"/>
    <n v="100105.73"/>
    <n v="762607"/>
    <x v="1850"/>
  </r>
  <r>
    <x v="6"/>
    <s v="88"/>
    <x v="41"/>
    <x v="0"/>
    <n v="85018.53"/>
    <n v="372016"/>
    <x v="1851"/>
  </r>
  <r>
    <x v="6"/>
    <s v="88"/>
    <x v="41"/>
    <x v="1"/>
    <n v="34996.43"/>
    <n v="372016"/>
    <x v="1852"/>
  </r>
  <r>
    <x v="6"/>
    <s v="88"/>
    <x v="41"/>
    <x v="2"/>
    <n v="64604.36"/>
    <n v="372016"/>
    <x v="1853"/>
  </r>
  <r>
    <x v="6"/>
    <s v="02"/>
    <x v="42"/>
    <x v="0"/>
    <n v="125994.6"/>
    <n v="538659"/>
    <x v="1854"/>
  </r>
  <r>
    <x v="6"/>
    <s v="02"/>
    <x v="42"/>
    <x v="1"/>
    <n v="56441.2"/>
    <n v="538659"/>
    <x v="1855"/>
  </r>
  <r>
    <x v="6"/>
    <s v="02"/>
    <x v="42"/>
    <x v="2"/>
    <n v="84531.18"/>
    <n v="538659"/>
    <x v="1856"/>
  </r>
  <r>
    <x v="6"/>
    <s v="59"/>
    <x v="43"/>
    <x v="0"/>
    <n v="652472.65"/>
    <n v="2605238"/>
    <x v="1857"/>
  </r>
  <r>
    <x v="6"/>
    <s v="59"/>
    <x v="43"/>
    <x v="1"/>
    <n v="388161.36"/>
    <n v="2605238"/>
    <x v="1858"/>
  </r>
  <r>
    <x v="6"/>
    <s v="59"/>
    <x v="43"/>
    <x v="2"/>
    <n v="327912.31"/>
    <n v="2605238"/>
    <x v="1859"/>
  </r>
  <r>
    <x v="6"/>
    <s v="60"/>
    <x v="44"/>
    <x v="0"/>
    <n v="206567.31"/>
    <n v="821552"/>
    <x v="1860"/>
  </r>
  <r>
    <x v="6"/>
    <s v="60"/>
    <x v="44"/>
    <x v="1"/>
    <n v="109983.51"/>
    <n v="821552"/>
    <x v="1861"/>
  </r>
  <r>
    <x v="6"/>
    <s v="60"/>
    <x v="44"/>
    <x v="2"/>
    <n v="134890.82"/>
    <n v="821552"/>
    <x v="1862"/>
  </r>
  <r>
    <x v="6"/>
    <s v="62"/>
    <x v="45"/>
    <x v="0"/>
    <n v="394215.07"/>
    <n v="1472648"/>
    <x v="1863"/>
  </r>
  <r>
    <x v="6"/>
    <s v="62"/>
    <x v="45"/>
    <x v="1"/>
    <n v="295317.01"/>
    <n v="1472648"/>
    <x v="1864"/>
  </r>
  <r>
    <x v="6"/>
    <s v="62"/>
    <x v="45"/>
    <x v="2"/>
    <n v="182389.51"/>
    <n v="1472648"/>
    <x v="1865"/>
  </r>
  <r>
    <x v="6"/>
    <s v="80"/>
    <x v="46"/>
    <x v="0"/>
    <n v="159682.88"/>
    <n v="571879"/>
    <x v="1866"/>
  </r>
  <r>
    <x v="6"/>
    <s v="80"/>
    <x v="46"/>
    <x v="1"/>
    <n v="58164.37"/>
    <n v="571879"/>
    <x v="1867"/>
  </r>
  <r>
    <x v="6"/>
    <s v="80"/>
    <x v="46"/>
    <x v="2"/>
    <n v="90451.12"/>
    <n v="571879"/>
    <x v="1868"/>
  </r>
  <r>
    <x v="6"/>
    <s v="75"/>
    <x v="47"/>
    <x v="0"/>
    <n v="787400"/>
    <n v="2206488"/>
    <x v="1869"/>
  </r>
  <r>
    <x v="6"/>
    <s v="75"/>
    <x v="47"/>
    <x v="1"/>
    <n v="233881.1"/>
    <n v="2206488"/>
    <x v="1870"/>
  </r>
  <r>
    <x v="6"/>
    <s v="75"/>
    <x v="47"/>
    <x v="2"/>
    <n v="4676.16"/>
    <n v="2206488"/>
    <x v="1871"/>
  </r>
  <r>
    <x v="6"/>
    <s v="77"/>
    <x v="48"/>
    <x v="0"/>
    <n v="391050.6"/>
    <n v="1390121"/>
    <x v="1872"/>
  </r>
  <r>
    <x v="6"/>
    <s v="77"/>
    <x v="48"/>
    <x v="1"/>
    <n v="152999.06"/>
    <n v="1390121"/>
    <x v="1873"/>
  </r>
  <r>
    <x v="6"/>
    <s v="77"/>
    <x v="48"/>
    <x v="2"/>
    <n v="121552.75"/>
    <n v="1390121"/>
    <x v="1874"/>
  </r>
  <r>
    <x v="6"/>
    <s v="78"/>
    <x v="49"/>
    <x v="0"/>
    <n v="357445.28"/>
    <n v="1427291"/>
    <x v="1875"/>
  </r>
  <r>
    <x v="6"/>
    <s v="78"/>
    <x v="49"/>
    <x v="1"/>
    <n v="178740.45"/>
    <n v="1427291"/>
    <x v="1876"/>
  </r>
  <r>
    <x v="6"/>
    <s v="78"/>
    <x v="49"/>
    <x v="2"/>
    <n v="99941.54"/>
    <n v="1427291"/>
    <x v="1877"/>
  </r>
  <r>
    <x v="6"/>
    <s v="91"/>
    <x v="50"/>
    <x v="0"/>
    <n v="321402.55"/>
    <n v="1276233"/>
    <x v="1878"/>
  </r>
  <r>
    <x v="6"/>
    <s v="91"/>
    <x v="50"/>
    <x v="1"/>
    <n v="167072.5"/>
    <n v="1276233"/>
    <x v="1879"/>
  </r>
  <r>
    <x v="6"/>
    <s v="91"/>
    <x v="50"/>
    <x v="2"/>
    <n v="89985.99"/>
    <n v="1276233"/>
    <x v="1880"/>
  </r>
  <r>
    <x v="6"/>
    <s v="92"/>
    <x v="51"/>
    <x v="0"/>
    <n v="426522.34"/>
    <n v="1601569"/>
    <x v="1881"/>
  </r>
  <r>
    <x v="6"/>
    <s v="92"/>
    <x v="51"/>
    <x v="1"/>
    <n v="135390.69"/>
    <n v="1601569"/>
    <x v="1882"/>
  </r>
  <r>
    <x v="6"/>
    <s v="92"/>
    <x v="51"/>
    <x v="2"/>
    <n v="18626.87"/>
    <n v="1601569"/>
    <x v="1883"/>
  </r>
  <r>
    <x v="6"/>
    <s v="93"/>
    <x v="52"/>
    <x v="0"/>
    <n v="485653.4"/>
    <n v="1592663"/>
    <x v="1884"/>
  </r>
  <r>
    <x v="6"/>
    <s v="93"/>
    <x v="52"/>
    <x v="1"/>
    <n v="105158.86"/>
    <n v="1592663"/>
    <x v="1885"/>
  </r>
  <r>
    <x v="6"/>
    <s v="93"/>
    <x v="52"/>
    <x v="2"/>
    <n v="81613.25"/>
    <n v="1592663"/>
    <x v="1886"/>
  </r>
  <r>
    <x v="6"/>
    <s v="94"/>
    <x v="53"/>
    <x v="0"/>
    <n v="367559.11"/>
    <n v="1372389"/>
    <x v="1887"/>
  </r>
  <r>
    <x v="6"/>
    <s v="94"/>
    <x v="53"/>
    <x v="1"/>
    <n v="120818"/>
    <n v="1372389"/>
    <x v="1888"/>
  </r>
  <r>
    <x v="6"/>
    <s v="94"/>
    <x v="53"/>
    <x v="2"/>
    <n v="47755.59"/>
    <n v="1372389"/>
    <x v="1889"/>
  </r>
  <r>
    <x v="6"/>
    <s v="95"/>
    <x v="54"/>
    <x v="0"/>
    <n v="345183.84"/>
    <n v="1215390"/>
    <x v="1890"/>
  </r>
  <r>
    <x v="6"/>
    <s v="95"/>
    <x v="54"/>
    <x v="1"/>
    <n v="118424.25"/>
    <n v="1215390"/>
    <x v="1891"/>
  </r>
  <r>
    <x v="6"/>
    <s v="95"/>
    <x v="54"/>
    <x v="2"/>
    <n v="88236.33"/>
    <n v="1215390"/>
    <x v="1892"/>
  </r>
  <r>
    <x v="6"/>
    <s v="14"/>
    <x v="55"/>
    <x v="0"/>
    <n v="187552.43"/>
    <n v="693579"/>
    <x v="1893"/>
  </r>
  <r>
    <x v="6"/>
    <s v="14"/>
    <x v="55"/>
    <x v="1"/>
    <n v="89066.76"/>
    <n v="693579"/>
    <x v="1894"/>
  </r>
  <r>
    <x v="6"/>
    <s v="14"/>
    <x v="55"/>
    <x v="2"/>
    <n v="142863.26"/>
    <n v="693579"/>
    <x v="1895"/>
  </r>
  <r>
    <x v="6"/>
    <s v="27"/>
    <x v="56"/>
    <x v="0"/>
    <n v="154420.99"/>
    <n v="601948"/>
    <x v="1896"/>
  </r>
  <r>
    <x v="6"/>
    <s v="27"/>
    <x v="56"/>
    <x v="1"/>
    <n v="64090.81"/>
    <n v="601948"/>
    <x v="1897"/>
  </r>
  <r>
    <x v="6"/>
    <s v="27"/>
    <x v="56"/>
    <x v="2"/>
    <n v="127873.05"/>
    <n v="601948"/>
    <x v="1898"/>
  </r>
  <r>
    <x v="6"/>
    <s v="50"/>
    <x v="57"/>
    <x v="0"/>
    <n v="131113.49"/>
    <n v="499287"/>
    <x v="1899"/>
  </r>
  <r>
    <x v="6"/>
    <s v="50"/>
    <x v="57"/>
    <x v="1"/>
    <n v="54294.32"/>
    <n v="499287"/>
    <x v="1900"/>
  </r>
  <r>
    <x v="6"/>
    <s v="50"/>
    <x v="57"/>
    <x v="2"/>
    <n v="135304.4"/>
    <n v="499287"/>
    <x v="1901"/>
  </r>
  <r>
    <x v="6"/>
    <s v="61"/>
    <x v="58"/>
    <x v="0"/>
    <n v="65198.98"/>
    <n v="286618"/>
    <x v="1902"/>
  </r>
  <r>
    <x v="6"/>
    <s v="61"/>
    <x v="58"/>
    <x v="1"/>
    <n v="21893.96"/>
    <n v="286618"/>
    <x v="1903"/>
  </r>
  <r>
    <x v="6"/>
    <s v="61"/>
    <x v="58"/>
    <x v="2"/>
    <n v="71012.77"/>
    <n v="286618"/>
    <x v="1904"/>
  </r>
  <r>
    <x v="6"/>
    <s v="76"/>
    <x v="59"/>
    <x v="0"/>
    <n v="342378.03"/>
    <n v="1257699"/>
    <x v="1905"/>
  </r>
  <r>
    <x v="6"/>
    <s v="76"/>
    <x v="59"/>
    <x v="1"/>
    <n v="137903.84"/>
    <n v="1257699"/>
    <x v="1906"/>
  </r>
  <r>
    <x v="6"/>
    <s v="76"/>
    <x v="59"/>
    <x v="2"/>
    <n v="240277.41"/>
    <n v="1257699"/>
    <x v="1907"/>
  </r>
  <r>
    <x v="6"/>
    <s v="16"/>
    <x v="60"/>
    <x v="0"/>
    <n v="73169.94"/>
    <n v="353613"/>
    <x v="1908"/>
  </r>
  <r>
    <x v="6"/>
    <s v="16"/>
    <x v="60"/>
    <x v="1"/>
    <n v="34324.410000000003"/>
    <n v="353613"/>
    <x v="1909"/>
  </r>
  <r>
    <x v="6"/>
    <s v="16"/>
    <x v="60"/>
    <x v="2"/>
    <n v="73453.11"/>
    <n v="353613"/>
    <x v="1910"/>
  </r>
  <r>
    <x v="6"/>
    <s v="04"/>
    <x v="90"/>
    <x v="0"/>
    <n v="59452.2"/>
    <n v="161799"/>
    <x v="1911"/>
  </r>
  <r>
    <x v="6"/>
    <s v="04"/>
    <x v="90"/>
    <x v="1"/>
    <n v="10263.4"/>
    <n v="161799"/>
    <x v="1912"/>
  </r>
  <r>
    <x v="6"/>
    <s v="04"/>
    <x v="90"/>
    <x v="2"/>
    <n v="33509.230000000003"/>
    <n v="161799"/>
    <x v="1913"/>
  </r>
  <r>
    <x v="6"/>
    <s v="05"/>
    <x v="91"/>
    <x v="0"/>
    <n v="46329.96"/>
    <n v="140916"/>
    <x v="1914"/>
  </r>
  <r>
    <x v="6"/>
    <s v="05"/>
    <x v="91"/>
    <x v="1"/>
    <n v="13493.34"/>
    <n v="140916"/>
    <x v="1915"/>
  </r>
  <r>
    <x v="6"/>
    <s v="05"/>
    <x v="91"/>
    <x v="2"/>
    <n v="31020.07"/>
    <n v="140916"/>
    <x v="1916"/>
  </r>
  <r>
    <x v="6"/>
    <s v="17"/>
    <x v="61"/>
    <x v="0"/>
    <n v="175782.39999999999"/>
    <n v="639938"/>
    <x v="1917"/>
  </r>
  <r>
    <x v="6"/>
    <s v="17"/>
    <x v="61"/>
    <x v="1"/>
    <n v="77905.47"/>
    <n v="639938"/>
    <x v="1918"/>
  </r>
  <r>
    <x v="6"/>
    <s v="17"/>
    <x v="61"/>
    <x v="2"/>
    <n v="154998.32"/>
    <n v="639938"/>
    <x v="1919"/>
  </r>
  <r>
    <x v="6"/>
    <s v="06"/>
    <x v="92"/>
    <x v="0"/>
    <n v="452008.04"/>
    <n v="1082440"/>
    <x v="1920"/>
  </r>
  <r>
    <x v="6"/>
    <s v="06"/>
    <x v="92"/>
    <x v="1"/>
    <n v="117647.78"/>
    <n v="1082440"/>
    <x v="1921"/>
  </r>
  <r>
    <x v="6"/>
    <s v="06"/>
    <x v="92"/>
    <x v="2"/>
    <n v="185568.92"/>
    <n v="1082440"/>
    <x v="1922"/>
  </r>
  <r>
    <x v="6"/>
    <s v="19"/>
    <x v="62"/>
    <x v="0"/>
    <n v="56804.53"/>
    <n v="241871"/>
    <x v="1923"/>
  </r>
  <r>
    <x v="6"/>
    <s v="19"/>
    <x v="62"/>
    <x v="1"/>
    <n v="19818.68"/>
    <n v="241871"/>
    <x v="1924"/>
  </r>
  <r>
    <x v="6"/>
    <s v="19"/>
    <x v="62"/>
    <x v="2"/>
    <n v="42406.47"/>
    <n v="241871"/>
    <x v="1925"/>
  </r>
  <r>
    <x v="6"/>
    <s v="09"/>
    <x v="72"/>
    <x v="0"/>
    <n v="45542.79"/>
    <n v="152499"/>
    <x v="1926"/>
  </r>
  <r>
    <x v="6"/>
    <s v="09"/>
    <x v="72"/>
    <x v="1"/>
    <n v="20766.71"/>
    <n v="152499"/>
    <x v="1927"/>
  </r>
  <r>
    <x v="6"/>
    <s v="09"/>
    <x v="72"/>
    <x v="2"/>
    <n v="32551.11"/>
    <n v="152499"/>
    <x v="1928"/>
  </r>
  <r>
    <x v="6"/>
    <s v="11"/>
    <x v="73"/>
    <x v="0"/>
    <n v="124541.75"/>
    <n v="366957"/>
    <x v="1929"/>
  </r>
  <r>
    <x v="6"/>
    <s v="11"/>
    <x v="73"/>
    <x v="1"/>
    <n v="32788.53"/>
    <n v="366957"/>
    <x v="1930"/>
  </r>
  <r>
    <x v="6"/>
    <s v="11"/>
    <x v="73"/>
    <x v="2"/>
    <n v="65150.11"/>
    <n v="366957"/>
    <x v="1931"/>
  </r>
  <r>
    <x v="6"/>
    <s v="23"/>
    <x v="63"/>
    <x v="0"/>
    <n v="28005.02"/>
    <n v="120365"/>
    <x v="1932"/>
  </r>
  <r>
    <x v="6"/>
    <s v="23"/>
    <x v="63"/>
    <x v="1"/>
    <n v="11297.48"/>
    <n v="120365"/>
    <x v="1933"/>
  </r>
  <r>
    <x v="6"/>
    <s v="23"/>
    <x v="63"/>
    <x v="2"/>
    <n v="17535.45"/>
    <n v="120365"/>
    <x v="1934"/>
  </r>
  <r>
    <x v="6"/>
    <s v="12"/>
    <x v="74"/>
    <x v="0"/>
    <n v="63029.47"/>
    <n v="279169"/>
    <x v="1935"/>
  </r>
  <r>
    <x v="6"/>
    <s v="12"/>
    <x v="74"/>
    <x v="1"/>
    <n v="25481.95"/>
    <n v="279169"/>
    <x v="1936"/>
  </r>
  <r>
    <x v="6"/>
    <s v="12"/>
    <x v="74"/>
    <x v="2"/>
    <n v="42946.83"/>
    <n v="279169"/>
    <x v="1937"/>
  </r>
  <r>
    <x v="6"/>
    <s v="13"/>
    <x v="93"/>
    <x v="0"/>
    <n v="760504.6"/>
    <n v="2016622"/>
    <x v="1938"/>
  </r>
  <r>
    <x v="6"/>
    <s v="13"/>
    <x v="93"/>
    <x v="1"/>
    <n v="106037.54"/>
    <n v="2016622"/>
    <x v="1939"/>
  </r>
  <r>
    <x v="6"/>
    <s v="13"/>
    <x v="93"/>
    <x v="2"/>
    <n v="254830.84"/>
    <n v="2016622"/>
    <x v="1940"/>
  </r>
  <r>
    <x v="6"/>
    <s v="24"/>
    <x v="64"/>
    <x v="0"/>
    <n v="97068.56"/>
    <n v="415417"/>
    <x v="1941"/>
  </r>
  <r>
    <x v="6"/>
    <s v="24"/>
    <x v="64"/>
    <x v="1"/>
    <n v="43907.97"/>
    <n v="415417"/>
    <x v="1942"/>
  </r>
  <r>
    <x v="6"/>
    <s v="24"/>
    <x v="64"/>
    <x v="2"/>
    <n v="69283.100000000006"/>
    <n v="415417"/>
    <x v="1943"/>
  </r>
  <r>
    <x v="6"/>
    <s v="33"/>
    <x v="65"/>
    <x v="0"/>
    <n v="377077.97"/>
    <n v="1548478"/>
    <x v="1944"/>
  </r>
  <r>
    <x v="6"/>
    <s v="33"/>
    <x v="65"/>
    <x v="1"/>
    <n v="152376.81"/>
    <n v="1548478"/>
    <x v="1945"/>
  </r>
  <r>
    <x v="6"/>
    <s v="33"/>
    <x v="65"/>
    <x v="2"/>
    <n v="280471.78999999998"/>
    <n v="1548478"/>
    <x v="1946"/>
  </r>
  <r>
    <x v="6"/>
    <s v="40"/>
    <x v="66"/>
    <x v="0"/>
    <n v="130013.52"/>
    <n v="403234"/>
    <x v="1947"/>
  </r>
  <r>
    <x v="6"/>
    <s v="40"/>
    <x v="66"/>
    <x v="1"/>
    <n v="33751.980000000003"/>
    <n v="403234"/>
    <x v="1948"/>
  </r>
  <r>
    <x v="6"/>
    <s v="40"/>
    <x v="66"/>
    <x v="2"/>
    <n v="156834.87"/>
    <n v="403234"/>
    <x v="1949"/>
  </r>
  <r>
    <x v="6"/>
    <s v="47"/>
    <x v="67"/>
    <x v="0"/>
    <n v="87166.01"/>
    <n v="333417"/>
    <x v="1950"/>
  </r>
  <r>
    <x v="6"/>
    <s v="47"/>
    <x v="67"/>
    <x v="1"/>
    <n v="30911.21"/>
    <n v="333417"/>
    <x v="1951"/>
  </r>
  <r>
    <x v="6"/>
    <s v="47"/>
    <x v="67"/>
    <x v="2"/>
    <n v="59359.97"/>
    <n v="333417"/>
    <x v="1952"/>
  </r>
  <r>
    <x v="6"/>
    <s v="64"/>
    <x v="68"/>
    <x v="0"/>
    <n v="171100.39"/>
    <n v="670032"/>
    <x v="1953"/>
  </r>
  <r>
    <x v="6"/>
    <s v="64"/>
    <x v="68"/>
    <x v="1"/>
    <n v="70680.42"/>
    <n v="670032"/>
    <x v="1954"/>
  </r>
  <r>
    <x v="6"/>
    <s v="64"/>
    <x v="68"/>
    <x v="2"/>
    <n v="122491.9"/>
    <n v="670032"/>
    <x v="1955"/>
  </r>
  <r>
    <x v="6"/>
    <s v="79"/>
    <x v="69"/>
    <x v="0"/>
    <n v="72578.78"/>
    <n v="374435"/>
    <x v="1956"/>
  </r>
  <r>
    <x v="6"/>
    <s v="79"/>
    <x v="69"/>
    <x v="1"/>
    <n v="38751.21"/>
    <n v="374435"/>
    <x v="1957"/>
  </r>
  <r>
    <x v="6"/>
    <s v="79"/>
    <x v="69"/>
    <x v="2"/>
    <n v="79883.44"/>
    <n v="374435"/>
    <x v="1958"/>
  </r>
  <r>
    <x v="6"/>
    <s v="30"/>
    <x v="75"/>
    <x v="0"/>
    <n v="214672.93"/>
    <n v="738189"/>
    <x v="1959"/>
  </r>
  <r>
    <x v="6"/>
    <s v="30"/>
    <x v="75"/>
    <x v="1"/>
    <n v="59075.57"/>
    <n v="738189"/>
    <x v="1960"/>
  </r>
  <r>
    <x v="6"/>
    <s v="30"/>
    <x v="75"/>
    <x v="2"/>
    <n v="155699.73000000001"/>
    <n v="738189"/>
    <x v="1961"/>
  </r>
  <r>
    <x v="6"/>
    <s v="31"/>
    <x v="76"/>
    <x v="0"/>
    <n v="347505.45"/>
    <n v="1335103"/>
    <x v="1962"/>
  </r>
  <r>
    <x v="6"/>
    <s v="31"/>
    <x v="76"/>
    <x v="1"/>
    <n v="144083.99"/>
    <n v="1335103"/>
    <x v="1963"/>
  </r>
  <r>
    <x v="6"/>
    <s v="31"/>
    <x v="76"/>
    <x v="2"/>
    <n v="145189.22"/>
    <n v="1335103"/>
    <x v="1964"/>
  </r>
  <r>
    <x v="6"/>
    <s v="86"/>
    <x v="70"/>
    <x v="0"/>
    <n v="91307.57"/>
    <n v="434887"/>
    <x v="1965"/>
  </r>
  <r>
    <x v="6"/>
    <s v="86"/>
    <x v="70"/>
    <x v="1"/>
    <n v="37632.86"/>
    <n v="434887"/>
    <x v="1966"/>
  </r>
  <r>
    <x v="6"/>
    <s v="86"/>
    <x v="70"/>
    <x v="2"/>
    <n v="87581.6"/>
    <n v="434887"/>
    <x v="1967"/>
  </r>
  <r>
    <x v="6"/>
    <s v="32"/>
    <x v="77"/>
    <x v="0"/>
    <n v="46411.18"/>
    <n v="190932"/>
    <x v="1968"/>
  </r>
  <r>
    <x v="6"/>
    <s v="32"/>
    <x v="77"/>
    <x v="1"/>
    <n v="16417.740000000002"/>
    <n v="190932"/>
    <x v="1969"/>
  </r>
  <r>
    <x v="6"/>
    <s v="32"/>
    <x v="77"/>
    <x v="2"/>
    <n v="30719.38"/>
    <n v="190932"/>
    <x v="1970"/>
  </r>
  <r>
    <x v="6"/>
    <s v="34"/>
    <x v="78"/>
    <x v="0"/>
    <n v="347493.58"/>
    <n v="1120190"/>
    <x v="1971"/>
  </r>
  <r>
    <x v="6"/>
    <s v="34"/>
    <x v="78"/>
    <x v="1"/>
    <n v="95719.4"/>
    <n v="1120190"/>
    <x v="1972"/>
  </r>
  <r>
    <x v="6"/>
    <s v="34"/>
    <x v="78"/>
    <x v="2"/>
    <n v="221857.03"/>
    <n v="1120190"/>
    <x v="1973"/>
  </r>
  <r>
    <x v="6"/>
    <s v="87"/>
    <x v="71"/>
    <x v="0"/>
    <n v="84839.64"/>
    <n v="375795"/>
    <x v="1974"/>
  </r>
  <r>
    <x v="6"/>
    <s v="87"/>
    <x v="71"/>
    <x v="1"/>
    <n v="33220.47"/>
    <n v="375795"/>
    <x v="1975"/>
  </r>
  <r>
    <x v="6"/>
    <s v="87"/>
    <x v="71"/>
    <x v="2"/>
    <n v="58673.73"/>
    <n v="375795"/>
    <x v="1976"/>
  </r>
  <r>
    <x v="6"/>
    <s v="44"/>
    <x v="85"/>
    <x v="0"/>
    <n v="277004.57"/>
    <n v="1365227"/>
    <x v="1977"/>
  </r>
  <r>
    <x v="6"/>
    <s v="44"/>
    <x v="85"/>
    <x v="1"/>
    <n v="131311.57"/>
    <n v="1365227"/>
    <x v="1978"/>
  </r>
  <r>
    <x v="6"/>
    <s v="44"/>
    <x v="85"/>
    <x v="2"/>
    <n v="281214.8"/>
    <n v="1365227"/>
    <x v="1979"/>
  </r>
  <r>
    <x v="6"/>
    <s v="46"/>
    <x v="79"/>
    <x v="0"/>
    <n v="40294.339999999997"/>
    <n v="173400"/>
    <x v="1980"/>
  </r>
  <r>
    <x v="6"/>
    <s v="46"/>
    <x v="79"/>
    <x v="1"/>
    <n v="23439.72"/>
    <n v="173400"/>
    <x v="1981"/>
  </r>
  <r>
    <x v="6"/>
    <s v="46"/>
    <x v="79"/>
    <x v="2"/>
    <n v="34223.379999999997"/>
    <n v="173400"/>
    <x v="1982"/>
  </r>
  <r>
    <x v="6"/>
    <s v="48"/>
    <x v="80"/>
    <x v="0"/>
    <n v="20786.37"/>
    <n v="76309"/>
    <x v="1983"/>
  </r>
  <r>
    <x v="6"/>
    <s v="48"/>
    <x v="80"/>
    <x v="1"/>
    <n v="6785.43"/>
    <n v="76309"/>
    <x v="1984"/>
  </r>
  <r>
    <x v="6"/>
    <s v="48"/>
    <x v="80"/>
    <x v="2"/>
    <n v="12364.38"/>
    <n v="76309"/>
    <x v="1985"/>
  </r>
  <r>
    <x v="6"/>
    <s v="49"/>
    <x v="86"/>
    <x v="0"/>
    <n v="130293.32"/>
    <n v="810186"/>
    <x v="1986"/>
  </r>
  <r>
    <x v="6"/>
    <s v="49"/>
    <x v="86"/>
    <x v="1"/>
    <n v="76839.89"/>
    <n v="810186"/>
    <x v="1987"/>
  </r>
  <r>
    <x v="6"/>
    <s v="49"/>
    <x v="86"/>
    <x v="2"/>
    <n v="152235.06"/>
    <n v="810186"/>
    <x v="1988"/>
  </r>
  <r>
    <x v="6"/>
    <s v="53"/>
    <x v="87"/>
    <x v="0"/>
    <n v="56134.77"/>
    <n v="307940"/>
    <x v="1989"/>
  </r>
  <r>
    <x v="6"/>
    <s v="53"/>
    <x v="87"/>
    <x v="1"/>
    <n v="30987.96"/>
    <n v="307940"/>
    <x v="1990"/>
  </r>
  <r>
    <x v="6"/>
    <s v="53"/>
    <x v="87"/>
    <x v="2"/>
    <n v="65687.710000000006"/>
    <n v="307940"/>
    <x v="1991"/>
  </r>
  <r>
    <x v="6"/>
    <s v="65"/>
    <x v="81"/>
    <x v="0"/>
    <n v="65117.59"/>
    <n v="228582"/>
    <x v="1992"/>
  </r>
  <r>
    <x v="6"/>
    <s v="65"/>
    <x v="81"/>
    <x v="1"/>
    <n v="19917.64"/>
    <n v="228582"/>
    <x v="1993"/>
  </r>
  <r>
    <x v="6"/>
    <s v="65"/>
    <x v="81"/>
    <x v="2"/>
    <n v="45592.95"/>
    <n v="228582"/>
    <x v="1994"/>
  </r>
  <r>
    <x v="6"/>
    <s v="66"/>
    <x v="82"/>
    <x v="0"/>
    <n v="156852.56"/>
    <n v="471038"/>
    <x v="1995"/>
  </r>
  <r>
    <x v="6"/>
    <s v="66"/>
    <x v="82"/>
    <x v="1"/>
    <n v="47109.89"/>
    <n v="471038"/>
    <x v="1996"/>
  </r>
  <r>
    <x v="6"/>
    <s v="66"/>
    <x v="82"/>
    <x v="2"/>
    <n v="92810.44"/>
    <n v="471038"/>
    <x v="1997"/>
  </r>
  <r>
    <x v="6"/>
    <s v="81"/>
    <x v="83"/>
    <x v="0"/>
    <n v="94668.79"/>
    <n v="386543"/>
    <x v="1998"/>
  </r>
  <r>
    <x v="6"/>
    <s v="81"/>
    <x v="83"/>
    <x v="1"/>
    <n v="35600.839999999997"/>
    <n v="386543"/>
    <x v="1999"/>
  </r>
  <r>
    <x v="6"/>
    <s v="81"/>
    <x v="83"/>
    <x v="2"/>
    <n v="64380.05"/>
    <n v="386543"/>
    <x v="2000"/>
  </r>
  <r>
    <x v="6"/>
    <s v="72"/>
    <x v="88"/>
    <x v="0"/>
    <n v="104836.88"/>
    <n v="568445"/>
    <x v="2001"/>
  </r>
  <r>
    <x v="6"/>
    <s v="72"/>
    <x v="88"/>
    <x v="1"/>
    <n v="56710"/>
    <n v="568445"/>
    <x v="2002"/>
  </r>
  <r>
    <x v="6"/>
    <s v="72"/>
    <x v="88"/>
    <x v="2"/>
    <n v="91159.61"/>
    <n v="568445"/>
    <x v="2003"/>
  </r>
  <r>
    <x v="6"/>
    <s v="82"/>
    <x v="84"/>
    <x v="0"/>
    <n v="62831.01"/>
    <n v="255274"/>
    <x v="2004"/>
  </r>
  <r>
    <x v="6"/>
    <s v="82"/>
    <x v="84"/>
    <x v="1"/>
    <n v="24088.799999999999"/>
    <n v="255274"/>
    <x v="2005"/>
  </r>
  <r>
    <x v="6"/>
    <s v="82"/>
    <x v="84"/>
    <x v="2"/>
    <n v="42569.68"/>
    <n v="255274"/>
    <x v="2006"/>
  </r>
  <r>
    <x v="6"/>
    <s v="83"/>
    <x v="94"/>
    <x v="0"/>
    <n v="454035.11"/>
    <n v="1048652"/>
    <x v="2007"/>
  </r>
  <r>
    <x v="6"/>
    <s v="83"/>
    <x v="94"/>
    <x v="1"/>
    <n v="90026.87"/>
    <n v="1048652"/>
    <x v="2008"/>
  </r>
  <r>
    <x v="6"/>
    <s v="83"/>
    <x v="94"/>
    <x v="2"/>
    <n v="208155.35"/>
    <n v="1048652"/>
    <x v="2009"/>
  </r>
  <r>
    <x v="6"/>
    <s v="84"/>
    <x v="95"/>
    <x v="0"/>
    <n v="190281.88"/>
    <n v="557548"/>
    <x v="2010"/>
  </r>
  <r>
    <x v="6"/>
    <s v="84"/>
    <x v="95"/>
    <x v="1"/>
    <n v="39652.14"/>
    <n v="557548"/>
    <x v="2011"/>
  </r>
  <r>
    <x v="6"/>
    <s v="84"/>
    <x v="95"/>
    <x v="2"/>
    <n v="95817.56"/>
    <n v="557548"/>
    <x v="2012"/>
  </r>
  <r>
    <x v="6"/>
    <s v="85"/>
    <x v="89"/>
    <x v="0"/>
    <n v="128550.64"/>
    <n v="666714"/>
    <x v="2013"/>
  </r>
  <r>
    <x v="6"/>
    <s v="85"/>
    <x v="89"/>
    <x v="1"/>
    <n v="77766.23"/>
    <n v="666714"/>
    <x v="2014"/>
  </r>
  <r>
    <x v="6"/>
    <s v="85"/>
    <x v="89"/>
    <x v="2"/>
    <n v="178500.64"/>
    <n v="666714"/>
    <x v="2015"/>
  </r>
  <r>
    <x v="0"/>
    <s v="971"/>
    <x v="96"/>
    <x v="0"/>
    <n v="171983"/>
    <m/>
    <x v="2016"/>
  </r>
  <r>
    <x v="0"/>
    <s v="971"/>
    <x v="96"/>
    <x v="1"/>
    <n v="30118.15"/>
    <m/>
    <x v="2016"/>
  </r>
  <r>
    <x v="0"/>
    <s v="971"/>
    <x v="96"/>
    <x v="2"/>
    <n v="2633.4"/>
    <m/>
    <x v="2016"/>
  </r>
  <r>
    <x v="0"/>
    <s v="972"/>
    <x v="97"/>
    <x v="0"/>
    <n v="130032.95"/>
    <m/>
    <x v="2016"/>
  </r>
  <r>
    <x v="0"/>
    <s v="972"/>
    <x v="97"/>
    <x v="1"/>
    <n v="44176.76"/>
    <m/>
    <x v="2016"/>
  </r>
  <r>
    <x v="0"/>
    <s v="972"/>
    <x v="97"/>
    <x v="2"/>
    <n v="6052.57"/>
    <m/>
    <x v="2016"/>
  </r>
  <r>
    <x v="0"/>
    <s v="973"/>
    <x v="98"/>
    <x v="0"/>
    <n v="75005.3"/>
    <m/>
    <x v="2016"/>
  </r>
  <r>
    <x v="0"/>
    <s v="973"/>
    <x v="98"/>
    <x v="1"/>
    <n v="16499.16"/>
    <m/>
    <x v="2016"/>
  </r>
  <r>
    <x v="0"/>
    <s v="973"/>
    <x v="98"/>
    <x v="2"/>
    <n v="1688.63"/>
    <m/>
    <x v="2016"/>
  </r>
  <r>
    <x v="0"/>
    <s v="974"/>
    <x v="99"/>
    <x v="0"/>
    <n v="239385.97"/>
    <m/>
    <x v="2016"/>
  </r>
  <r>
    <x v="0"/>
    <s v="974"/>
    <x v="99"/>
    <x v="1"/>
    <n v="193364.89"/>
    <m/>
    <x v="2016"/>
  </r>
  <r>
    <x v="0"/>
    <s v="974"/>
    <x v="99"/>
    <x v="2"/>
    <n v="29064.89"/>
    <m/>
    <x v="2016"/>
  </r>
  <r>
    <x v="0"/>
    <s v="977"/>
    <x v="100"/>
    <x v="0"/>
    <n v="9518"/>
    <m/>
    <x v="2016"/>
  </r>
  <r>
    <x v="0"/>
    <s v="977"/>
    <x v="100"/>
    <x v="1"/>
    <n v="1065"/>
    <m/>
    <x v="2016"/>
  </r>
  <r>
    <x v="0"/>
    <s v="977"/>
    <x v="100"/>
    <x v="2"/>
    <n v="3983.9"/>
    <m/>
    <x v="2016"/>
  </r>
  <r>
    <x v="0"/>
    <s v="978"/>
    <x v="101"/>
    <x v="0"/>
    <n v="15342"/>
    <m/>
    <x v="2016"/>
  </r>
  <r>
    <x v="0"/>
    <s v="978"/>
    <x v="101"/>
    <x v="1"/>
    <n v="18085"/>
    <m/>
    <x v="2016"/>
  </r>
  <r>
    <x v="1"/>
    <s v="971"/>
    <x v="96"/>
    <x v="0"/>
    <n v="167805.45"/>
    <m/>
    <x v="2016"/>
  </r>
  <r>
    <x v="1"/>
    <s v="971"/>
    <x v="96"/>
    <x v="1"/>
    <n v="55987.05"/>
    <m/>
    <x v="2016"/>
  </r>
  <r>
    <x v="1"/>
    <s v="971"/>
    <x v="96"/>
    <x v="2"/>
    <n v="12900.62"/>
    <m/>
    <x v="2016"/>
  </r>
  <r>
    <x v="1"/>
    <s v="972"/>
    <x v="97"/>
    <x v="0"/>
    <n v="134911.35999999999"/>
    <m/>
    <x v="2016"/>
  </r>
  <r>
    <x v="1"/>
    <s v="972"/>
    <x v="97"/>
    <x v="1"/>
    <n v="52315.17"/>
    <m/>
    <x v="2016"/>
  </r>
  <r>
    <x v="1"/>
    <s v="972"/>
    <x v="97"/>
    <x v="2"/>
    <n v="9578.5499999999993"/>
    <m/>
    <x v="2016"/>
  </r>
  <r>
    <x v="1"/>
    <s v="973"/>
    <x v="98"/>
    <x v="0"/>
    <n v="92260.23"/>
    <m/>
    <x v="2016"/>
  </r>
  <r>
    <x v="1"/>
    <s v="973"/>
    <x v="98"/>
    <x v="1"/>
    <n v="15881.5"/>
    <m/>
    <x v="2016"/>
  </r>
  <r>
    <x v="1"/>
    <s v="973"/>
    <x v="98"/>
    <x v="2"/>
    <n v="3167.94"/>
    <m/>
    <x v="2016"/>
  </r>
  <r>
    <x v="1"/>
    <s v="974"/>
    <x v="99"/>
    <x v="0"/>
    <n v="260899.4"/>
    <m/>
    <x v="2016"/>
  </r>
  <r>
    <x v="1"/>
    <s v="974"/>
    <x v="99"/>
    <x v="1"/>
    <n v="215887.87"/>
    <m/>
    <x v="2016"/>
  </r>
  <r>
    <x v="1"/>
    <s v="974"/>
    <x v="99"/>
    <x v="2"/>
    <n v="43572.22"/>
    <m/>
    <x v="2016"/>
  </r>
  <r>
    <x v="1"/>
    <s v="978"/>
    <x v="101"/>
    <x v="0"/>
    <n v="15577"/>
    <m/>
    <x v="2016"/>
  </r>
  <r>
    <x v="1"/>
    <s v="978"/>
    <x v="101"/>
    <x v="1"/>
    <n v="2555"/>
    <m/>
    <x v="2016"/>
  </r>
  <r>
    <x v="1"/>
    <s v="987"/>
    <x v="102"/>
    <x v="0"/>
    <n v="79589.72"/>
    <m/>
    <x v="2016"/>
  </r>
  <r>
    <x v="1"/>
    <s v="987"/>
    <x v="102"/>
    <x v="1"/>
    <n v="27122.07"/>
    <m/>
    <x v="2016"/>
  </r>
  <r>
    <x v="3"/>
    <s v="971"/>
    <x v="96"/>
    <x v="0"/>
    <n v="149726.39999999999"/>
    <m/>
    <x v="2016"/>
  </r>
  <r>
    <x v="3"/>
    <s v="971"/>
    <x v="96"/>
    <x v="1"/>
    <n v="92512.98"/>
    <m/>
    <x v="2016"/>
  </r>
  <r>
    <x v="3"/>
    <s v="971"/>
    <x v="96"/>
    <x v="2"/>
    <n v="20121.02"/>
    <m/>
    <x v="2016"/>
  </r>
  <r>
    <x v="3"/>
    <s v="972"/>
    <x v="97"/>
    <x v="0"/>
    <n v="127127.17"/>
    <m/>
    <x v="2016"/>
  </r>
  <r>
    <x v="3"/>
    <s v="972"/>
    <x v="97"/>
    <x v="1"/>
    <n v="56803.14"/>
    <m/>
    <x v="2016"/>
  </r>
  <r>
    <x v="3"/>
    <s v="972"/>
    <x v="97"/>
    <x v="2"/>
    <n v="10032.57"/>
    <m/>
    <x v="2016"/>
  </r>
  <r>
    <x v="3"/>
    <s v="973"/>
    <x v="98"/>
    <x v="0"/>
    <n v="56067.839999999997"/>
    <m/>
    <x v="2016"/>
  </r>
  <r>
    <x v="3"/>
    <s v="973"/>
    <x v="98"/>
    <x v="1"/>
    <n v="9948.7199999999993"/>
    <m/>
    <x v="2016"/>
  </r>
  <r>
    <x v="3"/>
    <s v="973"/>
    <x v="98"/>
    <x v="2"/>
    <n v="3583.83"/>
    <m/>
    <x v="2016"/>
  </r>
  <r>
    <x v="3"/>
    <s v="974"/>
    <x v="99"/>
    <x v="0"/>
    <n v="230868.97"/>
    <m/>
    <x v="2016"/>
  </r>
  <r>
    <x v="3"/>
    <s v="974"/>
    <x v="99"/>
    <x v="1"/>
    <n v="234644.13"/>
    <m/>
    <x v="2016"/>
  </r>
  <r>
    <x v="3"/>
    <s v="974"/>
    <x v="99"/>
    <x v="2"/>
    <n v="38967.480000000003"/>
    <m/>
    <x v="2016"/>
  </r>
  <r>
    <x v="3"/>
    <s v="987"/>
    <x v="102"/>
    <x v="0"/>
    <n v="93270.2"/>
    <m/>
    <x v="2016"/>
  </r>
  <r>
    <x v="3"/>
    <s v="987"/>
    <x v="102"/>
    <x v="1"/>
    <n v="30327.55"/>
    <m/>
    <x v="2016"/>
  </r>
  <r>
    <x v="3"/>
    <s v="987"/>
    <x v="102"/>
    <x v="2"/>
    <n v="1113.21"/>
    <m/>
    <x v="2016"/>
  </r>
  <r>
    <x v="6"/>
    <s v="971"/>
    <x v="96"/>
    <x v="0"/>
    <n v="128866.6"/>
    <m/>
    <x v="2016"/>
  </r>
  <r>
    <x v="6"/>
    <s v="971"/>
    <x v="96"/>
    <x v="1"/>
    <n v="65402.54"/>
    <m/>
    <x v="2016"/>
  </r>
  <r>
    <x v="6"/>
    <s v="971"/>
    <x v="96"/>
    <x v="2"/>
    <n v="18156.580000000002"/>
    <m/>
    <x v="2016"/>
  </r>
  <r>
    <x v="6"/>
    <s v="972"/>
    <x v="97"/>
    <x v="0"/>
    <n v="124980.58"/>
    <m/>
    <x v="2016"/>
  </r>
  <r>
    <x v="6"/>
    <s v="972"/>
    <x v="97"/>
    <x v="1"/>
    <n v="43582.12"/>
    <m/>
    <x v="2016"/>
  </r>
  <r>
    <x v="6"/>
    <s v="972"/>
    <x v="97"/>
    <x v="2"/>
    <n v="21797.71"/>
    <m/>
    <x v="2016"/>
  </r>
  <r>
    <x v="6"/>
    <s v="973"/>
    <x v="98"/>
    <x v="0"/>
    <n v="62894.99"/>
    <m/>
    <x v="2016"/>
  </r>
  <r>
    <x v="6"/>
    <s v="973"/>
    <x v="98"/>
    <x v="1"/>
    <n v="42963.34"/>
    <m/>
    <x v="2016"/>
  </r>
  <r>
    <x v="6"/>
    <s v="973"/>
    <x v="98"/>
    <x v="2"/>
    <n v="4357.22"/>
    <m/>
    <x v="2016"/>
  </r>
  <r>
    <x v="6"/>
    <s v="974"/>
    <x v="99"/>
    <x v="0"/>
    <n v="233630.98"/>
    <m/>
    <x v="2016"/>
  </r>
  <r>
    <x v="6"/>
    <s v="974"/>
    <x v="99"/>
    <x v="1"/>
    <n v="182094.09"/>
    <m/>
    <x v="2016"/>
  </r>
  <r>
    <x v="6"/>
    <s v="974"/>
    <x v="99"/>
    <x v="2"/>
    <n v="58524.959999999999"/>
    <m/>
    <x v="2016"/>
  </r>
  <r>
    <x v="6"/>
    <s v="976"/>
    <x v="103"/>
    <x v="0"/>
    <n v="52639.42"/>
    <m/>
    <x v="2016"/>
  </r>
  <r>
    <x v="6"/>
    <s v="976"/>
    <x v="103"/>
    <x v="1"/>
    <n v="110.74"/>
    <m/>
    <x v="2016"/>
  </r>
  <r>
    <x v="6"/>
    <s v="977"/>
    <x v="100"/>
    <x v="0"/>
    <n v="5680"/>
    <m/>
    <x v="2016"/>
  </r>
  <r>
    <x v="6"/>
    <s v="977"/>
    <x v="100"/>
    <x v="1"/>
    <n v="990"/>
    <m/>
    <x v="2016"/>
  </r>
  <r>
    <x v="6"/>
    <s v="977"/>
    <x v="100"/>
    <x v="2"/>
    <n v="7910"/>
    <m/>
    <x v="2016"/>
  </r>
  <r>
    <x v="6"/>
    <s v="978"/>
    <x v="101"/>
    <x v="0"/>
    <n v="16041"/>
    <m/>
    <x v="2016"/>
  </r>
  <r>
    <x v="6"/>
    <s v="978"/>
    <x v="101"/>
    <x v="1"/>
    <n v="2321"/>
    <m/>
    <x v="2016"/>
  </r>
  <r>
    <x v="6"/>
    <s v="978"/>
    <x v="101"/>
    <x v="2"/>
    <n v="496.08"/>
    <m/>
    <x v="2016"/>
  </r>
  <r>
    <x v="6"/>
    <s v="987"/>
    <x v="102"/>
    <x v="0"/>
    <n v="77031.179999999993"/>
    <m/>
    <x v="2016"/>
  </r>
  <r>
    <x v="6"/>
    <s v="987"/>
    <x v="102"/>
    <x v="1"/>
    <n v="5322.83"/>
    <m/>
    <x v="2016"/>
  </r>
  <r>
    <x v="6"/>
    <s v="987"/>
    <x v="102"/>
    <x v="2"/>
    <n v="488.95"/>
    <m/>
    <x v="2016"/>
  </r>
  <r>
    <x v="5"/>
    <s v="971"/>
    <x v="96"/>
    <x v="0"/>
    <n v="129336.05"/>
    <m/>
    <x v="2016"/>
  </r>
  <r>
    <x v="5"/>
    <s v="971"/>
    <x v="96"/>
    <x v="1"/>
    <n v="102611.85"/>
    <m/>
    <x v="2016"/>
  </r>
  <r>
    <x v="5"/>
    <s v="971"/>
    <x v="96"/>
    <x v="2"/>
    <n v="28955.01"/>
    <m/>
    <x v="2016"/>
  </r>
  <r>
    <x v="5"/>
    <s v="972"/>
    <x v="97"/>
    <x v="0"/>
    <n v="121600.41"/>
    <m/>
    <x v="2016"/>
  </r>
  <r>
    <x v="5"/>
    <s v="972"/>
    <x v="97"/>
    <x v="1"/>
    <n v="47987.93"/>
    <m/>
    <x v="2016"/>
  </r>
  <r>
    <x v="5"/>
    <s v="972"/>
    <x v="97"/>
    <x v="2"/>
    <n v="27464.959999999999"/>
    <m/>
    <x v="2016"/>
  </r>
  <r>
    <x v="5"/>
    <s v="973"/>
    <x v="98"/>
    <x v="0"/>
    <n v="61619"/>
    <m/>
    <x v="2016"/>
  </r>
  <r>
    <x v="5"/>
    <s v="973"/>
    <x v="98"/>
    <x v="1"/>
    <n v="40381.83"/>
    <m/>
    <x v="2016"/>
  </r>
  <r>
    <x v="5"/>
    <s v="973"/>
    <x v="98"/>
    <x v="2"/>
    <n v="2794.49"/>
    <m/>
    <x v="2016"/>
  </r>
  <r>
    <x v="5"/>
    <s v="974"/>
    <x v="99"/>
    <x v="0"/>
    <n v="219437.79"/>
    <m/>
    <x v="2016"/>
  </r>
  <r>
    <x v="5"/>
    <s v="974"/>
    <x v="99"/>
    <x v="1"/>
    <n v="190356.97"/>
    <m/>
    <x v="2016"/>
  </r>
  <r>
    <x v="5"/>
    <s v="974"/>
    <x v="99"/>
    <x v="2"/>
    <n v="137243.63"/>
    <m/>
    <x v="2016"/>
  </r>
  <r>
    <x v="5"/>
    <s v="976"/>
    <x v="103"/>
    <x v="0"/>
    <n v="56019.66"/>
    <m/>
    <x v="2016"/>
  </r>
  <r>
    <x v="5"/>
    <s v="976"/>
    <x v="103"/>
    <x v="1"/>
    <n v="737.4"/>
    <m/>
    <x v="2016"/>
  </r>
  <r>
    <x v="4"/>
    <s v="971"/>
    <x v="96"/>
    <x v="0"/>
    <n v="134651.57999999999"/>
    <m/>
    <x v="2016"/>
  </r>
  <r>
    <x v="4"/>
    <s v="971"/>
    <x v="96"/>
    <x v="1"/>
    <n v="70271.69"/>
    <m/>
    <x v="2016"/>
  </r>
  <r>
    <x v="4"/>
    <s v="971"/>
    <x v="96"/>
    <x v="2"/>
    <n v="40674.19"/>
    <m/>
    <x v="2016"/>
  </r>
  <r>
    <x v="4"/>
    <s v="972"/>
    <x v="97"/>
    <x v="0"/>
    <n v="128372.94"/>
    <m/>
    <x v="2016"/>
  </r>
  <r>
    <x v="4"/>
    <s v="972"/>
    <x v="97"/>
    <x v="1"/>
    <n v="46054.95"/>
    <m/>
    <x v="2016"/>
  </r>
  <r>
    <x v="4"/>
    <s v="972"/>
    <x v="97"/>
    <x v="2"/>
    <n v="21631.98"/>
    <m/>
    <x v="2016"/>
  </r>
  <r>
    <x v="4"/>
    <s v="973"/>
    <x v="98"/>
    <x v="0"/>
    <n v="58308.6"/>
    <m/>
    <x v="2016"/>
  </r>
  <r>
    <x v="4"/>
    <s v="973"/>
    <x v="98"/>
    <x v="1"/>
    <n v="45306.33"/>
    <m/>
    <x v="2016"/>
  </r>
  <r>
    <x v="4"/>
    <s v="973"/>
    <x v="98"/>
    <x v="2"/>
    <n v="3991.34"/>
    <m/>
    <x v="2016"/>
  </r>
  <r>
    <x v="4"/>
    <s v="974"/>
    <x v="99"/>
    <x v="0"/>
    <n v="208196.58"/>
    <m/>
    <x v="2016"/>
  </r>
  <r>
    <x v="4"/>
    <s v="974"/>
    <x v="99"/>
    <x v="1"/>
    <n v="205385.78"/>
    <m/>
    <x v="2016"/>
  </r>
  <r>
    <x v="4"/>
    <s v="974"/>
    <x v="99"/>
    <x v="2"/>
    <n v="74730.23"/>
    <m/>
    <x v="2016"/>
  </r>
  <r>
    <x v="2"/>
    <s v="971"/>
    <x v="96"/>
    <x v="0"/>
    <n v="123130.22"/>
    <m/>
    <x v="2016"/>
  </r>
  <r>
    <x v="2"/>
    <s v="971"/>
    <x v="96"/>
    <x v="1"/>
    <n v="68161.320000000007"/>
    <m/>
    <x v="2016"/>
  </r>
  <r>
    <x v="2"/>
    <s v="971"/>
    <x v="96"/>
    <x v="2"/>
    <n v="44119.35"/>
    <m/>
    <x v="2016"/>
  </r>
  <r>
    <x v="2"/>
    <s v="972"/>
    <x v="97"/>
    <x v="0"/>
    <n v="122078.96"/>
    <m/>
    <x v="2016"/>
  </r>
  <r>
    <x v="2"/>
    <s v="972"/>
    <x v="97"/>
    <x v="1"/>
    <n v="36408.870000000003"/>
    <m/>
    <x v="2016"/>
  </r>
  <r>
    <x v="2"/>
    <s v="972"/>
    <x v="97"/>
    <x v="2"/>
    <n v="15172.26"/>
    <m/>
    <x v="2016"/>
  </r>
  <r>
    <x v="2"/>
    <s v="974"/>
    <x v="99"/>
    <x v="0"/>
    <n v="235200.01"/>
    <m/>
    <x v="2016"/>
  </r>
  <r>
    <x v="2"/>
    <s v="974"/>
    <x v="99"/>
    <x v="1"/>
    <n v="192728.57"/>
    <m/>
    <x v="2016"/>
  </r>
  <r>
    <x v="2"/>
    <s v="974"/>
    <x v="99"/>
    <x v="2"/>
    <n v="90458.14"/>
    <m/>
    <x v="20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37CF8A-3459-48E6-8B85-C0D9015319A2}" name="Tableau croisé dynamique4" cacheId="1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3">
  <location ref="H19:H20" firstHeaderRow="1" firstDataRow="1" firstDataCol="0"/>
  <pivotFields count="7">
    <pivotField showAll="0">
      <items count="8">
        <item x="0"/>
        <item x="1"/>
        <item x="3"/>
        <item x="6"/>
        <item x="5"/>
        <item x="4"/>
        <item x="2"/>
        <item t="default"/>
      </items>
    </pivotField>
    <pivotField showAll="0"/>
    <pivotField showAll="0">
      <items count="105">
        <item x="0"/>
        <item x="42"/>
        <item x="1"/>
        <item x="90"/>
        <item x="92"/>
        <item x="2"/>
        <item x="32"/>
        <item x="72"/>
        <item x="33"/>
        <item x="73"/>
        <item x="74"/>
        <item x="39"/>
        <item x="93"/>
        <item x="55"/>
        <item x="3"/>
        <item x="60"/>
        <item x="61"/>
        <item x="24"/>
        <item x="62"/>
        <item x="30"/>
        <item x="12"/>
        <item x="20"/>
        <item x="63"/>
        <item x="69"/>
        <item x="64"/>
        <item x="13"/>
        <item x="4"/>
        <item x="50"/>
        <item x="56"/>
        <item x="25"/>
        <item x="21"/>
        <item x="75"/>
        <item x="77"/>
        <item x="65"/>
        <item x="96"/>
        <item x="98"/>
        <item x="31"/>
        <item x="76"/>
        <item x="7"/>
        <item x="35"/>
        <item x="91"/>
        <item x="16"/>
        <item x="11"/>
        <item x="81"/>
        <item x="71"/>
        <item x="40"/>
        <item x="51"/>
        <item x="78"/>
        <item x="22"/>
        <item x="26"/>
        <item x="27"/>
        <item x="5"/>
        <item x="14"/>
        <item x="99"/>
        <item x="66"/>
        <item x="6"/>
        <item x="85"/>
        <item x="29"/>
        <item x="28"/>
        <item x="79"/>
        <item x="67"/>
        <item x="80"/>
        <item x="86"/>
        <item x="57"/>
        <item x="34"/>
        <item x="97"/>
        <item x="87"/>
        <item x="103"/>
        <item x="36"/>
        <item x="37"/>
        <item x="23"/>
        <item x="38"/>
        <item x="15"/>
        <item x="43"/>
        <item x="44"/>
        <item x="58"/>
        <item x="47"/>
        <item x="45"/>
        <item x="102"/>
        <item x="8"/>
        <item x="68"/>
        <item x="82"/>
        <item x="9"/>
        <item x="100"/>
        <item x="101"/>
        <item x="17"/>
        <item x="88"/>
        <item x="10"/>
        <item x="48"/>
        <item x="59"/>
        <item x="52"/>
        <item x="46"/>
        <item x="83"/>
        <item x="84"/>
        <item x="19"/>
        <item x="53"/>
        <item x="54"/>
        <item x="94"/>
        <item x="95"/>
        <item x="89"/>
        <item x="70"/>
        <item x="41"/>
        <item x="18"/>
        <item x="49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showAll="0"/>
    <pivotField showAll="0"/>
  </pivotFields>
  <rowItems count="1">
    <i/>
  </rowItems>
  <colItems count="1">
    <i/>
  </colItems>
  <dataFields count="1">
    <dataField name="Somme de TONNAGE_T_HG" fld="4" baseField="0" baseItem="0"/>
  </dataFields>
  <formats count="1"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D16712-A7F5-4BBF-8E5A-462778C8F8C6}" name="Tableau croisé dynamique3" cacheId="1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3">
  <location ref="H15:H16" firstHeaderRow="1" firstDataRow="1" firstDataCol="0"/>
  <pivotFields count="7">
    <pivotField showAll="0">
      <items count="8">
        <item x="0"/>
        <item x="1"/>
        <item x="3"/>
        <item x="6"/>
        <item x="5"/>
        <item x="4"/>
        <item x="2"/>
        <item t="default"/>
      </items>
    </pivotField>
    <pivotField showAll="0"/>
    <pivotField showAll="0">
      <items count="105">
        <item x="0"/>
        <item x="42"/>
        <item x="1"/>
        <item x="90"/>
        <item x="92"/>
        <item x="2"/>
        <item x="32"/>
        <item x="72"/>
        <item x="33"/>
        <item x="73"/>
        <item x="74"/>
        <item x="39"/>
        <item x="93"/>
        <item x="55"/>
        <item x="3"/>
        <item x="60"/>
        <item x="61"/>
        <item x="24"/>
        <item x="62"/>
        <item x="30"/>
        <item x="12"/>
        <item x="20"/>
        <item x="63"/>
        <item x="69"/>
        <item x="64"/>
        <item x="13"/>
        <item x="4"/>
        <item x="50"/>
        <item x="56"/>
        <item x="25"/>
        <item x="21"/>
        <item x="75"/>
        <item x="77"/>
        <item x="65"/>
        <item x="96"/>
        <item x="98"/>
        <item x="31"/>
        <item x="76"/>
        <item x="7"/>
        <item x="35"/>
        <item x="91"/>
        <item x="16"/>
        <item x="11"/>
        <item x="81"/>
        <item x="71"/>
        <item x="40"/>
        <item x="51"/>
        <item x="78"/>
        <item x="22"/>
        <item x="26"/>
        <item x="27"/>
        <item x="5"/>
        <item x="14"/>
        <item x="99"/>
        <item x="66"/>
        <item x="6"/>
        <item x="85"/>
        <item x="29"/>
        <item x="28"/>
        <item x="79"/>
        <item x="67"/>
        <item x="80"/>
        <item x="86"/>
        <item x="57"/>
        <item x="34"/>
        <item x="97"/>
        <item x="87"/>
        <item x="103"/>
        <item x="36"/>
        <item x="37"/>
        <item x="23"/>
        <item x="38"/>
        <item x="15"/>
        <item x="43"/>
        <item x="44"/>
        <item x="58"/>
        <item x="47"/>
        <item x="45"/>
        <item x="102"/>
        <item x="8"/>
        <item x="68"/>
        <item x="82"/>
        <item x="9"/>
        <item x="100"/>
        <item x="101"/>
        <item x="17"/>
        <item x="88"/>
        <item x="10"/>
        <item x="48"/>
        <item x="59"/>
        <item x="52"/>
        <item x="46"/>
        <item x="83"/>
        <item x="84"/>
        <item x="19"/>
        <item x="53"/>
        <item x="54"/>
        <item x="94"/>
        <item x="95"/>
        <item x="89"/>
        <item x="70"/>
        <item x="41"/>
        <item x="18"/>
        <item x="49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</pivotFields>
  <rowItems count="1">
    <i/>
  </rowItems>
  <colItems count="1">
    <i/>
  </colItems>
  <dataFields count="1">
    <dataField name="Moyenne de hab_dpt" fld="5" subtotal="average" baseField="0" baseItem="9"/>
  </dataFields>
  <formats count="1"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2B86CB-C50B-4711-87D5-8B949AC6E779}" name="Tableau croisé dynamique2" cacheId="1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3">
  <location ref="H11:H12" firstHeaderRow="1" firstDataRow="1" firstDataCol="0"/>
  <pivotFields count="7">
    <pivotField showAll="0">
      <items count="8">
        <item x="0"/>
        <item x="1"/>
        <item x="3"/>
        <item x="6"/>
        <item x="5"/>
        <item x="4"/>
        <item x="2"/>
        <item t="default"/>
      </items>
    </pivotField>
    <pivotField showAll="0"/>
    <pivotField showAll="0">
      <items count="105">
        <item x="0"/>
        <item x="42"/>
        <item x="1"/>
        <item x="90"/>
        <item x="92"/>
        <item x="2"/>
        <item x="32"/>
        <item x="72"/>
        <item x="33"/>
        <item x="73"/>
        <item x="74"/>
        <item x="39"/>
        <item x="93"/>
        <item x="55"/>
        <item x="3"/>
        <item x="60"/>
        <item x="61"/>
        <item x="24"/>
        <item x="62"/>
        <item x="30"/>
        <item x="12"/>
        <item x="20"/>
        <item x="63"/>
        <item x="69"/>
        <item x="64"/>
        <item x="13"/>
        <item x="4"/>
        <item x="50"/>
        <item x="56"/>
        <item x="25"/>
        <item x="21"/>
        <item x="75"/>
        <item x="77"/>
        <item x="65"/>
        <item x="96"/>
        <item x="98"/>
        <item x="31"/>
        <item x="76"/>
        <item x="7"/>
        <item x="35"/>
        <item x="91"/>
        <item x="16"/>
        <item x="11"/>
        <item x="81"/>
        <item x="71"/>
        <item x="40"/>
        <item x="51"/>
        <item x="78"/>
        <item x="22"/>
        <item x="26"/>
        <item x="27"/>
        <item x="5"/>
        <item x="14"/>
        <item x="99"/>
        <item x="66"/>
        <item x="6"/>
        <item x="85"/>
        <item x="29"/>
        <item x="28"/>
        <item x="79"/>
        <item x="67"/>
        <item x="80"/>
        <item x="86"/>
        <item x="57"/>
        <item x="34"/>
        <item x="97"/>
        <item x="87"/>
        <item x="103"/>
        <item x="36"/>
        <item x="37"/>
        <item x="23"/>
        <item x="38"/>
        <item x="15"/>
        <item x="43"/>
        <item x="44"/>
        <item x="58"/>
        <item x="47"/>
        <item x="45"/>
        <item x="102"/>
        <item x="8"/>
        <item x="68"/>
        <item x="82"/>
        <item x="9"/>
        <item x="100"/>
        <item x="101"/>
        <item x="17"/>
        <item x="88"/>
        <item x="10"/>
        <item x="48"/>
        <item x="59"/>
        <item x="52"/>
        <item x="46"/>
        <item x="83"/>
        <item x="84"/>
        <item x="19"/>
        <item x="53"/>
        <item x="54"/>
        <item x="94"/>
        <item x="95"/>
        <item x="89"/>
        <item x="70"/>
        <item x="41"/>
        <item x="18"/>
        <item x="49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Items count="1">
    <i/>
  </rowItems>
  <colItems count="1">
    <i/>
  </colItems>
  <dataFields count="1">
    <dataField name="Moyenne de Tonnage_par_habitant" fld="6" subtotal="average" baseField="0" baseItem="0" numFmtId="2"/>
  </dataFields>
  <formats count="1">
    <format dxfId="10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0EFD4D-9398-496F-867F-A3CECE7236E0}" name="INDICATEURS_HAUT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D108" firstHeaderRow="0" firstDataRow="1" firstDataCol="1" rowPageCount="1" colPageCount="1"/>
  <pivotFields count="7">
    <pivotField axis="axisPage" showAll="0">
      <items count="8">
        <item x="0"/>
        <item x="1"/>
        <item x="3"/>
        <item x="6"/>
        <item x="5"/>
        <item x="4"/>
        <item x="2"/>
        <item t="default"/>
      </items>
    </pivotField>
    <pivotField showAll="0"/>
    <pivotField axis="axisRow" showAll="0" sortType="descending">
      <items count="105">
        <item x="0"/>
        <item x="42"/>
        <item x="1"/>
        <item x="90"/>
        <item x="92"/>
        <item x="2"/>
        <item x="32"/>
        <item x="72"/>
        <item x="33"/>
        <item x="73"/>
        <item x="74"/>
        <item x="39"/>
        <item x="93"/>
        <item x="55"/>
        <item x="3"/>
        <item x="60"/>
        <item x="61"/>
        <item x="24"/>
        <item x="62"/>
        <item x="30"/>
        <item x="12"/>
        <item x="20"/>
        <item x="63"/>
        <item x="69"/>
        <item x="64"/>
        <item x="13"/>
        <item x="4"/>
        <item x="50"/>
        <item x="56"/>
        <item x="25"/>
        <item x="21"/>
        <item x="75"/>
        <item x="77"/>
        <item x="65"/>
        <item x="96"/>
        <item x="98"/>
        <item x="31"/>
        <item x="76"/>
        <item x="7"/>
        <item x="35"/>
        <item x="91"/>
        <item x="16"/>
        <item x="11"/>
        <item x="81"/>
        <item x="71"/>
        <item x="40"/>
        <item x="51"/>
        <item x="78"/>
        <item x="22"/>
        <item x="26"/>
        <item x="27"/>
        <item x="5"/>
        <item x="14"/>
        <item x="99"/>
        <item x="66"/>
        <item x="6"/>
        <item x="85"/>
        <item x="29"/>
        <item x="28"/>
        <item x="79"/>
        <item x="67"/>
        <item x="80"/>
        <item x="86"/>
        <item x="57"/>
        <item x="34"/>
        <item x="97"/>
        <item x="87"/>
        <item x="103"/>
        <item x="36"/>
        <item x="37"/>
        <item x="23"/>
        <item x="38"/>
        <item x="15"/>
        <item x="43"/>
        <item x="44"/>
        <item x="58"/>
        <item x="47"/>
        <item x="45"/>
        <item x="102"/>
        <item x="8"/>
        <item x="68"/>
        <item x="82"/>
        <item x="9"/>
        <item x="100"/>
        <item x="101"/>
        <item x="17"/>
        <item x="88"/>
        <item x="10"/>
        <item x="48"/>
        <item x="59"/>
        <item x="52"/>
        <item x="46"/>
        <item x="83"/>
        <item x="84"/>
        <item x="19"/>
        <item x="53"/>
        <item x="54"/>
        <item x="94"/>
        <item x="95"/>
        <item x="89"/>
        <item x="70"/>
        <item x="41"/>
        <item x="18"/>
        <item x="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1"/>
        <item x="2"/>
        <item t="default"/>
      </items>
    </pivotField>
    <pivotField dataField="1" showAll="0"/>
    <pivotField dataField="1" showAll="0"/>
    <pivotField dataField="1" showAll="0"/>
  </pivotFields>
  <rowFields count="1">
    <field x="2"/>
  </rowFields>
  <rowItems count="105">
    <i>
      <x v="54"/>
    </i>
    <i>
      <x v="97"/>
    </i>
    <i>
      <x v="30"/>
    </i>
    <i>
      <x v="4"/>
    </i>
    <i>
      <x v="19"/>
    </i>
    <i>
      <x v="21"/>
    </i>
    <i>
      <x v="7"/>
    </i>
    <i>
      <x v="16"/>
    </i>
    <i>
      <x v="36"/>
    </i>
    <i>
      <x v="81"/>
    </i>
    <i>
      <x v="3"/>
    </i>
    <i>
      <x v="63"/>
    </i>
    <i>
      <x v="40"/>
    </i>
    <i>
      <x v="13"/>
    </i>
    <i>
      <x v="87"/>
    </i>
    <i>
      <x v="77"/>
    </i>
    <i>
      <x v="9"/>
    </i>
    <i>
      <x v="47"/>
    </i>
    <i>
      <x v="98"/>
    </i>
    <i>
      <x v="28"/>
    </i>
    <i>
      <x v="89"/>
    </i>
    <i>
      <x v="42"/>
    </i>
    <i>
      <x v="70"/>
    </i>
    <i>
      <x v="99"/>
    </i>
    <i>
      <x v="91"/>
    </i>
    <i>
      <x v="74"/>
    </i>
    <i>
      <x v="12"/>
    </i>
    <i>
      <x v="31"/>
    </i>
    <i>
      <x v="59"/>
    </i>
    <i>
      <x v="43"/>
    </i>
    <i>
      <x v="75"/>
    </i>
    <i>
      <x v="24"/>
    </i>
    <i>
      <x v="29"/>
    </i>
    <i>
      <x v="60"/>
    </i>
    <i>
      <x v="73"/>
    </i>
    <i>
      <x v="33"/>
    </i>
    <i>
      <x v="80"/>
    </i>
    <i>
      <x v="58"/>
    </i>
    <i>
      <x v="2"/>
    </i>
    <i>
      <x v="102"/>
    </i>
    <i>
      <x v="14"/>
    </i>
    <i>
      <x v="1"/>
    </i>
    <i>
      <x v="61"/>
    </i>
    <i>
      <x v="6"/>
    </i>
    <i>
      <x v="26"/>
    </i>
    <i>
      <x v="85"/>
    </i>
    <i>
      <x v="66"/>
    </i>
    <i>
      <x v="71"/>
    </i>
    <i>
      <x v="51"/>
    </i>
    <i>
      <x v="5"/>
    </i>
    <i>
      <x v="15"/>
    </i>
    <i>
      <x v="18"/>
    </i>
    <i>
      <x v="57"/>
    </i>
    <i>
      <x v="72"/>
    </i>
    <i>
      <x v="23"/>
    </i>
    <i>
      <x v="101"/>
    </i>
    <i>
      <x v="17"/>
    </i>
    <i>
      <x v="56"/>
    </i>
    <i>
      <x v="94"/>
    </i>
    <i>
      <x v="45"/>
    </i>
    <i>
      <x v="8"/>
    </i>
    <i>
      <x v="41"/>
    </i>
    <i>
      <x v="93"/>
    </i>
    <i>
      <x v="100"/>
    </i>
    <i>
      <x v="49"/>
    </i>
    <i>
      <x v="92"/>
    </i>
    <i>
      <x v="20"/>
    </i>
    <i>
      <x v="88"/>
    </i>
    <i>
      <x v="50"/>
    </i>
    <i>
      <x v="32"/>
    </i>
    <i>
      <x v="64"/>
    </i>
    <i>
      <x v="52"/>
    </i>
    <i>
      <x v="10"/>
    </i>
    <i>
      <x v="39"/>
    </i>
    <i>
      <x v="79"/>
    </i>
    <i>
      <x v="55"/>
    </i>
    <i>
      <x v="22"/>
    </i>
    <i>
      <x v="44"/>
    </i>
    <i>
      <x v="27"/>
    </i>
    <i>
      <x v="68"/>
    </i>
    <i>
      <x/>
    </i>
    <i>
      <x v="25"/>
    </i>
    <i>
      <x v="48"/>
    </i>
    <i>
      <x v="86"/>
    </i>
    <i>
      <x v="37"/>
    </i>
    <i>
      <x v="76"/>
    </i>
    <i>
      <x v="96"/>
    </i>
    <i>
      <x v="38"/>
    </i>
    <i>
      <x v="69"/>
    </i>
    <i>
      <x v="11"/>
    </i>
    <i>
      <x v="103"/>
    </i>
    <i>
      <x v="62"/>
    </i>
    <i>
      <x v="90"/>
    </i>
    <i>
      <x v="95"/>
    </i>
    <i>
      <x v="82"/>
    </i>
    <i>
      <x v="46"/>
    </i>
    <i>
      <x v="65"/>
    </i>
    <i>
      <x v="35"/>
    </i>
    <i>
      <x v="83"/>
    </i>
    <i>
      <x v="84"/>
    </i>
    <i>
      <x v="78"/>
    </i>
    <i>
      <x v="67"/>
    </i>
    <i>
      <x v="34"/>
    </i>
    <i>
      <x v="5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Moyenne de Tonnage_par_habitant" fld="6" subtotal="average" baseField="2" baseItem="84" numFmtId="10"/>
    <dataField name="Somme de hab_dpt" fld="5" baseField="0" baseItem="0"/>
    <dataField name="Somme de TONNAGE_T_HG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076FBA-0E9A-49C8-9E17-BF4E7FE3437F}" name="Tableau croisé dynamique1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D108" firstHeaderRow="0" firstDataRow="1" firstDataCol="1" rowPageCount="1" colPageCount="1"/>
  <pivotFields count="7">
    <pivotField axis="axisPage" showAll="0">
      <items count="8">
        <item x="0"/>
        <item x="1"/>
        <item x="3"/>
        <item x="6"/>
        <item x="5"/>
        <item x="4"/>
        <item x="2"/>
        <item t="default"/>
      </items>
    </pivotField>
    <pivotField showAll="0"/>
    <pivotField axis="axisRow" showAll="0" sortType="descending">
      <items count="105">
        <item x="0"/>
        <item x="42"/>
        <item x="1"/>
        <item x="90"/>
        <item x="92"/>
        <item x="2"/>
        <item x="32"/>
        <item x="72"/>
        <item x="33"/>
        <item x="73"/>
        <item x="74"/>
        <item x="39"/>
        <item x="93"/>
        <item x="55"/>
        <item x="3"/>
        <item x="60"/>
        <item x="61"/>
        <item x="24"/>
        <item x="62"/>
        <item x="30"/>
        <item x="12"/>
        <item x="20"/>
        <item x="63"/>
        <item x="69"/>
        <item x="64"/>
        <item x="13"/>
        <item x="4"/>
        <item x="50"/>
        <item x="56"/>
        <item x="25"/>
        <item x="21"/>
        <item x="75"/>
        <item x="77"/>
        <item x="65"/>
        <item x="96"/>
        <item x="98"/>
        <item x="31"/>
        <item x="76"/>
        <item x="7"/>
        <item x="35"/>
        <item x="91"/>
        <item x="16"/>
        <item x="11"/>
        <item x="81"/>
        <item x="71"/>
        <item x="40"/>
        <item x="51"/>
        <item x="78"/>
        <item x="22"/>
        <item x="26"/>
        <item x="27"/>
        <item x="5"/>
        <item x="14"/>
        <item x="99"/>
        <item x="66"/>
        <item x="6"/>
        <item x="85"/>
        <item x="29"/>
        <item x="28"/>
        <item x="79"/>
        <item x="67"/>
        <item x="80"/>
        <item x="86"/>
        <item x="57"/>
        <item x="34"/>
        <item x="97"/>
        <item x="87"/>
        <item x="103"/>
        <item x="36"/>
        <item x="37"/>
        <item x="23"/>
        <item x="38"/>
        <item x="15"/>
        <item x="43"/>
        <item x="44"/>
        <item x="58"/>
        <item x="47"/>
        <item x="45"/>
        <item x="102"/>
        <item x="8"/>
        <item x="68"/>
        <item x="82"/>
        <item x="9"/>
        <item x="100"/>
        <item x="101"/>
        <item x="17"/>
        <item x="88"/>
        <item x="10"/>
        <item x="48"/>
        <item x="59"/>
        <item x="52"/>
        <item x="46"/>
        <item x="83"/>
        <item x="84"/>
        <item x="19"/>
        <item x="53"/>
        <item x="54"/>
        <item x="94"/>
        <item x="95"/>
        <item x="89"/>
        <item x="70"/>
        <item x="41"/>
        <item x="18"/>
        <item x="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1"/>
        <item x="2"/>
        <item t="default"/>
      </items>
    </pivotField>
    <pivotField dataField="1" showAll="0"/>
    <pivotField dataField="1" showAll="0"/>
    <pivotField dataField="1" showAll="0"/>
  </pivotFields>
  <rowFields count="1">
    <field x="2"/>
  </rowFields>
  <rowItems count="105">
    <i>
      <x v="54"/>
    </i>
    <i>
      <x v="97"/>
    </i>
    <i>
      <x v="30"/>
    </i>
    <i>
      <x v="4"/>
    </i>
    <i>
      <x v="19"/>
    </i>
    <i>
      <x v="21"/>
    </i>
    <i>
      <x v="7"/>
    </i>
    <i>
      <x v="16"/>
    </i>
    <i>
      <x v="36"/>
    </i>
    <i>
      <x v="81"/>
    </i>
    <i>
      <x v="3"/>
    </i>
    <i>
      <x v="63"/>
    </i>
    <i>
      <x v="40"/>
    </i>
    <i>
      <x v="13"/>
    </i>
    <i>
      <x v="87"/>
    </i>
    <i>
      <x v="77"/>
    </i>
    <i>
      <x v="9"/>
    </i>
    <i>
      <x v="47"/>
    </i>
    <i>
      <x v="98"/>
    </i>
    <i>
      <x v="28"/>
    </i>
    <i>
      <x v="89"/>
    </i>
    <i>
      <x v="42"/>
    </i>
    <i>
      <x v="70"/>
    </i>
    <i>
      <x v="99"/>
    </i>
    <i>
      <x v="91"/>
    </i>
    <i>
      <x v="74"/>
    </i>
    <i>
      <x v="12"/>
    </i>
    <i>
      <x v="31"/>
    </i>
    <i>
      <x v="59"/>
    </i>
    <i>
      <x v="43"/>
    </i>
    <i>
      <x v="75"/>
    </i>
    <i>
      <x v="24"/>
    </i>
    <i>
      <x v="29"/>
    </i>
    <i>
      <x v="60"/>
    </i>
    <i>
      <x v="73"/>
    </i>
    <i>
      <x v="33"/>
    </i>
    <i>
      <x v="80"/>
    </i>
    <i>
      <x v="58"/>
    </i>
    <i>
      <x v="2"/>
    </i>
    <i>
      <x v="102"/>
    </i>
    <i>
      <x v="14"/>
    </i>
    <i>
      <x v="1"/>
    </i>
    <i>
      <x v="61"/>
    </i>
    <i>
      <x v="6"/>
    </i>
    <i>
      <x v="26"/>
    </i>
    <i>
      <x v="85"/>
    </i>
    <i>
      <x v="66"/>
    </i>
    <i>
      <x v="71"/>
    </i>
    <i>
      <x v="51"/>
    </i>
    <i>
      <x v="5"/>
    </i>
    <i>
      <x v="15"/>
    </i>
    <i>
      <x v="18"/>
    </i>
    <i>
      <x v="57"/>
    </i>
    <i>
      <x v="72"/>
    </i>
    <i>
      <x v="23"/>
    </i>
    <i>
      <x v="101"/>
    </i>
    <i>
      <x v="17"/>
    </i>
    <i>
      <x v="56"/>
    </i>
    <i>
      <x v="94"/>
    </i>
    <i>
      <x v="45"/>
    </i>
    <i>
      <x v="8"/>
    </i>
    <i>
      <x v="41"/>
    </i>
    <i>
      <x v="93"/>
    </i>
    <i>
      <x v="100"/>
    </i>
    <i>
      <x v="49"/>
    </i>
    <i>
      <x v="92"/>
    </i>
    <i>
      <x v="20"/>
    </i>
    <i>
      <x v="88"/>
    </i>
    <i>
      <x v="50"/>
    </i>
    <i>
      <x v="32"/>
    </i>
    <i>
      <x v="64"/>
    </i>
    <i>
      <x v="52"/>
    </i>
    <i>
      <x v="10"/>
    </i>
    <i>
      <x v="39"/>
    </i>
    <i>
      <x v="79"/>
    </i>
    <i>
      <x v="55"/>
    </i>
    <i>
      <x v="22"/>
    </i>
    <i>
      <x v="44"/>
    </i>
    <i>
      <x v="27"/>
    </i>
    <i>
      <x v="68"/>
    </i>
    <i>
      <x/>
    </i>
    <i>
      <x v="25"/>
    </i>
    <i>
      <x v="48"/>
    </i>
    <i>
      <x v="86"/>
    </i>
    <i>
      <x v="37"/>
    </i>
    <i>
      <x v="76"/>
    </i>
    <i>
      <x v="96"/>
    </i>
    <i>
      <x v="38"/>
    </i>
    <i>
      <x v="69"/>
    </i>
    <i>
      <x v="11"/>
    </i>
    <i>
      <x v="103"/>
    </i>
    <i>
      <x v="62"/>
    </i>
    <i>
      <x v="90"/>
    </i>
    <i>
      <x v="95"/>
    </i>
    <i>
      <x v="82"/>
    </i>
    <i>
      <x v="46"/>
    </i>
    <i>
      <x v="65"/>
    </i>
    <i>
      <x v="35"/>
    </i>
    <i>
      <x v="83"/>
    </i>
    <i>
      <x v="84"/>
    </i>
    <i>
      <x v="78"/>
    </i>
    <i>
      <x v="67"/>
    </i>
    <i>
      <x v="34"/>
    </i>
    <i>
      <x v="5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Moyenne de Tonnage_par_habitant" fld="6" subtotal="average" baseField="2" baseItem="84" numFmtId="10"/>
    <dataField name="Somme de hab_dpt" fld="5" baseField="0" baseItem="0"/>
    <dataField name="Somme de TONNAGE_T_HG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E87117-2F09-4E82-8F4A-2B489BAC84B3}" name="Tableau croisé dynamique1" cacheId="1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3">
  <location ref="A1:B9" firstHeaderRow="1" firstDataRow="1" firstDataCol="1"/>
  <pivotFields count="7">
    <pivotField axis="axisRow" showAll="0">
      <items count="8">
        <item x="0"/>
        <item x="1"/>
        <item x="3"/>
        <item x="6"/>
        <item x="5"/>
        <item x="4"/>
        <item x="2"/>
        <item t="default"/>
      </items>
    </pivotField>
    <pivotField showAll="0"/>
    <pivotField showAll="0">
      <items count="105">
        <item x="0"/>
        <item x="42"/>
        <item x="1"/>
        <item x="90"/>
        <item x="92"/>
        <item x="2"/>
        <item x="32"/>
        <item x="72"/>
        <item x="33"/>
        <item x="73"/>
        <item x="74"/>
        <item x="39"/>
        <item x="93"/>
        <item x="55"/>
        <item x="3"/>
        <item x="60"/>
        <item x="61"/>
        <item x="24"/>
        <item x="62"/>
        <item x="30"/>
        <item x="12"/>
        <item x="20"/>
        <item x="63"/>
        <item x="69"/>
        <item x="64"/>
        <item x="13"/>
        <item x="4"/>
        <item x="50"/>
        <item x="56"/>
        <item x="25"/>
        <item x="21"/>
        <item x="75"/>
        <item x="77"/>
        <item x="65"/>
        <item x="96"/>
        <item x="98"/>
        <item x="31"/>
        <item x="76"/>
        <item x="7"/>
        <item x="35"/>
        <item x="91"/>
        <item x="16"/>
        <item x="11"/>
        <item x="81"/>
        <item x="71"/>
        <item x="40"/>
        <item x="51"/>
        <item x="78"/>
        <item x="22"/>
        <item x="26"/>
        <item x="27"/>
        <item x="5"/>
        <item x="14"/>
        <item x="99"/>
        <item x="66"/>
        <item x="6"/>
        <item x="85"/>
        <item x="29"/>
        <item x="28"/>
        <item x="79"/>
        <item x="67"/>
        <item x="80"/>
        <item x="86"/>
        <item x="57"/>
        <item x="34"/>
        <item x="97"/>
        <item x="87"/>
        <item x="103"/>
        <item x="36"/>
        <item x="37"/>
        <item x="23"/>
        <item x="38"/>
        <item x="15"/>
        <item x="43"/>
        <item x="44"/>
        <item x="58"/>
        <item x="47"/>
        <item x="45"/>
        <item x="102"/>
        <item x="8"/>
        <item x="68"/>
        <item x="82"/>
        <item x="9"/>
        <item x="100"/>
        <item x="101"/>
        <item x="17"/>
        <item x="88"/>
        <item x="10"/>
        <item x="48"/>
        <item x="59"/>
        <item x="52"/>
        <item x="46"/>
        <item x="83"/>
        <item x="84"/>
        <item x="19"/>
        <item x="53"/>
        <item x="54"/>
        <item x="94"/>
        <item x="95"/>
        <item x="89"/>
        <item x="70"/>
        <item x="41"/>
        <item x="18"/>
        <item x="49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Moyenne de Tonnage_par_habitant" fld="6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715F7-B3A5-4E52-B362-F341F2A25A38}" name="Tableau croisé dynamique1" cacheId="1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3">
  <location ref="A3:B14" firstHeaderRow="1" firstDataRow="1" firstDataCol="1" rowPageCount="1" colPageCount="1"/>
  <pivotFields count="7">
    <pivotField showAll="0">
      <items count="8">
        <item x="0"/>
        <item x="1"/>
        <item x="3"/>
        <item x="6"/>
        <item x="5"/>
        <item x="4"/>
        <item x="2"/>
        <item t="default"/>
      </items>
    </pivotField>
    <pivotField showAll="0"/>
    <pivotField axis="axisRow" showAll="0" measureFilter="1" sortType="ascending">
      <items count="105">
        <item x="0"/>
        <item x="42"/>
        <item x="1"/>
        <item x="90"/>
        <item x="92"/>
        <item x="2"/>
        <item x="32"/>
        <item x="72"/>
        <item x="33"/>
        <item x="73"/>
        <item x="74"/>
        <item x="39"/>
        <item x="93"/>
        <item x="55"/>
        <item x="3"/>
        <item x="60"/>
        <item x="61"/>
        <item x="24"/>
        <item x="62"/>
        <item x="30"/>
        <item x="12"/>
        <item x="20"/>
        <item x="63"/>
        <item x="69"/>
        <item x="64"/>
        <item x="13"/>
        <item x="4"/>
        <item x="50"/>
        <item x="56"/>
        <item x="25"/>
        <item x="21"/>
        <item x="75"/>
        <item x="77"/>
        <item x="65"/>
        <item x="96"/>
        <item x="98"/>
        <item x="31"/>
        <item x="76"/>
        <item x="7"/>
        <item x="35"/>
        <item x="91"/>
        <item x="16"/>
        <item x="11"/>
        <item x="81"/>
        <item x="71"/>
        <item x="40"/>
        <item x="51"/>
        <item x="78"/>
        <item x="22"/>
        <item x="26"/>
        <item x="27"/>
        <item x="5"/>
        <item x="14"/>
        <item x="99"/>
        <item x="66"/>
        <item x="6"/>
        <item x="85"/>
        <item x="29"/>
        <item x="28"/>
        <item x="79"/>
        <item x="67"/>
        <item x="80"/>
        <item x="86"/>
        <item x="57"/>
        <item x="34"/>
        <item x="97"/>
        <item x="87"/>
        <item x="103"/>
        <item x="36"/>
        <item x="37"/>
        <item x="23"/>
        <item x="38"/>
        <item x="15"/>
        <item x="43"/>
        <item x="44"/>
        <item x="58"/>
        <item x="47"/>
        <item x="45"/>
        <item x="102"/>
        <item x="8"/>
        <item x="68"/>
        <item x="82"/>
        <item x="9"/>
        <item x="100"/>
        <item x="101"/>
        <item x="17"/>
        <item x="88"/>
        <item x="10"/>
        <item x="48"/>
        <item x="59"/>
        <item x="52"/>
        <item x="46"/>
        <item x="83"/>
        <item x="84"/>
        <item x="19"/>
        <item x="53"/>
        <item x="54"/>
        <item x="94"/>
        <item x="95"/>
        <item x="89"/>
        <item x="70"/>
        <item x="41"/>
        <item x="18"/>
        <item x="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4">
        <item x="0"/>
        <item x="1"/>
        <item x="2"/>
        <item t="default"/>
      </items>
    </pivotField>
    <pivotField dataField="1" showAll="0"/>
    <pivotField showAll="0"/>
    <pivotField showAll="0">
      <items count="2018">
        <item x="1214"/>
        <item x="719"/>
        <item x="1724"/>
        <item x="1871"/>
        <item x="1295"/>
        <item x="476"/>
        <item x="143"/>
        <item x="155"/>
        <item x="524"/>
        <item x="1883"/>
        <item x="1307"/>
        <item x="1790"/>
        <item x="1280"/>
        <item x="161"/>
        <item x="794"/>
        <item x="158"/>
        <item x="1313"/>
        <item x="1799"/>
        <item x="91"/>
        <item x="1289"/>
        <item x="548"/>
        <item x="1889"/>
        <item x="94"/>
        <item x="785"/>
        <item x="536"/>
        <item x="379"/>
        <item x="149"/>
        <item x="1310"/>
        <item x="1886"/>
        <item x="164"/>
        <item x="1939"/>
        <item x="1471"/>
        <item x="1468"/>
        <item x="856"/>
        <item x="500"/>
        <item x="791"/>
        <item x="1822"/>
        <item x="152"/>
        <item x="1045"/>
        <item x="1796"/>
        <item x="1057"/>
        <item x="1301"/>
        <item x="847"/>
        <item x="1286"/>
        <item x="976"/>
        <item x="1432"/>
        <item x="862"/>
        <item x="280"/>
        <item x="187"/>
        <item x="286"/>
        <item x="59"/>
        <item x="1309"/>
        <item x="1912"/>
        <item x="1435"/>
        <item x="655"/>
        <item x="382"/>
        <item x="22"/>
        <item x="560"/>
        <item x="1316"/>
        <item x="1885"/>
        <item x="1393"/>
        <item x="1492"/>
        <item x="92"/>
        <item x="10"/>
        <item x="1189"/>
        <item x="1819"/>
        <item x="877"/>
        <item x="1612"/>
        <item x="28"/>
        <item x="1285"/>
        <item x="892"/>
        <item x="1480"/>
        <item x="940"/>
        <item x="1699"/>
        <item x="1877"/>
        <item x="466"/>
        <item x="1552"/>
        <item x="1880"/>
        <item x="88"/>
        <item x="1795"/>
        <item x="1525"/>
        <item x="316"/>
        <item x="2011"/>
        <item x="220"/>
        <item x="301"/>
        <item x="1033"/>
        <item x="1759"/>
        <item x="298"/>
        <item x="1892"/>
        <item x="1339"/>
        <item x="1"/>
        <item x="13"/>
        <item x="871"/>
        <item x="1249"/>
        <item x="1504"/>
        <item x="376"/>
        <item x="997"/>
        <item x="1378"/>
        <item x="289"/>
        <item x="535"/>
        <item x="448"/>
        <item x="1030"/>
        <item x="7"/>
        <item x="271"/>
        <item x="883"/>
        <item x="295"/>
        <item x="175"/>
        <item x="1292"/>
        <item x="241"/>
        <item x="4"/>
        <item x="1903"/>
        <item x="1615"/>
        <item x="790"/>
        <item x="1564"/>
        <item x="1528"/>
        <item x="817"/>
        <item x="394"/>
        <item x="1736"/>
        <item x="607"/>
        <item x="1816"/>
        <item x="1573"/>
        <item x="19"/>
        <item x="199"/>
        <item x="1226"/>
        <item x="1802"/>
        <item x="520"/>
        <item x="868"/>
        <item x="307"/>
        <item x="1603"/>
        <item x="1666"/>
        <item x="1462"/>
        <item x="512"/>
        <item x="310"/>
        <item x="380"/>
        <item x="1304"/>
        <item x="1327"/>
        <item x="865"/>
        <item x="1576"/>
        <item x="880"/>
        <item x="1372"/>
        <item x="1174"/>
        <item x="85"/>
        <item x="157"/>
        <item x="1960"/>
        <item x="400"/>
        <item x="1447"/>
        <item x="1423"/>
        <item x="1396"/>
        <item x="367"/>
        <item x="731"/>
        <item x="124"/>
        <item x="1585"/>
        <item x="1813"/>
        <item x="787"/>
        <item x="598"/>
        <item x="1591"/>
        <item x="1096"/>
        <item x="1381"/>
        <item x="754"/>
        <item x="1021"/>
        <item x="679"/>
        <item x="373"/>
        <item x="1924"/>
        <item x="1120"/>
        <item x="292"/>
        <item x="347"/>
        <item x="826"/>
        <item x="226"/>
        <item x="118"/>
        <item x="1105"/>
        <item x="808"/>
        <item x="1834"/>
        <item x="874"/>
        <item x="112"/>
        <item x="928"/>
        <item x="1075"/>
        <item x="154"/>
        <item x="1948"/>
        <item x="1588"/>
        <item x="625"/>
        <item x="886"/>
        <item x="1636"/>
        <item x="55"/>
        <item x="1150"/>
        <item x="412"/>
        <item x="1540"/>
        <item x="1882"/>
        <item x="232"/>
        <item x="193"/>
        <item x="1084"/>
        <item x="1351"/>
        <item x="16"/>
        <item x="967"/>
        <item x="1516"/>
        <item x="418"/>
        <item x="1366"/>
        <item x="1363"/>
        <item x="304"/>
        <item x="34"/>
        <item x="1384"/>
        <item x="1972"/>
        <item x="1840"/>
        <item x="797"/>
        <item x="250"/>
        <item x="1787"/>
        <item x="1543"/>
        <item x="820"/>
        <item x="2008"/>
        <item x="1969"/>
        <item x="806"/>
        <item x="322"/>
        <item x="1630"/>
        <item x="898"/>
        <item x="1156"/>
        <item x="1414"/>
        <item x="1597"/>
        <item x="1966"/>
        <item x="1087"/>
        <item x="751"/>
        <item x="1993"/>
        <item x="430"/>
        <item x="1402"/>
        <item x="343"/>
        <item x="1874"/>
        <item x="1048"/>
        <item x="283"/>
        <item x="1717"/>
        <item x="274"/>
        <item x="1888"/>
        <item x="1594"/>
        <item x="230"/>
        <item x="406"/>
        <item x="106"/>
        <item x="1975"/>
        <item x="214"/>
        <item x="580"/>
        <item x="131"/>
        <item x="859"/>
        <item x="1837"/>
        <item x="694"/>
        <item x="952"/>
        <item x="1984"/>
        <item x="1090"/>
        <item x="1765"/>
        <item x="169"/>
        <item x="1930"/>
        <item x="1753"/>
        <item x="262"/>
        <item x="982"/>
        <item x="1312"/>
        <item x="211"/>
        <item x="1243"/>
        <item x="523"/>
        <item x="610"/>
        <item x="190"/>
        <item x="703"/>
        <item x="1382"/>
        <item x="1132"/>
        <item x="1936"/>
        <item x="1789"/>
        <item x="1261"/>
        <item x="1642"/>
        <item x="1708"/>
        <item x="586"/>
        <item x="1489"/>
        <item x="1681"/>
        <item x="973"/>
        <item x="1999"/>
        <item x="146"/>
        <item x="1951"/>
        <item x="1405"/>
        <item x="442"/>
        <item x="1732"/>
        <item x="589"/>
        <item x="1730"/>
        <item x="1207"/>
        <item x="1342"/>
        <item x="1000"/>
        <item x="1771"/>
        <item x="835"/>
        <item x="1429"/>
        <item x="712"/>
        <item x="568"/>
        <item x="256"/>
        <item x="811"/>
        <item x="1933"/>
        <item x="1852"/>
        <item x="1288"/>
        <item x="893"/>
        <item x="1408"/>
        <item x="1255"/>
        <item x="1220"/>
        <item x="667"/>
        <item x="181"/>
        <item x="2005"/>
        <item x="799"/>
        <item x="11"/>
        <item x="715"/>
        <item x="115"/>
        <item x="1747"/>
        <item x="538"/>
        <item x="196"/>
        <item x="1198"/>
        <item x="1987"/>
        <item x="1237"/>
        <item x="1798"/>
        <item x="1306"/>
        <item x="1613"/>
        <item x="1915"/>
        <item x="29"/>
        <item x="760"/>
        <item x="1333"/>
        <item x="247"/>
        <item x="1298"/>
        <item x="970"/>
        <item x="631"/>
        <item x="1838"/>
        <item x="1498"/>
        <item x="1978"/>
        <item x="661"/>
        <item x="919"/>
        <item x="23"/>
        <item x="61"/>
        <item x="1700"/>
        <item x="1345"/>
        <item x="838"/>
        <item x="784"/>
        <item x="1465"/>
        <item x="727"/>
        <item x="235"/>
        <item x="853"/>
        <item x="1046"/>
        <item x="1411"/>
        <item x="253"/>
        <item x="1477"/>
        <item x="994"/>
        <item x="829"/>
        <item x="1909"/>
        <item x="1054"/>
        <item x="547"/>
        <item x="67"/>
        <item x="763"/>
        <item x="1522"/>
        <item x="1705"/>
        <item x="1891"/>
        <item x="1108"/>
        <item x="1660"/>
        <item x="95"/>
        <item x="1375"/>
        <item x="1558"/>
        <item x="1417"/>
        <item x="337"/>
        <item x="802"/>
        <item x="1846"/>
        <item x="637"/>
        <item x="1438"/>
        <item x="1093"/>
        <item x="76"/>
        <item x="1945"/>
        <item x="259"/>
        <item x="244"/>
        <item x="1444"/>
        <item x="1549"/>
        <item x="850"/>
        <item x="1063"/>
        <item x="1036"/>
        <item x="1171"/>
        <item x="793"/>
        <item x="1456"/>
        <item x="25"/>
        <item x="277"/>
        <item x="577"/>
        <item x="160"/>
        <item x="37"/>
        <item x="1222"/>
        <item x="766"/>
        <item x="985"/>
        <item x="1582"/>
        <item x="1195"/>
        <item x="2002"/>
        <item x="1495"/>
        <item x="1687"/>
        <item x="1684"/>
        <item x="1711"/>
        <item x="205"/>
        <item x="1720"/>
        <item x="1996"/>
        <item x="559"/>
        <item x="1060"/>
        <item x="1618"/>
        <item x="1792"/>
        <item x="325"/>
        <item x="592"/>
        <item x="163"/>
        <item x="1228"/>
        <item x="1609"/>
        <item x="742"/>
        <item x="457"/>
        <item x="1990"/>
        <item x="349"/>
        <item x="841"/>
        <item x="484"/>
        <item x="916"/>
        <item x="317"/>
        <item x="1831"/>
        <item x="1279"/>
        <item x="202"/>
        <item x="934"/>
        <item x="1639"/>
        <item x="1555"/>
        <item x="1501"/>
        <item x="1354"/>
        <item x="490"/>
        <item x="1190"/>
        <item x="1867"/>
        <item x="910"/>
        <item x="832"/>
        <item x="691"/>
        <item x="613"/>
        <item x="1774"/>
        <item x="472"/>
        <item x="1102"/>
        <item x="1627"/>
        <item x="1177"/>
        <item x="1027"/>
        <item x="1111"/>
        <item x="1315"/>
        <item x="1081"/>
        <item x="1399"/>
        <item x="619"/>
        <item x="913"/>
        <item x="1360"/>
        <item x="1450"/>
        <item x="1690"/>
        <item x="109"/>
        <item x="31"/>
        <item x="488"/>
        <item x="695"/>
        <item x="502"/>
        <item x="254"/>
        <item x="1018"/>
        <item x="1162"/>
        <item x="1825"/>
        <item x="1957"/>
        <item x="460"/>
        <item x="355"/>
        <item x="1519"/>
        <item x="1264"/>
        <item x="1531"/>
        <item x="428"/>
        <item x="544"/>
        <item x="1117"/>
        <item x="142"/>
        <item x="1633"/>
        <item x="208"/>
        <item x="517"/>
        <item x="1180"/>
        <item x="1561"/>
        <item x="403"/>
        <item x="925"/>
        <item x="265"/>
        <item x="1138"/>
        <item x="1855"/>
        <item x="1348"/>
        <item x="364"/>
        <item x="1240"/>
        <item x="949"/>
        <item x="1294"/>
        <item x="955"/>
        <item x="1954"/>
        <item x="1012"/>
        <item x="1942"/>
        <item x="1066"/>
        <item x="319"/>
        <item x="223"/>
        <item x="901"/>
        <item x="904"/>
        <item x="739"/>
        <item x="1870"/>
        <item x="1129"/>
        <item x="73"/>
        <item x="1201"/>
        <item x="110"/>
        <item x="805"/>
        <item x="943"/>
        <item x="1357"/>
        <item x="1823"/>
        <item x="1897"/>
        <item x="397"/>
        <item x="1777"/>
        <item x="709"/>
        <item x="391"/>
        <item x="1750"/>
        <item x="748"/>
        <item x="622"/>
        <item x="553"/>
        <item x="1051"/>
        <item x="1828"/>
        <item x="184"/>
        <item x="1648"/>
        <item x="895"/>
        <item x="385"/>
        <item x="40"/>
        <item x="1768"/>
        <item x="1219"/>
        <item x="583"/>
        <item x="1277"/>
        <item x="725"/>
        <item x="1963"/>
        <item x="113"/>
        <item x="550"/>
        <item x="101"/>
        <item x="1483"/>
        <item x="340"/>
        <item x="1114"/>
        <item x="1921"/>
        <item x="1900"/>
        <item x="1964"/>
        <item x="1165"/>
        <item x="1738"/>
        <item x="1729"/>
        <item x="1801"/>
        <item x="1726"/>
        <item x="830"/>
        <item x="52"/>
        <item x="1547"/>
        <item x="1621"/>
        <item x="1600"/>
        <item x="889"/>
        <item x="1678"/>
        <item x="1906"/>
        <item x="595"/>
        <item x="1513"/>
        <item x="556"/>
        <item x="1873"/>
        <item x="1426"/>
        <item x="1624"/>
        <item x="628"/>
        <item x="676"/>
        <item x="1163"/>
        <item x="988"/>
        <item x="97"/>
        <item x="1126"/>
        <item x="475"/>
        <item x="1247"/>
        <item x="685"/>
        <item x="1675"/>
        <item x="1654"/>
        <item x="1330"/>
        <item x="1282"/>
        <item x="1387"/>
        <item x="1168"/>
        <item x="1546"/>
        <item x="433"/>
        <item x="541"/>
        <item x="1297"/>
        <item x="424"/>
        <item x="361"/>
        <item x="1744"/>
        <item x="1231"/>
        <item x="769"/>
        <item x="1714"/>
        <item x="844"/>
        <item x="931"/>
        <item x="229"/>
        <item x="668"/>
        <item x="46"/>
        <item x="1324"/>
        <item x="670"/>
        <item x="508"/>
        <item x="1829"/>
        <item x="268"/>
        <item x="1267"/>
        <item x="1216"/>
        <item x="1186"/>
        <item x="643"/>
        <item x="634"/>
        <item x="127"/>
        <item x="823"/>
        <item x="782"/>
        <item x="103"/>
        <item x="445"/>
        <item x="682"/>
        <item x="1039"/>
        <item x="616"/>
        <item x="191"/>
        <item x="1192"/>
        <item x="487"/>
        <item x="398"/>
        <item x="1291"/>
        <item x="1003"/>
        <item x="2014"/>
        <item x="70"/>
        <item x="172"/>
        <item x="98"/>
        <item x="673"/>
        <item x="1420"/>
        <item x="1336"/>
        <item x="1052"/>
        <item x="121"/>
        <item x="1507"/>
        <item x="1406"/>
        <item x="964"/>
        <item x="82"/>
        <item x="383"/>
        <item x="961"/>
        <item x="604"/>
        <item x="107"/>
        <item x="100"/>
        <item x="1204"/>
        <item x="145"/>
        <item x="463"/>
        <item x="478"/>
        <item x="1651"/>
        <item x="395"/>
        <item x="178"/>
        <item x="700"/>
        <item x="5"/>
        <item x="1843"/>
        <item x="646"/>
        <item x="139"/>
        <item x="421"/>
        <item x="328"/>
        <item x="1234"/>
        <item x="526"/>
        <item x="1321"/>
        <item x="1762"/>
        <item x="1723"/>
        <item x="334"/>
        <item x="1804"/>
        <item x="358"/>
        <item x="1141"/>
        <item x="49"/>
        <item x="1024"/>
        <item x="1009"/>
        <item x="809"/>
        <item x="137"/>
        <item x="706"/>
        <item x="689"/>
        <item x="1534"/>
        <item x="1918"/>
        <item x="415"/>
        <item x="83"/>
        <item x="278"/>
        <item x="238"/>
        <item x="388"/>
        <item x="1865"/>
        <item x="8"/>
        <item x="1144"/>
        <item x="721"/>
        <item x="923"/>
        <item x="1733"/>
        <item x="745"/>
        <item x="733"/>
        <item x="454"/>
        <item x="1148"/>
        <item x="104"/>
        <item x="370"/>
        <item x="116"/>
        <item x="1810"/>
        <item x="724"/>
        <item x="718"/>
        <item x="1876"/>
        <item x="1780"/>
        <item x="56"/>
        <item x="1459"/>
        <item x="128"/>
        <item x="299"/>
        <item x="1645"/>
        <item x="1859"/>
        <item x="542"/>
        <item x="1127"/>
        <item x="1940"/>
        <item x="1069"/>
        <item x="1213"/>
        <item x="757"/>
        <item x="493"/>
        <item x="313"/>
        <item x="401"/>
        <item x="814"/>
        <item x="1369"/>
        <item x="1702"/>
        <item x="977"/>
        <item x="119"/>
        <item x="1300"/>
        <item x="1784"/>
        <item x="1735"/>
        <item x="1139"/>
        <item x="1510"/>
        <item x="1894"/>
        <item x="1225"/>
        <item x="1640"/>
        <item x="1570"/>
        <item x="649"/>
        <item x="293"/>
        <item x="311"/>
        <item x="1658"/>
        <item x="1252"/>
        <item x="389"/>
        <item x="251"/>
        <item x="1318"/>
        <item x="1486"/>
        <item x="224"/>
        <item x="1807"/>
        <item x="1741"/>
        <item x="514"/>
        <item x="122"/>
        <item x="1072"/>
        <item x="392"/>
        <item x="133"/>
        <item x="1879"/>
        <item x="1441"/>
        <item x="1850"/>
        <item x="58"/>
        <item x="1078"/>
        <item x="1786"/>
        <item x="467"/>
        <item x="1276"/>
        <item x="1115"/>
        <item x="1672"/>
        <item x="134"/>
        <item x="496"/>
        <item x="1579"/>
        <item x="499"/>
        <item x="1135"/>
        <item x="800"/>
        <item x="371"/>
        <item x="233"/>
        <item x="148"/>
        <item x="439"/>
        <item x="1861"/>
        <item x="20"/>
        <item x="1175"/>
        <item x="1191"/>
        <item x="907"/>
        <item x="1567"/>
        <item x="827"/>
        <item x="281"/>
        <item x="296"/>
        <item x="1981"/>
        <item x="1130"/>
        <item x="1376"/>
        <item x="1258"/>
        <item x="1271"/>
        <item x="875"/>
        <item x="696"/>
        <item x="1927"/>
        <item x="1469"/>
        <item x="43"/>
        <item x="1390"/>
        <item x="946"/>
        <item x="1343"/>
        <item x="409"/>
        <item x="331"/>
        <item x="1701"/>
        <item x="266"/>
        <item x="656"/>
        <item x="1460"/>
        <item x="1006"/>
        <item x="1841"/>
        <item x="248"/>
        <item x="64"/>
        <item x="386"/>
        <item x="1303"/>
        <item x="1123"/>
        <item x="565"/>
        <item x="1340"/>
        <item x="166"/>
        <item x="1606"/>
        <item x="77"/>
        <item x="1010"/>
        <item x="571"/>
        <item x="640"/>
        <item x="1397"/>
        <item x="203"/>
        <item x="404"/>
        <item x="125"/>
        <item x="352"/>
        <item x="1691"/>
        <item x="730"/>
        <item x="308"/>
        <item x="452"/>
        <item x="796"/>
        <item x="1457"/>
        <item x="965"/>
        <item x="455"/>
        <item x="215"/>
        <item x="562"/>
        <item x="1832"/>
        <item x="1663"/>
        <item x="1601"/>
        <item x="1657"/>
        <item x="436"/>
        <item x="1099"/>
        <item x="188"/>
        <item x="887"/>
        <item x="416"/>
        <item x="1499"/>
        <item x="1015"/>
        <item x="407"/>
        <item x="857"/>
        <item x="1820"/>
        <item x="854"/>
        <item x="890"/>
        <item x="1847"/>
        <item x="736"/>
        <item x="1934"/>
        <item x="958"/>
        <item x="1472"/>
        <item x="1107"/>
        <item x="764"/>
        <item x="80"/>
        <item x="1474"/>
        <item x="772"/>
        <item x="1210"/>
        <item x="1181"/>
        <item x="511"/>
        <item x="775"/>
        <item x="1403"/>
        <item x="803"/>
        <item x="529"/>
        <item x="1159"/>
        <item x="1394"/>
        <item x="1160"/>
        <item x="612"/>
        <item x="601"/>
        <item x="991"/>
        <item x="1199"/>
        <item x="1166"/>
        <item x="44"/>
        <item x="1628"/>
        <item x="922"/>
        <item x="1756"/>
        <item x="1187"/>
        <item x="1858"/>
        <item x="1367"/>
        <item x="697"/>
        <item x="346"/>
        <item x="1453"/>
        <item x="1274"/>
        <item x="242"/>
        <item x="1676"/>
        <item x="1147"/>
        <item x="151"/>
        <item x="815"/>
        <item x="574"/>
        <item x="979"/>
        <item x="314"/>
        <item x="818"/>
        <item x="623"/>
        <item x="1673"/>
        <item x="686"/>
        <item x="1273"/>
        <item x="716"/>
        <item x="1849"/>
        <item x="1502"/>
        <item x="1151"/>
        <item x="481"/>
        <item x="937"/>
        <item x="1073"/>
        <item x="284"/>
        <item x="860"/>
        <item x="842"/>
        <item x="908"/>
        <item x="469"/>
        <item x="1937"/>
        <item x="1042"/>
        <item x="332"/>
        <item x="1694"/>
        <item x="1153"/>
        <item x="1493"/>
        <item x="1118"/>
        <item x="732"/>
        <item x="38"/>
        <item x="79"/>
        <item x="239"/>
        <item x="1040"/>
        <item x="884"/>
        <item x="14"/>
        <item x="326"/>
        <item x="413"/>
        <item x="140"/>
        <item x="344"/>
        <item x="1976"/>
        <item x="1235"/>
        <item x="206"/>
        <item x="1695"/>
        <item x="287"/>
        <item x="1385"/>
        <item x="1537"/>
        <item x="1211"/>
        <item x="635"/>
        <item x="1856"/>
        <item x="1844"/>
        <item x="505"/>
        <item x="1346"/>
        <item x="781"/>
        <item x="1259"/>
        <item x="1835"/>
        <item x="1868"/>
        <item x="329"/>
        <item x="1811"/>
        <item x="1589"/>
        <item x="410"/>
        <item x="74"/>
        <item x="1418"/>
        <item x="872"/>
        <item x="272"/>
        <item x="1617"/>
        <item x="756"/>
        <item x="41"/>
        <item x="1508"/>
        <item x="728"/>
        <item x="912"/>
        <item x="2003"/>
        <item x="1283"/>
        <item x="356"/>
        <item x="1079"/>
        <item x="1251"/>
        <item x="1986"/>
        <item x="1970"/>
        <item x="836"/>
        <item x="260"/>
        <item x="532"/>
        <item x="950"/>
        <item x="362"/>
        <item x="1379"/>
        <item x="1355"/>
        <item x="1985"/>
        <item x="779"/>
        <item x="627"/>
        <item x="671"/>
        <item x="1696"/>
        <item x="902"/>
        <item x="983"/>
        <item x="1122"/>
        <item x="1550"/>
        <item x="653"/>
        <item x="1541"/>
        <item x="1643"/>
        <item x="218"/>
        <item x="1013"/>
        <item x="1862"/>
        <item x="1649"/>
        <item x="1058"/>
        <item x="1669"/>
        <item x="1246"/>
        <item x="368"/>
        <item x="1652"/>
        <item x="464"/>
        <item x="516"/>
        <item x="1026"/>
        <item x="179"/>
        <item x="680"/>
        <item x="1227"/>
        <item x="2000"/>
        <item x="1410"/>
        <item x="2006"/>
        <item x="1943"/>
        <item x="1580"/>
        <item x="1571"/>
        <item x="427"/>
        <item x="1826"/>
        <item x="1358"/>
        <item x="1595"/>
        <item x="1693"/>
        <item x="555"/>
        <item x="440"/>
        <item x="1442"/>
        <item x="1616"/>
        <item x="869"/>
        <item x="302"/>
        <item x="437"/>
        <item x="1808"/>
        <item x="1065"/>
        <item x="1922"/>
        <item x="1632"/>
        <item x="1223"/>
        <item x="1133"/>
        <item x="561"/>
        <item x="167"/>
        <item x="1373"/>
        <item x="2012"/>
        <item x="1070"/>
        <item x="1478"/>
        <item x="1631"/>
        <item x="1769"/>
        <item x="217"/>
        <item x="1068"/>
        <item x="1433"/>
        <item x="1184"/>
        <item x="68"/>
        <item x="1109"/>
        <item x="1200"/>
        <item x="1853"/>
        <item x="263"/>
        <item x="47"/>
        <item x="1592"/>
        <item x="947"/>
        <item x="920"/>
        <item x="1783"/>
        <item x="1466"/>
        <item x="1761"/>
        <item x="1521"/>
        <item x="1154"/>
        <item x="692"/>
        <item x="986"/>
        <item x="1925"/>
        <item x="1751"/>
        <item x="1007"/>
        <item x="1523"/>
        <item x="839"/>
        <item x="1514"/>
        <item x="658"/>
        <item x="566"/>
        <item x="1577"/>
        <item x="1183"/>
        <item x="705"/>
        <item x="1931"/>
        <item x="1055"/>
        <item x="1182"/>
        <item x="1142"/>
        <item x="1952"/>
        <item x="1748"/>
        <item x="1566"/>
        <item x="182"/>
        <item x="638"/>
        <item x="905"/>
        <item x="788"/>
        <item x="1517"/>
        <item x="1661"/>
        <item x="575"/>
        <item x="591"/>
        <item x="227"/>
        <item x="1391"/>
        <item x="1560"/>
        <item x="821"/>
        <item x="1946"/>
        <item x="377"/>
        <item x="687"/>
        <item x="834"/>
        <item x="1121"/>
        <item x="1451"/>
        <item x="632"/>
        <item x="824"/>
        <item x="1241"/>
        <item x="197"/>
        <item x="1412"/>
        <item x="1710"/>
        <item x="1772"/>
        <item x="1989"/>
        <item x="1262"/>
        <item x="878"/>
        <item x="1270"/>
        <item x="1737"/>
        <item x="1553"/>
        <item x="1106"/>
        <item x="1955"/>
        <item x="1664"/>
        <item x="987"/>
        <item x="477"/>
        <item x="1028"/>
        <item x="221"/>
        <item x="1091"/>
        <item x="1400"/>
        <item x="974"/>
        <item x="1659"/>
        <item x="89"/>
        <item x="257"/>
        <item x="26"/>
        <item x="2001"/>
        <item x="1077"/>
        <item x="494"/>
        <item x="1760"/>
        <item x="1088"/>
        <item x="776"/>
        <item x="664"/>
        <item x="245"/>
        <item x="639"/>
        <item x="1092"/>
        <item x="1775"/>
        <item x="956"/>
        <item x="212"/>
        <item x="1388"/>
        <item x="833"/>
        <item x="1679"/>
        <item x="998"/>
        <item x="2"/>
        <item x="365"/>
        <item x="863"/>
        <item x="1742"/>
        <item x="767"/>
        <item x="851"/>
        <item x="648"/>
        <item x="275"/>
        <item x="927"/>
        <item x="1692"/>
        <item x="336"/>
        <item x="1562"/>
        <item x="1422"/>
        <item x="417"/>
        <item x="1988"/>
        <item x="1721"/>
        <item x="335"/>
        <item x="688"/>
        <item x="935"/>
        <item x="665"/>
        <item x="1134"/>
        <item x="50"/>
        <item x="136"/>
        <item x="620"/>
        <item x="911"/>
        <item x="1682"/>
        <item x="1266"/>
        <item x="573"/>
        <item x="483"/>
        <item x="1004"/>
        <item x="1806"/>
        <item x="1767"/>
        <item x="971"/>
        <item x="1817"/>
        <item x="684"/>
        <item x="1685"/>
        <item x="1529"/>
        <item x="1907"/>
        <item x="1568"/>
        <item x="1427"/>
        <item x="1413"/>
        <item x="1265"/>
        <item x="451"/>
        <item x="1793"/>
        <item x="1145"/>
        <item x="572"/>
        <item x="1143"/>
        <item x="1578"/>
        <item x="1805"/>
        <item x="1370"/>
        <item x="1503"/>
        <item x="1349"/>
        <item x="497"/>
        <item x="1712"/>
        <item x="1254"/>
        <item x="636"/>
        <item x="1671"/>
        <item x="1481"/>
        <item x="2013"/>
        <item x="1482"/>
        <item x="374"/>
        <item x="614"/>
        <item x="1179"/>
        <item x="545"/>
        <item x="1505"/>
        <item x="1019"/>
        <item x="866"/>
        <item x="1956"/>
        <item x="507"/>
        <item x="759"/>
        <item x="1424"/>
        <item x="1415"/>
        <item x="1653"/>
        <item x="1067"/>
        <item x="932"/>
        <item x="35"/>
        <item x="1596"/>
        <item x="848"/>
        <item x="1463"/>
        <item x="1064"/>
        <item x="752"/>
        <item x="740"/>
        <item x="1430"/>
        <item x="341"/>
        <item x="914"/>
        <item x="290"/>
        <item x="86"/>
        <item x="1169"/>
        <item x="1689"/>
        <item x="647"/>
        <item x="906"/>
        <item x="236"/>
        <item x="1194"/>
        <item x="993"/>
        <item x="1556"/>
        <item x="1559"/>
        <item x="209"/>
        <item x="1997"/>
        <item x="1526"/>
        <item x="1982"/>
        <item x="1610"/>
        <item x="917"/>
        <item x="948"/>
        <item x="1697"/>
        <item x="1973"/>
        <item x="1359"/>
        <item x="1496"/>
        <item x="746"/>
        <item x="1848"/>
        <item x="587"/>
        <item x="812"/>
        <item x="2009"/>
        <item x="1202"/>
        <item x="903"/>
        <item x="1683"/>
        <item x="669"/>
        <item x="518"/>
        <item x="176"/>
        <item x="1017"/>
        <item x="1419"/>
        <item x="1131"/>
        <item x="1644"/>
        <item x="554"/>
        <item x="53"/>
        <item x="659"/>
        <item x="777"/>
        <item x="771"/>
        <item x="1994"/>
        <item x="1196"/>
        <item x="1409"/>
        <item x="1709"/>
        <item x="258"/>
        <item x="1448"/>
        <item x="929"/>
        <item x="330"/>
        <item x="1416"/>
        <item x="1864"/>
        <item x="1776"/>
        <item x="1334"/>
        <item x="1764"/>
        <item x="1164"/>
        <item x="1272"/>
        <item x="1967"/>
        <item x="1034"/>
        <item x="909"/>
        <item x="513"/>
        <item x="1488"/>
        <item x="1014"/>
        <item x="1704"/>
        <item x="1619"/>
        <item x="1977"/>
        <item x="765"/>
        <item x="1232"/>
        <item x="130"/>
        <item x="864"/>
        <item x="699"/>
        <item x="1655"/>
        <item x="1178"/>
        <item x="1250"/>
        <item x="608"/>
        <item x="738"/>
        <item x="1791"/>
        <item x="305"/>
        <item x="626"/>
        <item x="323"/>
        <item x="473"/>
        <item x="557"/>
        <item x="564"/>
        <item x="1061"/>
        <item x="1779"/>
        <item x="768"/>
        <item x="1544"/>
        <item x="1814"/>
        <item x="1895"/>
        <item x="1979"/>
        <item x="1535"/>
        <item x="1076"/>
        <item x="1845"/>
        <item x="1155"/>
        <item x="1071"/>
        <item x="674"/>
        <item x="1361"/>
        <item x="1364"/>
        <item x="1908"/>
        <item x="1913"/>
        <item x="1140"/>
        <item x="1445"/>
        <item x="1532"/>
        <item x="503"/>
        <item x="1910"/>
        <item x="1331"/>
        <item x="1707"/>
        <item x="588"/>
        <item x="1604"/>
        <item x="755"/>
        <item x="501"/>
        <item x="1674"/>
        <item x="1022"/>
        <item x="1706"/>
        <item x="1074"/>
        <item x="1011"/>
        <item x="1238"/>
        <item x="972"/>
        <item x="1965"/>
        <item x="1739"/>
        <item x="42"/>
        <item x="1407"/>
        <item x="837"/>
        <item x="1715"/>
        <item x="1332"/>
        <item x="1209"/>
        <item x="1520"/>
        <item x="881"/>
        <item x="1089"/>
        <item x="968"/>
        <item x="1961"/>
        <item x="567"/>
        <item x="338"/>
        <item x="333"/>
        <item x="569"/>
        <item x="1095"/>
        <item x="590"/>
        <item x="1208"/>
        <item x="1008"/>
        <item x="1569"/>
        <item x="207"/>
        <item x="185"/>
        <item x="915"/>
        <item x="1197"/>
        <item x="1898"/>
        <item x="960"/>
        <item x="899"/>
        <item x="1001"/>
        <item x="660"/>
        <item x="1727"/>
        <item x="1778"/>
        <item x="17"/>
        <item x="1319"/>
        <item x="1766"/>
        <item x="1809"/>
        <item x="563"/>
        <item x="446"/>
        <item x="1593"/>
        <item x="1991"/>
        <item x="1958"/>
        <item x="1217"/>
        <item x="1928"/>
        <item x="995"/>
        <item x="597"/>
        <item x="1263"/>
        <item x="707"/>
        <item x="1049"/>
        <item x="1256"/>
        <item x="645"/>
        <item x="354"/>
        <item x="1268"/>
        <item x="584"/>
        <item x="1637"/>
        <item x="1602"/>
        <item x="78"/>
        <item x="710"/>
        <item x="1572"/>
        <item x="461"/>
        <item x="1670"/>
        <item x="1718"/>
        <item x="1598"/>
        <item x="170"/>
        <item x="1439"/>
        <item x="1260"/>
        <item x="1362"/>
        <item x="600"/>
        <item x="531"/>
        <item x="71"/>
        <item x="1574"/>
        <item x="504"/>
        <item x="1436"/>
        <item x="1607"/>
        <item x="1083"/>
        <item x="1188"/>
        <item x="458"/>
        <item x="1098"/>
        <item x="1506"/>
        <item x="743"/>
        <item x="1094"/>
        <item x="509"/>
        <item x="615"/>
        <item x="1563"/>
        <item x="425"/>
        <item x="701"/>
        <item x="761"/>
        <item x="693"/>
        <item x="579"/>
        <item x="32"/>
        <item x="630"/>
        <item x="1172"/>
        <item x="1565"/>
        <item x="1205"/>
        <item x="551"/>
        <item x="1509"/>
        <item x="359"/>
        <item x="1322"/>
        <item x="420"/>
        <item x="422"/>
        <item x="1773"/>
        <item x="1698"/>
        <item x="1599"/>
        <item x="585"/>
        <item x="1110"/>
        <item x="713"/>
        <item x="1754"/>
        <item x="1916"/>
        <item x="1650"/>
        <item x="530"/>
        <item x="288"/>
        <item x="677"/>
        <item x="1041"/>
        <item x="320"/>
        <item x="1611"/>
        <item x="1037"/>
        <item x="1086"/>
        <item x="840"/>
        <item x="1731"/>
        <item x="1770"/>
        <item x="1587"/>
        <item x="969"/>
        <item x="989"/>
        <item x="1665"/>
        <item x="1815"/>
        <item x="1782"/>
        <item x="1719"/>
        <item x="1647"/>
        <item x="1584"/>
        <item x="879"/>
        <item x="539"/>
        <item x="999"/>
        <item x="683"/>
        <item x="843"/>
        <item x="1025"/>
        <item x="1484"/>
        <item x="1590"/>
        <item x="549"/>
        <item x="1625"/>
        <item x="1031"/>
        <item x="896"/>
        <item x="924"/>
        <item x="1641"/>
        <item x="891"/>
        <item x="650"/>
        <item x="611"/>
        <item x="1974"/>
        <item x="1935"/>
        <item x="444"/>
        <item x="675"/>
        <item x="1425"/>
        <item x="66"/>
        <item x="1374"/>
        <item x="543"/>
        <item x="1605"/>
        <item x="434"/>
        <item x="1812"/>
        <item x="1512"/>
        <item x="1743"/>
        <item x="1032"/>
        <item x="954"/>
        <item x="737"/>
        <item x="921"/>
        <item x="1902"/>
        <item x="1586"/>
        <item x="459"/>
        <item x="1575"/>
        <item x="1839"/>
        <item x="0"/>
        <item x="953"/>
        <item x="327"/>
        <item x="360"/>
        <item x="888"/>
        <item x="489"/>
        <item x="1851"/>
        <item x="1100"/>
        <item x="885"/>
        <item x="644"/>
        <item x="741"/>
        <item x="1454"/>
        <item x="624"/>
        <item x="750"/>
        <item x="339"/>
        <item x="1620"/>
        <item x="1490"/>
        <item x="1703"/>
        <item x="1053"/>
        <item x="633"/>
        <item x="831"/>
        <item x="1152"/>
        <item x="1103"/>
        <item x="1464"/>
        <item x="441"/>
        <item x="930"/>
        <item x="419"/>
        <item x="1020"/>
        <item x="1119"/>
        <item x="51"/>
        <item x="1536"/>
        <item x="657"/>
        <item x="1629"/>
        <item x="1116"/>
        <item x="180"/>
        <item x="722"/>
        <item x="369"/>
        <item x="1229"/>
        <item x="1980"/>
        <item x="882"/>
        <item x="1932"/>
        <item x="1128"/>
        <item x="951"/>
        <item x="1548"/>
        <item x="1328"/>
        <item x="900"/>
        <item x="1323"/>
        <item x="210"/>
        <item x="1941"/>
        <item x="1365"/>
        <item x="1854"/>
        <item x="261"/>
        <item x="770"/>
        <item x="944"/>
        <item x="1494"/>
        <item x="1458"/>
        <item x="48"/>
        <item x="1923"/>
        <item x="408"/>
        <item x="357"/>
        <item x="1236"/>
        <item x="1146"/>
        <item x="981"/>
        <item x="652"/>
        <item x="1389"/>
        <item x="540"/>
        <item x="798"/>
        <item x="962"/>
        <item x="773"/>
        <item x="621"/>
        <item x="1337"/>
        <item x="1755"/>
        <item x="315"/>
        <item x="1842"/>
        <item x="303"/>
        <item x="264"/>
        <item x="423"/>
        <item x="173"/>
        <item x="780"/>
        <item x="980"/>
        <item x="605"/>
        <item x="1626"/>
        <item x="1830"/>
        <item x="479"/>
        <item x="672"/>
        <item x="519"/>
        <item x="1533"/>
        <item x="1518"/>
        <item x="1221"/>
        <item x="45"/>
        <item x="485"/>
        <item x="267"/>
        <item x="933"/>
        <item x="1656"/>
        <item x="666"/>
        <item x="1475"/>
        <item x="1746"/>
        <item x="1449"/>
        <item x="813"/>
        <item x="1097"/>
        <item x="1029"/>
        <item x="749"/>
        <item x="762"/>
        <item x="1341"/>
        <item x="1167"/>
        <item x="593"/>
        <item x="1383"/>
        <item x="778"/>
        <item x="269"/>
        <item x="1173"/>
        <item x="1038"/>
        <item x="1638"/>
        <item x="1446"/>
        <item x="309"/>
        <item x="1803"/>
        <item x="1244"/>
        <item x="1781"/>
        <item x="1239"/>
        <item x="1919"/>
        <item x="222"/>
        <item x="596"/>
        <item x="528"/>
        <item x="1662"/>
        <item x="1833"/>
        <item x="312"/>
        <item x="1059"/>
        <item x="1968"/>
        <item x="372"/>
        <item x="27"/>
        <item x="1749"/>
        <item x="744"/>
        <item x="1944"/>
        <item x="1824"/>
        <item x="1023"/>
        <item x="1401"/>
        <item x="603"/>
        <item x="15"/>
        <item x="515"/>
        <item x="1530"/>
        <item x="1998"/>
        <item x="918"/>
        <item x="1233"/>
        <item x="443"/>
        <item x="491"/>
        <item x="729"/>
        <item x="1347"/>
        <item x="963"/>
        <item x="1634"/>
        <item x="1193"/>
        <item x="1688"/>
        <item x="1050"/>
        <item x="453"/>
        <item x="2004"/>
        <item x="1476"/>
        <item x="468"/>
        <item x="1149"/>
        <item x="1170"/>
        <item x="1275"/>
        <item x="1524"/>
        <item x="1101"/>
        <item x="1325"/>
        <item x="1137"/>
        <item x="936"/>
        <item x="1527"/>
        <item x="525"/>
        <item x="1904"/>
        <item x="521"/>
        <item x="255"/>
        <item x="194"/>
        <item x="1677"/>
        <item x="1785"/>
        <item x="1035"/>
        <item x="941"/>
        <item x="1554"/>
        <item x="599"/>
        <item x="375"/>
        <item x="213"/>
        <item x="1836"/>
        <item x="845"/>
        <item x="1326"/>
        <item x="189"/>
        <item x="471"/>
        <item x="1185"/>
        <item x="480"/>
        <item x="984"/>
        <item x="602"/>
        <item x="1224"/>
        <item x="1875"/>
        <item x="1857"/>
        <item x="1245"/>
        <item x="1344"/>
        <item x="1827"/>
        <item x="237"/>
        <item x="1734"/>
        <item x="957"/>
        <item x="1860"/>
        <item x="405"/>
        <item x="1878"/>
        <item x="81"/>
        <item x="414"/>
        <item x="24"/>
        <item x="1113"/>
        <item x="348"/>
        <item x="996"/>
        <item x="399"/>
        <item x="84"/>
        <item x="990"/>
        <item x="324"/>
        <item x="720"/>
        <item x="69"/>
        <item x="1338"/>
        <item x="1551"/>
        <item x="1299"/>
        <item x="606"/>
        <item x="1230"/>
        <item x="1953"/>
        <item x="1545"/>
        <item x="1404"/>
        <item x="1608"/>
        <item x="825"/>
        <item x="306"/>
        <item x="120"/>
        <item x="1896"/>
        <item x="447"/>
        <item x="698"/>
        <item x="390"/>
        <item x="876"/>
        <item x="1302"/>
        <item x="735"/>
        <item x="1487"/>
        <item x="807"/>
        <item x="1104"/>
        <item x="1158"/>
        <item x="708"/>
        <item x="1085"/>
        <item x="1539"/>
        <item x="21"/>
        <item x="1646"/>
        <item x="62"/>
        <item x="1428"/>
        <item x="39"/>
        <item x="783"/>
        <item x="1215"/>
        <item x="231"/>
        <item x="1962"/>
        <item x="1257"/>
        <item x="870"/>
        <item x="734"/>
        <item x="1125"/>
        <item x="1473"/>
        <item x="1287"/>
        <item x="1950"/>
        <item x="1740"/>
        <item x="1353"/>
        <item x="1356"/>
        <item x="87"/>
        <item x="1157"/>
        <item x="711"/>
        <item x="992"/>
        <item x="1899"/>
        <item x="411"/>
        <item x="1485"/>
        <item x="72"/>
        <item x="1680"/>
        <item x="393"/>
        <item x="651"/>
        <item x="828"/>
        <item x="1161"/>
        <item x="1667"/>
        <item x="609"/>
        <item x="36"/>
        <item x="792"/>
        <item x="1421"/>
        <item x="470"/>
        <item x="1614"/>
        <item x="102"/>
        <item x="300"/>
        <item x="678"/>
        <item x="978"/>
        <item x="111"/>
        <item x="351"/>
        <item x="174"/>
        <item x="1320"/>
        <item x="1278"/>
        <item x="1788"/>
        <item x="1881"/>
        <item x="249"/>
        <item x="426"/>
        <item x="1800"/>
        <item x="1797"/>
        <item x="431"/>
        <item x="1863"/>
        <item x="2015"/>
        <item x="1887"/>
        <item x="498"/>
        <item x="873"/>
        <item x="117"/>
        <item x="1725"/>
        <item x="350"/>
        <item x="1515"/>
        <item x="126"/>
        <item x="60"/>
        <item x="581"/>
        <item x="366"/>
        <item x="1206"/>
        <item x="294"/>
        <item x="1893"/>
        <item x="1668"/>
        <item x="1901"/>
        <item x="12"/>
        <item x="1290"/>
        <item x="147"/>
        <item x="1905"/>
        <item x="1218"/>
        <item x="1983"/>
        <item x="1380"/>
        <item x="1311"/>
        <item x="353"/>
        <item x="129"/>
        <item x="18"/>
        <item x="1317"/>
        <item x="714"/>
        <item x="867"/>
        <item x="123"/>
        <item x="510"/>
        <item x="1917"/>
        <item x="384"/>
        <item x="363"/>
        <item x="171"/>
        <item x="75"/>
        <item x="582"/>
        <item x="1281"/>
        <item x="396"/>
        <item x="63"/>
        <item x="482"/>
        <item x="1305"/>
        <item x="663"/>
        <item x="1866"/>
        <item x="1716"/>
        <item x="804"/>
        <item x="195"/>
        <item x="1392"/>
        <item x="432"/>
        <item x="1253"/>
        <item x="252"/>
        <item x="723"/>
        <item x="402"/>
        <item x="345"/>
        <item x="816"/>
        <item x="1872"/>
        <item x="938"/>
        <item x="1728"/>
        <item x="795"/>
        <item x="1047"/>
        <item x="662"/>
        <item x="690"/>
        <item x="150"/>
        <item x="1329"/>
        <item x="546"/>
        <item x="1890"/>
        <item x="6"/>
        <item x="552"/>
        <item x="1992"/>
        <item x="192"/>
        <item x="1635"/>
        <item x="1269"/>
        <item x="387"/>
        <item x="1542"/>
        <item x="1377"/>
        <item x="342"/>
        <item x="228"/>
        <item x="65"/>
        <item x="1136"/>
        <item x="168"/>
        <item x="105"/>
        <item x="1124"/>
        <item x="527"/>
        <item x="204"/>
        <item x="201"/>
        <item x="1062"/>
        <item x="537"/>
        <item x="57"/>
        <item x="726"/>
        <item x="1296"/>
        <item x="654"/>
        <item x="1335"/>
        <item x="1757"/>
        <item x="594"/>
        <item x="240"/>
        <item x="462"/>
        <item x="1959"/>
        <item x="1763"/>
        <item x="618"/>
        <item x="291"/>
        <item x="1452"/>
        <item x="1314"/>
        <item x="641"/>
        <item x="96"/>
        <item x="629"/>
        <item x="159"/>
        <item x="108"/>
        <item x="1203"/>
        <item x="942"/>
        <item x="570"/>
        <item x="1080"/>
        <item x="522"/>
        <item x="576"/>
        <item x="1713"/>
        <item x="1557"/>
        <item x="758"/>
        <item x="1926"/>
        <item x="1368"/>
        <item x="486"/>
        <item x="1581"/>
        <item x="897"/>
        <item x="438"/>
        <item x="450"/>
        <item x="99"/>
        <item x="926"/>
        <item x="1623"/>
        <item x="959"/>
        <item x="1794"/>
        <item x="717"/>
        <item x="225"/>
        <item x="1284"/>
        <item x="1884"/>
        <item x="558"/>
        <item x="144"/>
        <item x="1538"/>
        <item x="3"/>
        <item x="1395"/>
        <item x="789"/>
        <item x="186"/>
        <item x="642"/>
        <item x="894"/>
        <item x="1622"/>
        <item x="774"/>
        <item x="1043"/>
        <item x="801"/>
        <item x="132"/>
        <item x="1350"/>
        <item x="135"/>
        <item x="54"/>
        <item x="1971"/>
        <item x="162"/>
        <item x="165"/>
        <item x="321"/>
        <item x="114"/>
        <item x="1386"/>
        <item x="153"/>
        <item x="819"/>
        <item x="138"/>
        <item x="177"/>
        <item x="1437"/>
        <item x="1112"/>
        <item x="966"/>
        <item x="456"/>
        <item x="216"/>
        <item x="318"/>
        <item x="534"/>
        <item x="1308"/>
        <item x="1947"/>
        <item x="449"/>
        <item x="243"/>
        <item x="1745"/>
        <item x="156"/>
        <item x="33"/>
        <item x="810"/>
        <item x="1914"/>
        <item x="533"/>
        <item x="1248"/>
        <item x="429"/>
        <item x="183"/>
        <item x="681"/>
        <item x="1758"/>
        <item x="753"/>
        <item x="1995"/>
        <item x="1176"/>
        <item x="30"/>
        <item x="1443"/>
        <item x="1686"/>
        <item x="1461"/>
        <item x="1929"/>
        <item x="786"/>
        <item x="2010"/>
        <item x="234"/>
        <item x="939"/>
        <item x="1212"/>
        <item x="198"/>
        <item x="617"/>
        <item x="1491"/>
        <item x="495"/>
        <item x="1722"/>
        <item x="849"/>
        <item x="1371"/>
        <item x="1869"/>
        <item x="1398"/>
        <item x="465"/>
        <item x="1005"/>
        <item x="1293"/>
        <item x="1352"/>
        <item x="1434"/>
        <item x="219"/>
        <item x="822"/>
        <item x="975"/>
        <item x="1911"/>
        <item x="861"/>
        <item x="1470"/>
        <item x="474"/>
        <item x="1016"/>
        <item x="1431"/>
        <item x="435"/>
        <item x="285"/>
        <item x="141"/>
        <item x="1938"/>
        <item x="297"/>
        <item x="1467"/>
        <item x="846"/>
        <item x="506"/>
        <item x="9"/>
        <item x="945"/>
        <item x="1511"/>
        <item x="246"/>
        <item x="273"/>
        <item x="270"/>
        <item x="1949"/>
        <item x="702"/>
        <item x="747"/>
        <item x="1440"/>
        <item x="200"/>
        <item x="1242"/>
        <item x="855"/>
        <item x="1500"/>
        <item x="704"/>
        <item x="279"/>
        <item x="1752"/>
        <item x="1920"/>
        <item x="2007"/>
        <item x="1583"/>
        <item x="1821"/>
        <item x="93"/>
        <item x="1455"/>
        <item x="1479"/>
        <item x="276"/>
        <item x="852"/>
        <item x="492"/>
        <item x="1002"/>
        <item x="1056"/>
        <item x="1497"/>
        <item x="378"/>
        <item x="282"/>
        <item x="1818"/>
        <item x="858"/>
        <item x="1082"/>
        <item x="578"/>
        <item x="381"/>
        <item x="90"/>
        <item x="1044"/>
        <item x="2016"/>
        <item t="default"/>
      </items>
    </pivotField>
  </pivotFields>
  <rowFields count="1">
    <field x="2"/>
  </rowFields>
  <rowItems count="11">
    <i>
      <x v="56"/>
    </i>
    <i>
      <x v="82"/>
    </i>
    <i>
      <x v="89"/>
    </i>
    <i>
      <x v="4"/>
    </i>
    <i>
      <x v="97"/>
    </i>
    <i>
      <x v="33"/>
    </i>
    <i>
      <x v="77"/>
    </i>
    <i>
      <x v="76"/>
    </i>
    <i>
      <x v="12"/>
    </i>
    <i>
      <x v="73"/>
    </i>
    <i t="grand">
      <x/>
    </i>
  </rowItems>
  <colItems count="1">
    <i/>
  </colItems>
  <pageFields count="1">
    <pageField fld="3" hier="-1"/>
  </pageFields>
  <dataFields count="1">
    <dataField name="Somme de TONNAGE_T_HG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9C58DB-0233-458E-875A-88D0C4C90657}" name="Tableau croisé dynamique2" cacheId="1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3">
  <location ref="A1:E10" firstHeaderRow="1" firstDataRow="2" firstDataCol="1"/>
  <pivotFields count="7">
    <pivotField axis="axisRow" showAll="0">
      <items count="8">
        <item x="0"/>
        <item x="1"/>
        <item x="3"/>
        <item x="6"/>
        <item x="5"/>
        <item x="4"/>
        <item x="2"/>
        <item t="default"/>
      </items>
    </pivotField>
    <pivotField showAll="0"/>
    <pivotField showAll="0">
      <items count="105">
        <item x="0"/>
        <item x="42"/>
        <item x="1"/>
        <item x="90"/>
        <item x="92"/>
        <item x="2"/>
        <item x="32"/>
        <item x="72"/>
        <item x="33"/>
        <item x="73"/>
        <item x="74"/>
        <item x="39"/>
        <item x="93"/>
        <item x="55"/>
        <item x="3"/>
        <item x="60"/>
        <item x="61"/>
        <item x="24"/>
        <item x="62"/>
        <item x="30"/>
        <item x="12"/>
        <item x="20"/>
        <item x="63"/>
        <item x="69"/>
        <item x="64"/>
        <item x="13"/>
        <item x="4"/>
        <item x="50"/>
        <item x="56"/>
        <item x="25"/>
        <item x="21"/>
        <item x="75"/>
        <item x="77"/>
        <item x="65"/>
        <item x="96"/>
        <item x="98"/>
        <item x="31"/>
        <item x="76"/>
        <item x="7"/>
        <item x="35"/>
        <item x="91"/>
        <item x="16"/>
        <item x="11"/>
        <item x="81"/>
        <item x="71"/>
        <item x="40"/>
        <item x="51"/>
        <item x="78"/>
        <item x="22"/>
        <item x="26"/>
        <item x="27"/>
        <item x="5"/>
        <item x="14"/>
        <item x="99"/>
        <item x="66"/>
        <item x="6"/>
        <item x="85"/>
        <item x="29"/>
        <item x="28"/>
        <item x="79"/>
        <item x="67"/>
        <item x="80"/>
        <item x="86"/>
        <item x="57"/>
        <item x="34"/>
        <item x="97"/>
        <item x="87"/>
        <item x="103"/>
        <item x="36"/>
        <item x="37"/>
        <item x="23"/>
        <item x="38"/>
        <item x="15"/>
        <item x="43"/>
        <item x="44"/>
        <item x="58"/>
        <item x="47"/>
        <item x="45"/>
        <item x="102"/>
        <item x="8"/>
        <item x="68"/>
        <item x="82"/>
        <item x="9"/>
        <item x="100"/>
        <item x="101"/>
        <item x="17"/>
        <item x="88"/>
        <item x="10"/>
        <item x="48"/>
        <item x="59"/>
        <item x="52"/>
        <item x="46"/>
        <item x="83"/>
        <item x="84"/>
        <item x="19"/>
        <item x="53"/>
        <item x="54"/>
        <item x="94"/>
        <item x="95"/>
        <item x="89"/>
        <item x="70"/>
        <item x="41"/>
        <item x="18"/>
        <item x="49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Moyenne de Tonnage_par_habitant" fld="6" subtotal="average" baseField="0" baseItem="0"/>
  </dataFields>
  <chartFormats count="30">
    <chartFormat chart="0" format="0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2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2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1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0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0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0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0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1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2"/>
          </reference>
        </references>
      </pivotArea>
    </chartFormat>
    <chartFormat chart="1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2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0"/>
          </reference>
        </references>
      </pivotArea>
    </chartFormat>
    <chartFormat chart="2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0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"/>
          </reference>
        </references>
      </pivotArea>
    </chartFormat>
    <chartFormat chart="2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1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2"/>
          </reference>
        </references>
      </pivotArea>
    </chartFormat>
    <chartFormat chart="2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71457-BE6A-4046-ADF7-40BC16CE4B8C}" name="Tableau croisé dynamique1" cacheId="1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">
  <location ref="A1:B5" firstHeaderRow="1" firstDataRow="1" firstDataCol="1"/>
  <pivotFields count="7">
    <pivotField showAll="0">
      <items count="8">
        <item x="0"/>
        <item x="1"/>
        <item x="3"/>
        <item x="6"/>
        <item x="5"/>
        <item x="4"/>
        <item x="2"/>
        <item t="default"/>
      </items>
    </pivotField>
    <pivotField showAll="0"/>
    <pivotField showAll="0">
      <items count="105">
        <item x="0"/>
        <item x="42"/>
        <item x="1"/>
        <item x="90"/>
        <item x="92"/>
        <item x="2"/>
        <item x="32"/>
        <item x="72"/>
        <item x="33"/>
        <item x="73"/>
        <item x="74"/>
        <item x="39"/>
        <item x="93"/>
        <item x="55"/>
        <item x="3"/>
        <item x="60"/>
        <item x="61"/>
        <item x="24"/>
        <item x="62"/>
        <item x="30"/>
        <item x="12"/>
        <item x="20"/>
        <item x="63"/>
        <item x="69"/>
        <item x="64"/>
        <item x="13"/>
        <item x="4"/>
        <item x="50"/>
        <item x="56"/>
        <item x="25"/>
        <item x="21"/>
        <item x="75"/>
        <item x="77"/>
        <item x="65"/>
        <item x="96"/>
        <item x="98"/>
        <item x="31"/>
        <item x="76"/>
        <item x="7"/>
        <item x="35"/>
        <item x="91"/>
        <item x="16"/>
        <item x="11"/>
        <item x="81"/>
        <item x="71"/>
        <item x="40"/>
        <item x="51"/>
        <item x="78"/>
        <item x="22"/>
        <item x="26"/>
        <item x="27"/>
        <item x="5"/>
        <item x="14"/>
        <item x="99"/>
        <item x="66"/>
        <item x="6"/>
        <item x="85"/>
        <item x="29"/>
        <item x="28"/>
        <item x="79"/>
        <item x="67"/>
        <item x="80"/>
        <item x="86"/>
        <item x="57"/>
        <item x="34"/>
        <item x="97"/>
        <item x="87"/>
        <item x="103"/>
        <item x="36"/>
        <item x="37"/>
        <item x="23"/>
        <item x="38"/>
        <item x="15"/>
        <item x="43"/>
        <item x="44"/>
        <item x="58"/>
        <item x="47"/>
        <item x="45"/>
        <item x="102"/>
        <item x="8"/>
        <item x="68"/>
        <item x="82"/>
        <item x="9"/>
        <item x="100"/>
        <item x="101"/>
        <item x="17"/>
        <item x="88"/>
        <item x="10"/>
        <item x="48"/>
        <item x="59"/>
        <item x="52"/>
        <item x="46"/>
        <item x="83"/>
        <item x="84"/>
        <item x="19"/>
        <item x="53"/>
        <item x="54"/>
        <item x="94"/>
        <item x="95"/>
        <item x="89"/>
        <item x="70"/>
        <item x="41"/>
        <item x="18"/>
        <item x="49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>
      <items count="2018">
        <item x="1214"/>
        <item x="719"/>
        <item x="1724"/>
        <item x="1871"/>
        <item x="1295"/>
        <item x="476"/>
        <item x="143"/>
        <item x="155"/>
        <item x="524"/>
        <item x="1883"/>
        <item x="1307"/>
        <item x="1790"/>
        <item x="1280"/>
        <item x="161"/>
        <item x="794"/>
        <item x="158"/>
        <item x="1313"/>
        <item x="1799"/>
        <item x="91"/>
        <item x="1289"/>
        <item x="548"/>
        <item x="1889"/>
        <item x="94"/>
        <item x="785"/>
        <item x="536"/>
        <item x="379"/>
        <item x="149"/>
        <item x="1310"/>
        <item x="1886"/>
        <item x="164"/>
        <item x="1939"/>
        <item x="1471"/>
        <item x="1468"/>
        <item x="856"/>
        <item x="500"/>
        <item x="791"/>
        <item x="1822"/>
        <item x="152"/>
        <item x="1045"/>
        <item x="1796"/>
        <item x="1057"/>
        <item x="1301"/>
        <item x="847"/>
        <item x="1286"/>
        <item x="976"/>
        <item x="1432"/>
        <item x="862"/>
        <item x="280"/>
        <item x="187"/>
        <item x="286"/>
        <item x="59"/>
        <item x="1309"/>
        <item x="1912"/>
        <item x="1435"/>
        <item x="655"/>
        <item x="382"/>
        <item x="22"/>
        <item x="560"/>
        <item x="1316"/>
        <item x="1885"/>
        <item x="1393"/>
        <item x="1492"/>
        <item x="92"/>
        <item x="10"/>
        <item x="1189"/>
        <item x="1819"/>
        <item x="877"/>
        <item x="1612"/>
        <item x="28"/>
        <item x="1285"/>
        <item x="892"/>
        <item x="1480"/>
        <item x="940"/>
        <item x="1699"/>
        <item x="1877"/>
        <item x="466"/>
        <item x="1552"/>
        <item x="1880"/>
        <item x="88"/>
        <item x="1795"/>
        <item x="1525"/>
        <item x="316"/>
        <item x="2011"/>
        <item x="220"/>
        <item x="301"/>
        <item x="1033"/>
        <item x="1759"/>
        <item x="298"/>
        <item x="1892"/>
        <item x="1339"/>
        <item x="1"/>
        <item x="13"/>
        <item x="871"/>
        <item x="1249"/>
        <item x="1504"/>
        <item x="376"/>
        <item x="997"/>
        <item x="1378"/>
        <item x="289"/>
        <item x="535"/>
        <item x="448"/>
        <item x="1030"/>
        <item x="7"/>
        <item x="271"/>
        <item x="883"/>
        <item x="295"/>
        <item x="175"/>
        <item x="1292"/>
        <item x="241"/>
        <item x="4"/>
        <item x="1903"/>
        <item x="1615"/>
        <item x="790"/>
        <item x="1564"/>
        <item x="1528"/>
        <item x="817"/>
        <item x="394"/>
        <item x="1736"/>
        <item x="607"/>
        <item x="1816"/>
        <item x="1573"/>
        <item x="19"/>
        <item x="199"/>
        <item x="1226"/>
        <item x="1802"/>
        <item x="520"/>
        <item x="868"/>
        <item x="307"/>
        <item x="1603"/>
        <item x="1666"/>
        <item x="1462"/>
        <item x="512"/>
        <item x="310"/>
        <item x="380"/>
        <item x="1304"/>
        <item x="1327"/>
        <item x="865"/>
        <item x="1576"/>
        <item x="880"/>
        <item x="1372"/>
        <item x="1174"/>
        <item x="85"/>
        <item x="157"/>
        <item x="1960"/>
        <item x="400"/>
        <item x="1447"/>
        <item x="1423"/>
        <item x="1396"/>
        <item x="367"/>
        <item x="731"/>
        <item x="124"/>
        <item x="1585"/>
        <item x="1813"/>
        <item x="787"/>
        <item x="598"/>
        <item x="1591"/>
        <item x="1096"/>
        <item x="1381"/>
        <item x="754"/>
        <item x="1021"/>
        <item x="679"/>
        <item x="373"/>
        <item x="1924"/>
        <item x="1120"/>
        <item x="292"/>
        <item x="347"/>
        <item x="826"/>
        <item x="226"/>
        <item x="118"/>
        <item x="1105"/>
        <item x="808"/>
        <item x="1834"/>
        <item x="874"/>
        <item x="112"/>
        <item x="928"/>
        <item x="1075"/>
        <item x="154"/>
        <item x="1948"/>
        <item x="1588"/>
        <item x="625"/>
        <item x="886"/>
        <item x="1636"/>
        <item x="55"/>
        <item x="1150"/>
        <item x="412"/>
        <item x="1540"/>
        <item x="1882"/>
        <item x="232"/>
        <item x="193"/>
        <item x="1084"/>
        <item x="1351"/>
        <item x="16"/>
        <item x="967"/>
        <item x="1516"/>
        <item x="418"/>
        <item x="1366"/>
        <item x="1363"/>
        <item x="304"/>
        <item x="34"/>
        <item x="1384"/>
        <item x="1972"/>
        <item x="1840"/>
        <item x="797"/>
        <item x="250"/>
        <item x="1787"/>
        <item x="1543"/>
        <item x="820"/>
        <item x="2008"/>
        <item x="1969"/>
        <item x="806"/>
        <item x="322"/>
        <item x="1630"/>
        <item x="898"/>
        <item x="1156"/>
        <item x="1414"/>
        <item x="1597"/>
        <item x="1966"/>
        <item x="1087"/>
        <item x="751"/>
        <item x="1993"/>
        <item x="430"/>
        <item x="1402"/>
        <item x="343"/>
        <item x="1874"/>
        <item x="1048"/>
        <item x="283"/>
        <item x="1717"/>
        <item x="274"/>
        <item x="1888"/>
        <item x="1594"/>
        <item x="230"/>
        <item x="406"/>
        <item x="106"/>
        <item x="1975"/>
        <item x="214"/>
        <item x="580"/>
        <item x="131"/>
        <item x="859"/>
        <item x="1837"/>
        <item x="694"/>
        <item x="952"/>
        <item x="1984"/>
        <item x="1090"/>
        <item x="1765"/>
        <item x="169"/>
        <item x="1930"/>
        <item x="1753"/>
        <item x="262"/>
        <item x="982"/>
        <item x="1312"/>
        <item x="211"/>
        <item x="1243"/>
        <item x="523"/>
        <item x="610"/>
        <item x="190"/>
        <item x="703"/>
        <item x="1382"/>
        <item x="1132"/>
        <item x="1936"/>
        <item x="1789"/>
        <item x="1261"/>
        <item x="1642"/>
        <item x="1708"/>
        <item x="586"/>
        <item x="1489"/>
        <item x="1681"/>
        <item x="973"/>
        <item x="1999"/>
        <item x="146"/>
        <item x="1951"/>
        <item x="1405"/>
        <item x="442"/>
        <item x="1732"/>
        <item x="589"/>
        <item x="1730"/>
        <item x="1207"/>
        <item x="1342"/>
        <item x="1000"/>
        <item x="1771"/>
        <item x="835"/>
        <item x="1429"/>
        <item x="712"/>
        <item x="568"/>
        <item x="256"/>
        <item x="811"/>
        <item x="1933"/>
        <item x="1852"/>
        <item x="1288"/>
        <item x="893"/>
        <item x="1408"/>
        <item x="1255"/>
        <item x="1220"/>
        <item x="667"/>
        <item x="181"/>
        <item x="2005"/>
        <item x="799"/>
        <item x="11"/>
        <item x="715"/>
        <item x="115"/>
        <item x="1747"/>
        <item x="538"/>
        <item x="196"/>
        <item x="1198"/>
        <item x="1987"/>
        <item x="1237"/>
        <item x="1798"/>
        <item x="1306"/>
        <item x="1613"/>
        <item x="1915"/>
        <item x="29"/>
        <item x="760"/>
        <item x="1333"/>
        <item x="247"/>
        <item x="1298"/>
        <item x="970"/>
        <item x="631"/>
        <item x="1838"/>
        <item x="1498"/>
        <item x="1978"/>
        <item x="661"/>
        <item x="919"/>
        <item x="23"/>
        <item x="61"/>
        <item x="1700"/>
        <item x="1345"/>
        <item x="838"/>
        <item x="784"/>
        <item x="1465"/>
        <item x="727"/>
        <item x="235"/>
        <item x="853"/>
        <item x="1046"/>
        <item x="1411"/>
        <item x="253"/>
        <item x="1477"/>
        <item x="994"/>
        <item x="829"/>
        <item x="1909"/>
        <item x="1054"/>
        <item x="547"/>
        <item x="67"/>
        <item x="763"/>
        <item x="1522"/>
        <item x="1705"/>
        <item x="1891"/>
        <item x="1108"/>
        <item x="1660"/>
        <item x="95"/>
        <item x="1375"/>
        <item x="1558"/>
        <item x="1417"/>
        <item x="337"/>
        <item x="802"/>
        <item x="1846"/>
        <item x="637"/>
        <item x="1438"/>
        <item x="1093"/>
        <item x="76"/>
        <item x="1945"/>
        <item x="259"/>
        <item x="244"/>
        <item x="1444"/>
        <item x="1549"/>
        <item x="850"/>
        <item x="1063"/>
        <item x="1036"/>
        <item x="1171"/>
        <item x="793"/>
        <item x="1456"/>
        <item x="25"/>
        <item x="277"/>
        <item x="577"/>
        <item x="160"/>
        <item x="37"/>
        <item x="1222"/>
        <item x="766"/>
        <item x="985"/>
        <item x="1582"/>
        <item x="1195"/>
        <item x="2002"/>
        <item x="1495"/>
        <item x="1687"/>
        <item x="1684"/>
        <item x="1711"/>
        <item x="205"/>
        <item x="1720"/>
        <item x="1996"/>
        <item x="559"/>
        <item x="1060"/>
        <item x="1618"/>
        <item x="1792"/>
        <item x="325"/>
        <item x="592"/>
        <item x="163"/>
        <item x="1228"/>
        <item x="1609"/>
        <item x="742"/>
        <item x="457"/>
        <item x="1990"/>
        <item x="349"/>
        <item x="841"/>
        <item x="484"/>
        <item x="916"/>
        <item x="317"/>
        <item x="1831"/>
        <item x="1279"/>
        <item x="202"/>
        <item x="934"/>
        <item x="1639"/>
        <item x="1555"/>
        <item x="1501"/>
        <item x="1354"/>
        <item x="490"/>
        <item x="1190"/>
        <item x="1867"/>
        <item x="910"/>
        <item x="832"/>
        <item x="691"/>
        <item x="613"/>
        <item x="1774"/>
        <item x="472"/>
        <item x="1102"/>
        <item x="1627"/>
        <item x="1177"/>
        <item x="1027"/>
        <item x="1111"/>
        <item x="1315"/>
        <item x="1081"/>
        <item x="1399"/>
        <item x="619"/>
        <item x="913"/>
        <item x="1360"/>
        <item x="1450"/>
        <item x="1690"/>
        <item x="109"/>
        <item x="31"/>
        <item x="488"/>
        <item x="695"/>
        <item x="502"/>
        <item x="254"/>
        <item x="1018"/>
        <item x="1162"/>
        <item x="1825"/>
        <item x="1957"/>
        <item x="460"/>
        <item x="355"/>
        <item x="1519"/>
        <item x="1264"/>
        <item x="1531"/>
        <item x="428"/>
        <item x="544"/>
        <item x="1117"/>
        <item x="142"/>
        <item x="1633"/>
        <item x="208"/>
        <item x="517"/>
        <item x="1180"/>
        <item x="1561"/>
        <item x="403"/>
        <item x="925"/>
        <item x="265"/>
        <item x="1138"/>
        <item x="1855"/>
        <item x="1348"/>
        <item x="364"/>
        <item x="1240"/>
        <item x="949"/>
        <item x="1294"/>
        <item x="955"/>
        <item x="1954"/>
        <item x="1012"/>
        <item x="1942"/>
        <item x="1066"/>
        <item x="319"/>
        <item x="223"/>
        <item x="901"/>
        <item x="904"/>
        <item x="739"/>
        <item x="1870"/>
        <item x="1129"/>
        <item x="73"/>
        <item x="1201"/>
        <item x="110"/>
        <item x="805"/>
        <item x="943"/>
        <item x="1357"/>
        <item x="1823"/>
        <item x="1897"/>
        <item x="397"/>
        <item x="1777"/>
        <item x="709"/>
        <item x="391"/>
        <item x="1750"/>
        <item x="748"/>
        <item x="622"/>
        <item x="553"/>
        <item x="1051"/>
        <item x="1828"/>
        <item x="184"/>
        <item x="1648"/>
        <item x="895"/>
        <item x="385"/>
        <item x="40"/>
        <item x="1768"/>
        <item x="1219"/>
        <item x="583"/>
        <item x="1277"/>
        <item x="725"/>
        <item x="1963"/>
        <item x="113"/>
        <item x="550"/>
        <item x="101"/>
        <item x="1483"/>
        <item x="340"/>
        <item x="1114"/>
        <item x="1921"/>
        <item x="1900"/>
        <item x="1964"/>
        <item x="1165"/>
        <item x="1738"/>
        <item x="1729"/>
        <item x="1801"/>
        <item x="1726"/>
        <item x="830"/>
        <item x="52"/>
        <item x="1547"/>
        <item x="1621"/>
        <item x="1600"/>
        <item x="889"/>
        <item x="1678"/>
        <item x="1906"/>
        <item x="595"/>
        <item x="1513"/>
        <item x="556"/>
        <item x="1873"/>
        <item x="1426"/>
        <item x="1624"/>
        <item x="628"/>
        <item x="676"/>
        <item x="1163"/>
        <item x="988"/>
        <item x="97"/>
        <item x="1126"/>
        <item x="475"/>
        <item x="1247"/>
        <item x="685"/>
        <item x="1675"/>
        <item x="1654"/>
        <item x="1330"/>
        <item x="1282"/>
        <item x="1387"/>
        <item x="1168"/>
        <item x="1546"/>
        <item x="433"/>
        <item x="541"/>
        <item x="1297"/>
        <item x="424"/>
        <item x="361"/>
        <item x="1744"/>
        <item x="1231"/>
        <item x="769"/>
        <item x="1714"/>
        <item x="844"/>
        <item x="931"/>
        <item x="229"/>
        <item x="668"/>
        <item x="46"/>
        <item x="1324"/>
        <item x="670"/>
        <item x="508"/>
        <item x="1829"/>
        <item x="268"/>
        <item x="1267"/>
        <item x="1216"/>
        <item x="1186"/>
        <item x="643"/>
        <item x="634"/>
        <item x="127"/>
        <item x="823"/>
        <item x="782"/>
        <item x="103"/>
        <item x="445"/>
        <item x="682"/>
        <item x="1039"/>
        <item x="616"/>
        <item x="191"/>
        <item x="1192"/>
        <item x="487"/>
        <item x="398"/>
        <item x="1291"/>
        <item x="1003"/>
        <item x="2014"/>
        <item x="70"/>
        <item x="172"/>
        <item x="98"/>
        <item x="673"/>
        <item x="1420"/>
        <item x="1336"/>
        <item x="1052"/>
        <item x="121"/>
        <item x="1507"/>
        <item x="1406"/>
        <item x="964"/>
        <item x="82"/>
        <item x="383"/>
        <item x="961"/>
        <item x="604"/>
        <item x="107"/>
        <item x="100"/>
        <item x="1204"/>
        <item x="145"/>
        <item x="463"/>
        <item x="478"/>
        <item x="1651"/>
        <item x="395"/>
        <item x="178"/>
        <item x="700"/>
        <item x="5"/>
        <item x="1843"/>
        <item x="646"/>
        <item x="139"/>
        <item x="421"/>
        <item x="328"/>
        <item x="1234"/>
        <item x="526"/>
        <item x="1321"/>
        <item x="1762"/>
        <item x="1723"/>
        <item x="334"/>
        <item x="1804"/>
        <item x="358"/>
        <item x="1141"/>
        <item x="49"/>
        <item x="1024"/>
        <item x="1009"/>
        <item x="809"/>
        <item x="137"/>
        <item x="706"/>
        <item x="689"/>
        <item x="1534"/>
        <item x="1918"/>
        <item x="415"/>
        <item x="83"/>
        <item x="278"/>
        <item x="238"/>
        <item x="388"/>
        <item x="1865"/>
        <item x="8"/>
        <item x="1144"/>
        <item x="721"/>
        <item x="923"/>
        <item x="1733"/>
        <item x="745"/>
        <item x="733"/>
        <item x="454"/>
        <item x="1148"/>
        <item x="104"/>
        <item x="370"/>
        <item x="116"/>
        <item x="1810"/>
        <item x="724"/>
        <item x="718"/>
        <item x="1876"/>
        <item x="1780"/>
        <item x="56"/>
        <item x="1459"/>
        <item x="128"/>
        <item x="299"/>
        <item x="1645"/>
        <item x="1859"/>
        <item x="542"/>
        <item x="1127"/>
        <item x="1940"/>
        <item x="1069"/>
        <item x="1213"/>
        <item x="757"/>
        <item x="493"/>
        <item x="313"/>
        <item x="401"/>
        <item x="814"/>
        <item x="1369"/>
        <item x="1702"/>
        <item x="977"/>
        <item x="119"/>
        <item x="1300"/>
        <item x="1784"/>
        <item x="1735"/>
        <item x="1139"/>
        <item x="1510"/>
        <item x="1894"/>
        <item x="1225"/>
        <item x="1640"/>
        <item x="1570"/>
        <item x="649"/>
        <item x="293"/>
        <item x="311"/>
        <item x="1658"/>
        <item x="1252"/>
        <item x="389"/>
        <item x="251"/>
        <item x="1318"/>
        <item x="1486"/>
        <item x="224"/>
        <item x="1807"/>
        <item x="1741"/>
        <item x="514"/>
        <item x="122"/>
        <item x="1072"/>
        <item x="392"/>
        <item x="133"/>
        <item x="1879"/>
        <item x="1441"/>
        <item x="1850"/>
        <item x="58"/>
        <item x="1078"/>
        <item x="1786"/>
        <item x="467"/>
        <item x="1276"/>
        <item x="1115"/>
        <item x="1672"/>
        <item x="134"/>
        <item x="496"/>
        <item x="1579"/>
        <item x="499"/>
        <item x="1135"/>
        <item x="800"/>
        <item x="371"/>
        <item x="233"/>
        <item x="148"/>
        <item x="439"/>
        <item x="1861"/>
        <item x="20"/>
        <item x="1175"/>
        <item x="1191"/>
        <item x="907"/>
        <item x="1567"/>
        <item x="827"/>
        <item x="281"/>
        <item x="296"/>
        <item x="1981"/>
        <item x="1130"/>
        <item x="1376"/>
        <item x="1258"/>
        <item x="1271"/>
        <item x="875"/>
        <item x="696"/>
        <item x="1927"/>
        <item x="1469"/>
        <item x="43"/>
        <item x="1390"/>
        <item x="946"/>
        <item x="1343"/>
        <item x="409"/>
        <item x="331"/>
        <item x="1701"/>
        <item x="266"/>
        <item x="656"/>
        <item x="1460"/>
        <item x="1006"/>
        <item x="1841"/>
        <item x="248"/>
        <item x="64"/>
        <item x="386"/>
        <item x="1303"/>
        <item x="1123"/>
        <item x="565"/>
        <item x="1340"/>
        <item x="166"/>
        <item x="1606"/>
        <item x="77"/>
        <item x="1010"/>
        <item x="571"/>
        <item x="640"/>
        <item x="1397"/>
        <item x="203"/>
        <item x="404"/>
        <item x="125"/>
        <item x="352"/>
        <item x="1691"/>
        <item x="730"/>
        <item x="308"/>
        <item x="452"/>
        <item x="796"/>
        <item x="1457"/>
        <item x="965"/>
        <item x="455"/>
        <item x="215"/>
        <item x="562"/>
        <item x="1832"/>
        <item x="1663"/>
        <item x="1601"/>
        <item x="1657"/>
        <item x="436"/>
        <item x="1099"/>
        <item x="188"/>
        <item x="887"/>
        <item x="416"/>
        <item x="1499"/>
        <item x="1015"/>
        <item x="407"/>
        <item x="857"/>
        <item x="1820"/>
        <item x="854"/>
        <item x="890"/>
        <item x="1847"/>
        <item x="736"/>
        <item x="1934"/>
        <item x="958"/>
        <item x="1472"/>
        <item x="1107"/>
        <item x="764"/>
        <item x="80"/>
        <item x="1474"/>
        <item x="772"/>
        <item x="1210"/>
        <item x="1181"/>
        <item x="511"/>
        <item x="775"/>
        <item x="1403"/>
        <item x="803"/>
        <item x="529"/>
        <item x="1159"/>
        <item x="1394"/>
        <item x="1160"/>
        <item x="612"/>
        <item x="601"/>
        <item x="991"/>
        <item x="1199"/>
        <item x="1166"/>
        <item x="44"/>
        <item x="1628"/>
        <item x="922"/>
        <item x="1756"/>
        <item x="1187"/>
        <item x="1858"/>
        <item x="1367"/>
        <item x="697"/>
        <item x="346"/>
        <item x="1453"/>
        <item x="1274"/>
        <item x="242"/>
        <item x="1676"/>
        <item x="1147"/>
        <item x="151"/>
        <item x="815"/>
        <item x="574"/>
        <item x="979"/>
        <item x="314"/>
        <item x="818"/>
        <item x="623"/>
        <item x="1673"/>
        <item x="686"/>
        <item x="1273"/>
        <item x="716"/>
        <item x="1849"/>
        <item x="1502"/>
        <item x="1151"/>
        <item x="481"/>
        <item x="937"/>
        <item x="1073"/>
        <item x="284"/>
        <item x="860"/>
        <item x="842"/>
        <item x="908"/>
        <item x="469"/>
        <item x="1937"/>
        <item x="1042"/>
        <item x="332"/>
        <item x="1694"/>
        <item x="1153"/>
        <item x="1493"/>
        <item x="1118"/>
        <item x="732"/>
        <item x="38"/>
        <item x="79"/>
        <item x="239"/>
        <item x="1040"/>
        <item x="884"/>
        <item x="14"/>
        <item x="326"/>
        <item x="413"/>
        <item x="140"/>
        <item x="344"/>
        <item x="1976"/>
        <item x="1235"/>
        <item x="206"/>
        <item x="1695"/>
        <item x="287"/>
        <item x="1385"/>
        <item x="1537"/>
        <item x="1211"/>
        <item x="635"/>
        <item x="1856"/>
        <item x="1844"/>
        <item x="505"/>
        <item x="1346"/>
        <item x="781"/>
        <item x="1259"/>
        <item x="1835"/>
        <item x="1868"/>
        <item x="329"/>
        <item x="1811"/>
        <item x="1589"/>
        <item x="410"/>
        <item x="74"/>
        <item x="1418"/>
        <item x="872"/>
        <item x="272"/>
        <item x="1617"/>
        <item x="756"/>
        <item x="41"/>
        <item x="1508"/>
        <item x="728"/>
        <item x="912"/>
        <item x="2003"/>
        <item x="1283"/>
        <item x="356"/>
        <item x="1079"/>
        <item x="1251"/>
        <item x="1986"/>
        <item x="1970"/>
        <item x="836"/>
        <item x="260"/>
        <item x="532"/>
        <item x="950"/>
        <item x="362"/>
        <item x="1379"/>
        <item x="1355"/>
        <item x="1985"/>
        <item x="779"/>
        <item x="627"/>
        <item x="671"/>
        <item x="1696"/>
        <item x="902"/>
        <item x="983"/>
        <item x="1122"/>
        <item x="1550"/>
        <item x="653"/>
        <item x="1541"/>
        <item x="1643"/>
        <item x="218"/>
        <item x="1013"/>
        <item x="1862"/>
        <item x="1649"/>
        <item x="1058"/>
        <item x="1669"/>
        <item x="1246"/>
        <item x="368"/>
        <item x="1652"/>
        <item x="464"/>
        <item x="516"/>
        <item x="1026"/>
        <item x="179"/>
        <item x="680"/>
        <item x="1227"/>
        <item x="2000"/>
        <item x="1410"/>
        <item x="2006"/>
        <item x="1943"/>
        <item x="1580"/>
        <item x="1571"/>
        <item x="427"/>
        <item x="1826"/>
        <item x="1358"/>
        <item x="1595"/>
        <item x="1693"/>
        <item x="555"/>
        <item x="440"/>
        <item x="1442"/>
        <item x="1616"/>
        <item x="869"/>
        <item x="302"/>
        <item x="437"/>
        <item x="1808"/>
        <item x="1065"/>
        <item x="1922"/>
        <item x="1632"/>
        <item x="1223"/>
        <item x="1133"/>
        <item x="561"/>
        <item x="167"/>
        <item x="1373"/>
        <item x="2012"/>
        <item x="1070"/>
        <item x="1478"/>
        <item x="1631"/>
        <item x="1769"/>
        <item x="217"/>
        <item x="1068"/>
        <item x="1433"/>
        <item x="1184"/>
        <item x="68"/>
        <item x="1109"/>
        <item x="1200"/>
        <item x="1853"/>
        <item x="263"/>
        <item x="47"/>
        <item x="1592"/>
        <item x="947"/>
        <item x="920"/>
        <item x="1783"/>
        <item x="1466"/>
        <item x="1761"/>
        <item x="1521"/>
        <item x="1154"/>
        <item x="692"/>
        <item x="986"/>
        <item x="1925"/>
        <item x="1751"/>
        <item x="1007"/>
        <item x="1523"/>
        <item x="839"/>
        <item x="1514"/>
        <item x="658"/>
        <item x="566"/>
        <item x="1577"/>
        <item x="1183"/>
        <item x="705"/>
        <item x="1931"/>
        <item x="1055"/>
        <item x="1182"/>
        <item x="1142"/>
        <item x="1952"/>
        <item x="1748"/>
        <item x="1566"/>
        <item x="182"/>
        <item x="638"/>
        <item x="905"/>
        <item x="788"/>
        <item x="1517"/>
        <item x="1661"/>
        <item x="575"/>
        <item x="591"/>
        <item x="227"/>
        <item x="1391"/>
        <item x="1560"/>
        <item x="821"/>
        <item x="1946"/>
        <item x="377"/>
        <item x="687"/>
        <item x="834"/>
        <item x="1121"/>
        <item x="1451"/>
        <item x="632"/>
        <item x="824"/>
        <item x="1241"/>
        <item x="197"/>
        <item x="1412"/>
        <item x="1710"/>
        <item x="1772"/>
        <item x="1989"/>
        <item x="1262"/>
        <item x="878"/>
        <item x="1270"/>
        <item x="1737"/>
        <item x="1553"/>
        <item x="1106"/>
        <item x="1955"/>
        <item x="1664"/>
        <item x="987"/>
        <item x="477"/>
        <item x="1028"/>
        <item x="221"/>
        <item x="1091"/>
        <item x="1400"/>
        <item x="974"/>
        <item x="1659"/>
        <item x="89"/>
        <item x="257"/>
        <item x="26"/>
        <item x="2001"/>
        <item x="1077"/>
        <item x="494"/>
        <item x="1760"/>
        <item x="1088"/>
        <item x="776"/>
        <item x="664"/>
        <item x="245"/>
        <item x="639"/>
        <item x="1092"/>
        <item x="1775"/>
        <item x="956"/>
        <item x="212"/>
        <item x="1388"/>
        <item x="833"/>
        <item x="1679"/>
        <item x="998"/>
        <item x="2"/>
        <item x="365"/>
        <item x="863"/>
        <item x="1742"/>
        <item x="767"/>
        <item x="851"/>
        <item x="648"/>
        <item x="275"/>
        <item x="927"/>
        <item x="1692"/>
        <item x="336"/>
        <item x="1562"/>
        <item x="1422"/>
        <item x="417"/>
        <item x="1988"/>
        <item x="1721"/>
        <item x="335"/>
        <item x="688"/>
        <item x="935"/>
        <item x="665"/>
        <item x="1134"/>
        <item x="50"/>
        <item x="136"/>
        <item x="620"/>
        <item x="911"/>
        <item x="1682"/>
        <item x="1266"/>
        <item x="573"/>
        <item x="483"/>
        <item x="1004"/>
        <item x="1806"/>
        <item x="1767"/>
        <item x="971"/>
        <item x="1817"/>
        <item x="684"/>
        <item x="1685"/>
        <item x="1529"/>
        <item x="1907"/>
        <item x="1568"/>
        <item x="1427"/>
        <item x="1413"/>
        <item x="1265"/>
        <item x="451"/>
        <item x="1793"/>
        <item x="1145"/>
        <item x="572"/>
        <item x="1143"/>
        <item x="1578"/>
        <item x="1805"/>
        <item x="1370"/>
        <item x="1503"/>
        <item x="1349"/>
        <item x="497"/>
        <item x="1712"/>
        <item x="1254"/>
        <item x="636"/>
        <item x="1671"/>
        <item x="1481"/>
        <item x="2013"/>
        <item x="1482"/>
        <item x="374"/>
        <item x="614"/>
        <item x="1179"/>
        <item x="545"/>
        <item x="1505"/>
        <item x="1019"/>
        <item x="866"/>
        <item x="1956"/>
        <item x="507"/>
        <item x="759"/>
        <item x="1424"/>
        <item x="1415"/>
        <item x="1653"/>
        <item x="1067"/>
        <item x="932"/>
        <item x="35"/>
        <item x="1596"/>
        <item x="848"/>
        <item x="1463"/>
        <item x="1064"/>
        <item x="752"/>
        <item x="740"/>
        <item x="1430"/>
        <item x="341"/>
        <item x="914"/>
        <item x="290"/>
        <item x="86"/>
        <item x="1169"/>
        <item x="1689"/>
        <item x="647"/>
        <item x="906"/>
        <item x="236"/>
        <item x="1194"/>
        <item x="993"/>
        <item x="1556"/>
        <item x="1559"/>
        <item x="209"/>
        <item x="1997"/>
        <item x="1526"/>
        <item x="1982"/>
        <item x="1610"/>
        <item x="917"/>
        <item x="948"/>
        <item x="1697"/>
        <item x="1973"/>
        <item x="1359"/>
        <item x="1496"/>
        <item x="746"/>
        <item x="1848"/>
        <item x="587"/>
        <item x="812"/>
        <item x="2009"/>
        <item x="1202"/>
        <item x="903"/>
        <item x="1683"/>
        <item x="669"/>
        <item x="518"/>
        <item x="176"/>
        <item x="1017"/>
        <item x="1419"/>
        <item x="1131"/>
        <item x="1644"/>
        <item x="554"/>
        <item x="53"/>
        <item x="659"/>
        <item x="777"/>
        <item x="771"/>
        <item x="1994"/>
        <item x="1196"/>
        <item x="1409"/>
        <item x="1709"/>
        <item x="258"/>
        <item x="1448"/>
        <item x="929"/>
        <item x="330"/>
        <item x="1416"/>
        <item x="1864"/>
        <item x="1776"/>
        <item x="1334"/>
        <item x="1764"/>
        <item x="1164"/>
        <item x="1272"/>
        <item x="1967"/>
        <item x="1034"/>
        <item x="909"/>
        <item x="513"/>
        <item x="1488"/>
        <item x="1014"/>
        <item x="1704"/>
        <item x="1619"/>
        <item x="1977"/>
        <item x="765"/>
        <item x="1232"/>
        <item x="130"/>
        <item x="864"/>
        <item x="699"/>
        <item x="1655"/>
        <item x="1178"/>
        <item x="1250"/>
        <item x="608"/>
        <item x="738"/>
        <item x="1791"/>
        <item x="305"/>
        <item x="626"/>
        <item x="323"/>
        <item x="473"/>
        <item x="557"/>
        <item x="564"/>
        <item x="1061"/>
        <item x="1779"/>
        <item x="768"/>
        <item x="1544"/>
        <item x="1814"/>
        <item x="1895"/>
        <item x="1979"/>
        <item x="1535"/>
        <item x="1076"/>
        <item x="1845"/>
        <item x="1155"/>
        <item x="1071"/>
        <item x="674"/>
        <item x="1361"/>
        <item x="1364"/>
        <item x="1908"/>
        <item x="1913"/>
        <item x="1140"/>
        <item x="1445"/>
        <item x="1532"/>
        <item x="503"/>
        <item x="1910"/>
        <item x="1331"/>
        <item x="1707"/>
        <item x="588"/>
        <item x="1604"/>
        <item x="755"/>
        <item x="501"/>
        <item x="1674"/>
        <item x="1022"/>
        <item x="1706"/>
        <item x="1074"/>
        <item x="1011"/>
        <item x="1238"/>
        <item x="972"/>
        <item x="1965"/>
        <item x="1739"/>
        <item x="42"/>
        <item x="1407"/>
        <item x="837"/>
        <item x="1715"/>
        <item x="1332"/>
        <item x="1209"/>
        <item x="1520"/>
        <item x="881"/>
        <item x="1089"/>
        <item x="968"/>
        <item x="1961"/>
        <item x="567"/>
        <item x="338"/>
        <item x="333"/>
        <item x="569"/>
        <item x="1095"/>
        <item x="590"/>
        <item x="1208"/>
        <item x="1008"/>
        <item x="1569"/>
        <item x="207"/>
        <item x="185"/>
        <item x="915"/>
        <item x="1197"/>
        <item x="1898"/>
        <item x="960"/>
        <item x="899"/>
        <item x="1001"/>
        <item x="660"/>
        <item x="1727"/>
        <item x="1778"/>
        <item x="17"/>
        <item x="1319"/>
        <item x="1766"/>
        <item x="1809"/>
        <item x="563"/>
        <item x="446"/>
        <item x="1593"/>
        <item x="1991"/>
        <item x="1958"/>
        <item x="1217"/>
        <item x="1928"/>
        <item x="995"/>
        <item x="597"/>
        <item x="1263"/>
        <item x="707"/>
        <item x="1049"/>
        <item x="1256"/>
        <item x="645"/>
        <item x="354"/>
        <item x="1268"/>
        <item x="584"/>
        <item x="1637"/>
        <item x="1602"/>
        <item x="78"/>
        <item x="710"/>
        <item x="1572"/>
        <item x="461"/>
        <item x="1670"/>
        <item x="1718"/>
        <item x="1598"/>
        <item x="170"/>
        <item x="1439"/>
        <item x="1260"/>
        <item x="1362"/>
        <item x="600"/>
        <item x="531"/>
        <item x="71"/>
        <item x="1574"/>
        <item x="504"/>
        <item x="1436"/>
        <item x="1607"/>
        <item x="1083"/>
        <item x="1188"/>
        <item x="458"/>
        <item x="1098"/>
        <item x="1506"/>
        <item x="743"/>
        <item x="1094"/>
        <item x="509"/>
        <item x="615"/>
        <item x="1563"/>
        <item x="425"/>
        <item x="701"/>
        <item x="761"/>
        <item x="693"/>
        <item x="579"/>
        <item x="32"/>
        <item x="630"/>
        <item x="1172"/>
        <item x="1565"/>
        <item x="1205"/>
        <item x="551"/>
        <item x="1509"/>
        <item x="359"/>
        <item x="1322"/>
        <item x="420"/>
        <item x="422"/>
        <item x="1773"/>
        <item x="1698"/>
        <item x="1599"/>
        <item x="585"/>
        <item x="1110"/>
        <item x="713"/>
        <item x="1754"/>
        <item x="1916"/>
        <item x="1650"/>
        <item x="530"/>
        <item x="288"/>
        <item x="677"/>
        <item x="1041"/>
        <item x="320"/>
        <item x="1611"/>
        <item x="1037"/>
        <item x="1086"/>
        <item x="840"/>
        <item x="1731"/>
        <item x="1770"/>
        <item x="1587"/>
        <item x="969"/>
        <item x="989"/>
        <item x="1665"/>
        <item x="1815"/>
        <item x="1782"/>
        <item x="1719"/>
        <item x="1647"/>
        <item x="1584"/>
        <item x="879"/>
        <item x="539"/>
        <item x="999"/>
        <item x="683"/>
        <item x="843"/>
        <item x="1025"/>
        <item x="1484"/>
        <item x="1590"/>
        <item x="549"/>
        <item x="1625"/>
        <item x="1031"/>
        <item x="896"/>
        <item x="924"/>
        <item x="1641"/>
        <item x="891"/>
        <item x="650"/>
        <item x="611"/>
        <item x="1974"/>
        <item x="1935"/>
        <item x="444"/>
        <item x="675"/>
        <item x="1425"/>
        <item x="66"/>
        <item x="1374"/>
        <item x="543"/>
        <item x="1605"/>
        <item x="434"/>
        <item x="1812"/>
        <item x="1512"/>
        <item x="1743"/>
        <item x="1032"/>
        <item x="954"/>
        <item x="737"/>
        <item x="921"/>
        <item x="1902"/>
        <item x="1586"/>
        <item x="459"/>
        <item x="1575"/>
        <item x="1839"/>
        <item x="0"/>
        <item x="953"/>
        <item x="327"/>
        <item x="360"/>
        <item x="888"/>
        <item x="489"/>
        <item x="1851"/>
        <item x="1100"/>
        <item x="885"/>
        <item x="644"/>
        <item x="741"/>
        <item x="1454"/>
        <item x="624"/>
        <item x="750"/>
        <item x="339"/>
        <item x="1620"/>
        <item x="1490"/>
        <item x="1703"/>
        <item x="1053"/>
        <item x="633"/>
        <item x="831"/>
        <item x="1152"/>
        <item x="1103"/>
        <item x="1464"/>
        <item x="441"/>
        <item x="930"/>
        <item x="419"/>
        <item x="1020"/>
        <item x="1119"/>
        <item x="51"/>
        <item x="1536"/>
        <item x="657"/>
        <item x="1629"/>
        <item x="1116"/>
        <item x="180"/>
        <item x="722"/>
        <item x="369"/>
        <item x="1229"/>
        <item x="1980"/>
        <item x="882"/>
        <item x="1932"/>
        <item x="1128"/>
        <item x="951"/>
        <item x="1548"/>
        <item x="1328"/>
        <item x="900"/>
        <item x="1323"/>
        <item x="210"/>
        <item x="1941"/>
        <item x="1365"/>
        <item x="1854"/>
        <item x="261"/>
        <item x="770"/>
        <item x="944"/>
        <item x="1494"/>
        <item x="1458"/>
        <item x="48"/>
        <item x="1923"/>
        <item x="408"/>
        <item x="357"/>
        <item x="1236"/>
        <item x="1146"/>
        <item x="981"/>
        <item x="652"/>
        <item x="1389"/>
        <item x="540"/>
        <item x="798"/>
        <item x="962"/>
        <item x="773"/>
        <item x="621"/>
        <item x="1337"/>
        <item x="1755"/>
        <item x="315"/>
        <item x="1842"/>
        <item x="303"/>
        <item x="264"/>
        <item x="423"/>
        <item x="173"/>
        <item x="780"/>
        <item x="980"/>
        <item x="605"/>
        <item x="1626"/>
        <item x="1830"/>
        <item x="479"/>
        <item x="672"/>
        <item x="519"/>
        <item x="1533"/>
        <item x="1518"/>
        <item x="1221"/>
        <item x="45"/>
        <item x="485"/>
        <item x="267"/>
        <item x="933"/>
        <item x="1656"/>
        <item x="666"/>
        <item x="1475"/>
        <item x="1746"/>
        <item x="1449"/>
        <item x="813"/>
        <item x="1097"/>
        <item x="1029"/>
        <item x="749"/>
        <item x="762"/>
        <item x="1341"/>
        <item x="1167"/>
        <item x="593"/>
        <item x="1383"/>
        <item x="778"/>
        <item x="269"/>
        <item x="1173"/>
        <item x="1038"/>
        <item x="1638"/>
        <item x="1446"/>
        <item x="309"/>
        <item x="1803"/>
        <item x="1244"/>
        <item x="1781"/>
        <item x="1239"/>
        <item x="1919"/>
        <item x="222"/>
        <item x="596"/>
        <item x="528"/>
        <item x="1662"/>
        <item x="1833"/>
        <item x="312"/>
        <item x="1059"/>
        <item x="1968"/>
        <item x="372"/>
        <item x="27"/>
        <item x="1749"/>
        <item x="744"/>
        <item x="1944"/>
        <item x="1824"/>
        <item x="1023"/>
        <item x="1401"/>
        <item x="603"/>
        <item x="15"/>
        <item x="515"/>
        <item x="1530"/>
        <item x="1998"/>
        <item x="918"/>
        <item x="1233"/>
        <item x="443"/>
        <item x="491"/>
        <item x="729"/>
        <item x="1347"/>
        <item x="963"/>
        <item x="1634"/>
        <item x="1193"/>
        <item x="1688"/>
        <item x="1050"/>
        <item x="453"/>
        <item x="2004"/>
        <item x="1476"/>
        <item x="468"/>
        <item x="1149"/>
        <item x="1170"/>
        <item x="1275"/>
        <item x="1524"/>
        <item x="1101"/>
        <item x="1325"/>
        <item x="1137"/>
        <item x="936"/>
        <item x="1527"/>
        <item x="525"/>
        <item x="1904"/>
        <item x="521"/>
        <item x="255"/>
        <item x="194"/>
        <item x="1677"/>
        <item x="1785"/>
        <item x="1035"/>
        <item x="941"/>
        <item x="1554"/>
        <item x="599"/>
        <item x="375"/>
        <item x="213"/>
        <item x="1836"/>
        <item x="845"/>
        <item x="1326"/>
        <item x="189"/>
        <item x="471"/>
        <item x="1185"/>
        <item x="480"/>
        <item x="984"/>
        <item x="602"/>
        <item x="1224"/>
        <item x="1875"/>
        <item x="1857"/>
        <item x="1245"/>
        <item x="1344"/>
        <item x="1827"/>
        <item x="237"/>
        <item x="1734"/>
        <item x="957"/>
        <item x="1860"/>
        <item x="405"/>
        <item x="1878"/>
        <item x="81"/>
        <item x="414"/>
        <item x="24"/>
        <item x="1113"/>
        <item x="348"/>
        <item x="996"/>
        <item x="399"/>
        <item x="84"/>
        <item x="990"/>
        <item x="324"/>
        <item x="720"/>
        <item x="69"/>
        <item x="1338"/>
        <item x="1551"/>
        <item x="1299"/>
        <item x="606"/>
        <item x="1230"/>
        <item x="1953"/>
        <item x="1545"/>
        <item x="1404"/>
        <item x="1608"/>
        <item x="825"/>
        <item x="306"/>
        <item x="120"/>
        <item x="1896"/>
        <item x="447"/>
        <item x="698"/>
        <item x="390"/>
        <item x="876"/>
        <item x="1302"/>
        <item x="735"/>
        <item x="1487"/>
        <item x="807"/>
        <item x="1104"/>
        <item x="1158"/>
        <item x="708"/>
        <item x="1085"/>
        <item x="1539"/>
        <item x="21"/>
        <item x="1646"/>
        <item x="62"/>
        <item x="1428"/>
        <item x="39"/>
        <item x="783"/>
        <item x="1215"/>
        <item x="231"/>
        <item x="1962"/>
        <item x="1257"/>
        <item x="870"/>
        <item x="734"/>
        <item x="1125"/>
        <item x="1473"/>
        <item x="1287"/>
        <item x="1950"/>
        <item x="1740"/>
        <item x="1353"/>
        <item x="1356"/>
        <item x="87"/>
        <item x="1157"/>
        <item x="711"/>
        <item x="992"/>
        <item x="1899"/>
        <item x="411"/>
        <item x="1485"/>
        <item x="72"/>
        <item x="1680"/>
        <item x="393"/>
        <item x="651"/>
        <item x="828"/>
        <item x="1161"/>
        <item x="1667"/>
        <item x="609"/>
        <item x="36"/>
        <item x="792"/>
        <item x="1421"/>
        <item x="470"/>
        <item x="1614"/>
        <item x="102"/>
        <item x="300"/>
        <item x="678"/>
        <item x="978"/>
        <item x="111"/>
        <item x="351"/>
        <item x="174"/>
        <item x="1320"/>
        <item x="1278"/>
        <item x="1788"/>
        <item x="1881"/>
        <item x="249"/>
        <item x="426"/>
        <item x="1800"/>
        <item x="1797"/>
        <item x="431"/>
        <item x="1863"/>
        <item x="2015"/>
        <item x="1887"/>
        <item x="498"/>
        <item x="873"/>
        <item x="117"/>
        <item x="1725"/>
        <item x="350"/>
        <item x="1515"/>
        <item x="126"/>
        <item x="60"/>
        <item x="581"/>
        <item x="366"/>
        <item x="1206"/>
        <item x="294"/>
        <item x="1893"/>
        <item x="1668"/>
        <item x="1901"/>
        <item x="12"/>
        <item x="1290"/>
        <item x="147"/>
        <item x="1905"/>
        <item x="1218"/>
        <item x="1983"/>
        <item x="1380"/>
        <item x="1311"/>
        <item x="353"/>
        <item x="129"/>
        <item x="18"/>
        <item x="1317"/>
        <item x="714"/>
        <item x="867"/>
        <item x="123"/>
        <item x="510"/>
        <item x="1917"/>
        <item x="384"/>
        <item x="363"/>
        <item x="171"/>
        <item x="75"/>
        <item x="582"/>
        <item x="1281"/>
        <item x="396"/>
        <item x="63"/>
        <item x="482"/>
        <item x="1305"/>
        <item x="663"/>
        <item x="1866"/>
        <item x="1716"/>
        <item x="804"/>
        <item x="195"/>
        <item x="1392"/>
        <item x="432"/>
        <item x="1253"/>
        <item x="252"/>
        <item x="723"/>
        <item x="402"/>
        <item x="345"/>
        <item x="816"/>
        <item x="1872"/>
        <item x="938"/>
        <item x="1728"/>
        <item x="795"/>
        <item x="1047"/>
        <item x="662"/>
        <item x="690"/>
        <item x="150"/>
        <item x="1329"/>
        <item x="546"/>
        <item x="1890"/>
        <item x="6"/>
        <item x="552"/>
        <item x="1992"/>
        <item x="192"/>
        <item x="1635"/>
        <item x="1269"/>
        <item x="387"/>
        <item x="1542"/>
        <item x="1377"/>
        <item x="342"/>
        <item x="228"/>
        <item x="65"/>
        <item x="1136"/>
        <item x="168"/>
        <item x="105"/>
        <item x="1124"/>
        <item x="527"/>
        <item x="204"/>
        <item x="201"/>
        <item x="1062"/>
        <item x="537"/>
        <item x="57"/>
        <item x="726"/>
        <item x="1296"/>
        <item x="654"/>
        <item x="1335"/>
        <item x="1757"/>
        <item x="594"/>
        <item x="240"/>
        <item x="462"/>
        <item x="1959"/>
        <item x="1763"/>
        <item x="618"/>
        <item x="291"/>
        <item x="1452"/>
        <item x="1314"/>
        <item x="641"/>
        <item x="96"/>
        <item x="629"/>
        <item x="159"/>
        <item x="108"/>
        <item x="1203"/>
        <item x="942"/>
        <item x="570"/>
        <item x="1080"/>
        <item x="522"/>
        <item x="576"/>
        <item x="1713"/>
        <item x="1557"/>
        <item x="758"/>
        <item x="1926"/>
        <item x="1368"/>
        <item x="486"/>
        <item x="1581"/>
        <item x="897"/>
        <item x="438"/>
        <item x="450"/>
        <item x="99"/>
        <item x="926"/>
        <item x="1623"/>
        <item x="959"/>
        <item x="1794"/>
        <item x="717"/>
        <item x="225"/>
        <item x="1284"/>
        <item x="1884"/>
        <item x="558"/>
        <item x="144"/>
        <item x="1538"/>
        <item x="3"/>
        <item x="1395"/>
        <item x="789"/>
        <item x="186"/>
        <item x="642"/>
        <item x="894"/>
        <item x="1622"/>
        <item x="774"/>
        <item x="1043"/>
        <item x="801"/>
        <item x="132"/>
        <item x="1350"/>
        <item x="135"/>
        <item x="54"/>
        <item x="1971"/>
        <item x="162"/>
        <item x="165"/>
        <item x="321"/>
        <item x="114"/>
        <item x="1386"/>
        <item x="153"/>
        <item x="819"/>
        <item x="138"/>
        <item x="177"/>
        <item x="1437"/>
        <item x="1112"/>
        <item x="966"/>
        <item x="456"/>
        <item x="216"/>
        <item x="318"/>
        <item x="534"/>
        <item x="1308"/>
        <item x="1947"/>
        <item x="449"/>
        <item x="243"/>
        <item x="1745"/>
        <item x="156"/>
        <item x="33"/>
        <item x="810"/>
        <item x="1914"/>
        <item x="533"/>
        <item x="1248"/>
        <item x="429"/>
        <item x="183"/>
        <item x="681"/>
        <item x="1758"/>
        <item x="753"/>
        <item x="1995"/>
        <item x="1176"/>
        <item x="30"/>
        <item x="1443"/>
        <item x="1686"/>
        <item x="1461"/>
        <item x="1929"/>
        <item x="786"/>
        <item x="2010"/>
        <item x="234"/>
        <item x="939"/>
        <item x="1212"/>
        <item x="198"/>
        <item x="617"/>
        <item x="1491"/>
        <item x="495"/>
        <item x="1722"/>
        <item x="849"/>
        <item x="1371"/>
        <item x="1869"/>
        <item x="1398"/>
        <item x="465"/>
        <item x="1005"/>
        <item x="1293"/>
        <item x="1352"/>
        <item x="1434"/>
        <item x="219"/>
        <item x="822"/>
        <item x="975"/>
        <item x="1911"/>
        <item x="861"/>
        <item x="1470"/>
        <item x="474"/>
        <item x="1016"/>
        <item x="1431"/>
        <item x="435"/>
        <item x="285"/>
        <item x="141"/>
        <item x="1938"/>
        <item x="297"/>
        <item x="1467"/>
        <item x="846"/>
        <item x="506"/>
        <item x="9"/>
        <item x="945"/>
        <item x="1511"/>
        <item x="246"/>
        <item x="273"/>
        <item x="270"/>
        <item x="1949"/>
        <item x="702"/>
        <item x="747"/>
        <item x="1440"/>
        <item x="200"/>
        <item x="1242"/>
        <item x="855"/>
        <item x="1500"/>
        <item x="704"/>
        <item x="279"/>
        <item x="1752"/>
        <item x="1920"/>
        <item x="2007"/>
        <item x="1583"/>
        <item x="1821"/>
        <item x="93"/>
        <item x="1455"/>
        <item x="1479"/>
        <item x="276"/>
        <item x="852"/>
        <item x="492"/>
        <item x="1002"/>
        <item x="1056"/>
        <item x="1497"/>
        <item x="378"/>
        <item x="282"/>
        <item x="1818"/>
        <item x="858"/>
        <item x="1082"/>
        <item x="578"/>
        <item x="381"/>
        <item x="90"/>
        <item x="1044"/>
        <item x="2016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Tonnage_par_habitant" fld="6" showDataAs="percentOfCol" baseField="3" baseItem="0" numFmtId="10"/>
  </dataFields>
  <formats count="2">
    <format dxfId="18">
      <pivotArea outline="0" fieldPosition="0">
        <references count="1">
          <reference field="4294967294" count="1">
            <x v="0"/>
          </reference>
        </references>
      </pivotArea>
    </format>
    <format dxfId="17">
      <pivotArea collapsedLevelsAreSubtotals="1" fieldPosition="0">
        <references count="1">
          <reference field="3" count="0"/>
        </references>
      </pivotArea>
    </format>
  </formats>
  <chartFormats count="7">
    <chartFormat chart="0" format="0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B89FE1-986F-442F-99A6-D01DACB22377}" name="Tableau croisé dynamique4" cacheId="1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B108" firstHeaderRow="1" firstDataRow="1" firstDataCol="1" rowPageCount="1" colPageCount="1"/>
  <pivotFields count="7">
    <pivotField showAll="0">
      <items count="8">
        <item h="1" x="0"/>
        <item h="1" x="1"/>
        <item h="1" x="3"/>
        <item h="1" x="6"/>
        <item h="1" x="5"/>
        <item h="1" x="4"/>
        <item x="2"/>
        <item t="default"/>
      </items>
    </pivotField>
    <pivotField showAll="0"/>
    <pivotField axis="axisRow" showAll="0">
      <items count="105">
        <item x="0"/>
        <item x="42"/>
        <item x="1"/>
        <item x="90"/>
        <item x="92"/>
        <item x="2"/>
        <item x="32"/>
        <item x="72"/>
        <item x="33"/>
        <item x="73"/>
        <item x="74"/>
        <item x="39"/>
        <item x="93"/>
        <item x="55"/>
        <item x="3"/>
        <item x="60"/>
        <item x="61"/>
        <item x="24"/>
        <item x="62"/>
        <item x="30"/>
        <item x="12"/>
        <item x="20"/>
        <item x="63"/>
        <item x="69"/>
        <item x="64"/>
        <item x="13"/>
        <item x="4"/>
        <item x="50"/>
        <item x="56"/>
        <item x="25"/>
        <item x="21"/>
        <item x="75"/>
        <item x="77"/>
        <item x="65"/>
        <item x="96"/>
        <item x="98"/>
        <item x="31"/>
        <item x="76"/>
        <item x="7"/>
        <item x="35"/>
        <item x="91"/>
        <item x="16"/>
        <item x="11"/>
        <item x="81"/>
        <item x="71"/>
        <item x="40"/>
        <item x="51"/>
        <item x="78"/>
        <item x="22"/>
        <item x="26"/>
        <item x="27"/>
        <item x="5"/>
        <item x="14"/>
        <item x="99"/>
        <item x="66"/>
        <item x="6"/>
        <item x="85"/>
        <item x="29"/>
        <item x="28"/>
        <item x="79"/>
        <item x="67"/>
        <item x="80"/>
        <item x="86"/>
        <item x="57"/>
        <item x="34"/>
        <item x="97"/>
        <item x="87"/>
        <item x="103"/>
        <item x="36"/>
        <item x="37"/>
        <item x="23"/>
        <item x="38"/>
        <item x="15"/>
        <item x="43"/>
        <item x="44"/>
        <item x="58"/>
        <item x="47"/>
        <item x="45"/>
        <item x="102"/>
        <item x="8"/>
        <item x="68"/>
        <item x="82"/>
        <item x="9"/>
        <item x="100"/>
        <item x="101"/>
        <item x="17"/>
        <item x="88"/>
        <item x="10"/>
        <item x="48"/>
        <item x="59"/>
        <item x="52"/>
        <item x="46"/>
        <item x="83"/>
        <item x="84"/>
        <item x="19"/>
        <item x="53"/>
        <item x="54"/>
        <item x="94"/>
        <item x="95"/>
        <item x="89"/>
        <item x="70"/>
        <item x="41"/>
        <item x="18"/>
        <item x="49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2"/>
  </rowFields>
  <rowItems count="10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 t="grand">
      <x/>
    </i>
  </rowItems>
  <colItems count="1">
    <i/>
  </colItems>
  <pageFields count="1">
    <pageField fld="3" hier="-1"/>
  </pageFields>
  <dataFields count="1">
    <dataField name="Somme de Tonnage_par_habita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A4ACD99E-0050-4781-83D2-E81E85C6DE65}" autoFormatId="16" applyNumberFormats="0" applyBorderFormats="0" applyFontFormats="0" applyPatternFormats="0" applyAlignmentFormats="0" applyWidthHeightFormats="0">
  <queryTableRefresh nextId="11">
    <queryTableFields count="7">
      <queryTableField id="1" name="ANNEE" tableColumnId="1"/>
      <queryTableField id="4" name="C_DEPT" tableColumnId="4"/>
      <queryTableField id="5" name="N_DEPT" tableColumnId="5"/>
      <queryTableField id="6" name="TYP_COLLECTE" tableColumnId="6"/>
      <queryTableField id="7" name="TONNAGE_T_HG" tableColumnId="7"/>
      <queryTableField id="9" name="hab_dpt" tableColumnId="2"/>
      <queryTableField id="10" name="Tonnage_par_habitan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87FEC5EA-1D12-4289-BA90-092C22D08E09}" autoFormatId="16" applyNumberFormats="0" applyBorderFormats="0" applyFontFormats="0" applyPatternFormats="0" applyAlignmentFormats="0" applyWidthHeightFormats="0">
  <queryTableRefresh nextId="9">
    <queryTableFields count="4">
      <queryTableField id="5" name="date" tableColumnId="5"/>
      <queryTableField id="6" name="num_dpt" tableColumnId="6"/>
      <queryTableField id="7" name="N_dpt" tableColumnId="7"/>
      <queryTableField id="8" name="hab_dpt" tableColumnId="8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ANNEE1" xr10:uid="{71F5D515-026A-4312-A7FE-C32335B6B425}" sourceName="ANNEE">
  <pivotTables>
    <pivotTable tabId="11" name="Tableau croisé dynamique1"/>
    <pivotTable tabId="9" name="Tableau croisé dynamique1"/>
    <pivotTable tabId="5" name="Tableau croisé dynamique2"/>
    <pivotTable tabId="5" name="Tableau croisé dynamique3"/>
    <pivotTable tabId="5" name="Tableau croisé dynamique4"/>
  </pivotTables>
  <data>
    <tabular pivotCacheId="19998664">
      <items count="7">
        <i x="0" s="1"/>
        <i x="1" s="1"/>
        <i x="3" s="1"/>
        <i x="6" s="1"/>
        <i x="5" s="1"/>
        <i x="4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N_DEPT" xr10:uid="{307F363E-B958-4CC8-8949-4431D3E7A67E}" sourceName="N_DEPT">
  <pivotTables>
    <pivotTable tabId="11" name="Tableau croisé dynamique1"/>
    <pivotTable tabId="7" name="Tableau croisé dynamique4"/>
    <pivotTable tabId="10" name="Tableau croisé dynamique2"/>
    <pivotTable tabId="8" name="Tableau croisé dynamique1"/>
    <pivotTable tabId="5" name="Tableau croisé dynamique2"/>
    <pivotTable tabId="5" name="Tableau croisé dynamique3"/>
    <pivotTable tabId="5" name="Tableau croisé dynamique4"/>
  </pivotTables>
  <data>
    <tabular pivotCacheId="19998664">
      <items count="104">
        <i x="0" s="1"/>
        <i x="42" s="1"/>
        <i x="1" s="1"/>
        <i x="90" s="1"/>
        <i x="92" s="1"/>
        <i x="2" s="1"/>
        <i x="32" s="1"/>
        <i x="72" s="1"/>
        <i x="33" s="1"/>
        <i x="73" s="1"/>
        <i x="74" s="1"/>
        <i x="39" s="1"/>
        <i x="93" s="1"/>
        <i x="55" s="1"/>
        <i x="3" s="1"/>
        <i x="60" s="1"/>
        <i x="61" s="1"/>
        <i x="24" s="1"/>
        <i x="62" s="1"/>
        <i x="30" s="1"/>
        <i x="12" s="1"/>
        <i x="20" s="1"/>
        <i x="63" s="1"/>
        <i x="69" s="1"/>
        <i x="64" s="1"/>
        <i x="13" s="1"/>
        <i x="4" s="1"/>
        <i x="50" s="1"/>
        <i x="56" s="1"/>
        <i x="25" s="1"/>
        <i x="21" s="1"/>
        <i x="75" s="1"/>
        <i x="77" s="1"/>
        <i x="65" s="1"/>
        <i x="96" s="1"/>
        <i x="98" s="1"/>
        <i x="31" s="1"/>
        <i x="76" s="1"/>
        <i x="7" s="1"/>
        <i x="35" s="1"/>
        <i x="91" s="1"/>
        <i x="16" s="1"/>
        <i x="11" s="1"/>
        <i x="81" s="1"/>
        <i x="71" s="1"/>
        <i x="40" s="1"/>
        <i x="51" s="1"/>
        <i x="78" s="1"/>
        <i x="22" s="1"/>
        <i x="26" s="1"/>
        <i x="27" s="1"/>
        <i x="5" s="1"/>
        <i x="14" s="1"/>
        <i x="99" s="1"/>
        <i x="66" s="1"/>
        <i x="6" s="1"/>
        <i x="85" s="1"/>
        <i x="29" s="1"/>
        <i x="28" s="1"/>
        <i x="79" s="1"/>
        <i x="67" s="1"/>
        <i x="80" s="1"/>
        <i x="86" s="1"/>
        <i x="57" s="1"/>
        <i x="34" s="1"/>
        <i x="97" s="1"/>
        <i x="87" s="1"/>
        <i x="103" s="1"/>
        <i x="36" s="1"/>
        <i x="37" s="1"/>
        <i x="23" s="1"/>
        <i x="38" s="1"/>
        <i x="15" s="1"/>
        <i x="43" s="1"/>
        <i x="44" s="1"/>
        <i x="58" s="1"/>
        <i x="47" s="1"/>
        <i x="45" s="1"/>
        <i x="102" s="1"/>
        <i x="8" s="1"/>
        <i x="68" s="1"/>
        <i x="82" s="1"/>
        <i x="9" s="1"/>
        <i x="100" s="1"/>
        <i x="101" s="1"/>
        <i x="17" s="1"/>
        <i x="88" s="1"/>
        <i x="10" s="1"/>
        <i x="48" s="1"/>
        <i x="59" s="1"/>
        <i x="52" s="1"/>
        <i x="46" s="1"/>
        <i x="83" s="1"/>
        <i x="84" s="1"/>
        <i x="19" s="1"/>
        <i x="53" s="1"/>
        <i x="54" s="1"/>
        <i x="94" s="1"/>
        <i x="95" s="1"/>
        <i x="89" s="1"/>
        <i x="70" s="1"/>
        <i x="41" s="1"/>
        <i x="18" s="1"/>
        <i x="49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TYP_COLLECTE" xr10:uid="{1BCAC25E-9740-4F1D-A3FB-4C90B9BA2135}" sourceName="TYP_COLLECTE">
  <pivotTables>
    <pivotTable tabId="10" name="Tableau croisé dynamique2"/>
    <pivotTable tabId="7" name="Tableau croisé dynamique4"/>
    <pivotTable tabId="8" name="Tableau croisé dynamique1"/>
    <pivotTable tabId="9" name="Tableau croisé dynamique1"/>
    <pivotTable tabId="5" name="Tableau croisé dynamique2"/>
    <pivotTable tabId="5" name="Tableau croisé dynamique3"/>
    <pivotTable tabId="5" name="Tableau croisé dynamique4"/>
  </pivotTables>
  <data>
    <tabular pivotCacheId="19998664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NEE 1" xr10:uid="{6290F122-BAFC-4369-BDFF-34CD153C1D00}" cache="Segment_ANNEE1" caption="ANNEE" columnCount="7" rowHeight="241300"/>
  <slicer name="N_DEPT 1" xr10:uid="{85F5096E-7E68-4E58-9D98-72B19865077B}" cache="Segment_N_DEPT" caption="N_DEPT" rowHeight="252000"/>
  <slicer name="TYP_COLLECTE 1" xr10:uid="{78E373A3-ED85-4AE7-B751-DFE1A6E44111}" cache="Segment_TYP_COLLECTE" caption="TYP_COLLECTE" rowHeight="252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NEE" xr10:uid="{2258FD1A-59F7-40F8-A040-7FC18B25DBD7}" cache="Segment_ANNEE1" caption="ANNEE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_DEPT" xr10:uid="{DCFF79BC-EE56-4FB7-8FD9-9CC65E159735}" cache="Segment_N_DEPT" caption="N_DEPT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YP_COLLECTE" xr10:uid="{7E943C83-836F-46AF-BE18-2A5E62A9696F}" cache="Segment_TYP_COLLECTE" caption="TYP_COLLECTE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D7DB1F-49CD-408F-8FC9-CE4EE261CFA2}" name="sinoe__r__repartition_des_tonnages_de_dma_collectes_par_type_de_collecte" displayName="sinoe__r__repartition_des_tonnages_de_dma_collectes_par_type_de_collecte" ref="A1:G2123" tableType="queryTable" totalsRowShown="0">
  <autoFilter ref="A1:G2123" xr:uid="{78D7DB1F-49CD-408F-8FC9-CE4EE261CFA2}"/>
  <tableColumns count="7">
    <tableColumn id="1" xr3:uid="{C0DBDC53-E48E-4B07-97A7-5B4A2BE9000F}" uniqueName="1" name="ANNEE" queryTableFieldId="1"/>
    <tableColumn id="4" xr3:uid="{5BF95DBC-246C-4FFA-A7D9-0ADFB4AE4F39}" uniqueName="4" name="C_DEPT" queryTableFieldId="4" dataDxfId="16"/>
    <tableColumn id="5" xr3:uid="{B2502223-20E4-4569-8781-CDB3EA340D31}" uniqueName="5" name="N_DEPT" queryTableFieldId="5" dataDxfId="15"/>
    <tableColumn id="6" xr3:uid="{DEC2BA12-E275-4E1D-8A8B-BB0C18442918}" uniqueName="6" name="TYP_COLLECTE" queryTableFieldId="6" dataDxfId="14"/>
    <tableColumn id="7" xr3:uid="{DC143B0C-5918-4AF6-8B4C-ADE135818E46}" uniqueName="7" name="TONNAGE_T_HG" queryTableFieldId="7" dataDxfId="13"/>
    <tableColumn id="2" xr3:uid="{56D7D6B6-6B27-47D4-8F10-8E74E87163FB}" uniqueName="2" name="hab_dpt" queryTableFieldId="9" dataDxfId="12"/>
    <tableColumn id="3" xr3:uid="{E7B848AC-0537-41C6-8D33-9ACFBA6450D9}" uniqueName="3" name="Tonnage_par_habitant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DCC58C-A81A-4F4D-9213-ADD618C6439B}" name="https___www_insee_fr_fr_statistiques_fichier_8331297_estim_pop_dep_sexe_gca_1975" displayName="https___www_insee_fr_fr_statistiques_fichier_8331297_estim_pop_dep_sexe_gca_1975" ref="A1:D5547" tableType="queryTable" totalsRowShown="0">
  <autoFilter ref="A1:D5547" xr:uid="{F1DCC58C-A81A-4F4D-9213-ADD618C6439B}"/>
  <tableColumns count="4">
    <tableColumn id="5" xr3:uid="{B1552682-01F3-4266-B56F-DA961A646FD9}" uniqueName="5" name="date" queryTableFieldId="5" dataDxfId="11"/>
    <tableColumn id="6" xr3:uid="{29FBC5F5-1191-4789-9C05-E0588ABEB78A}" uniqueName="6" name="num_dpt" queryTableFieldId="6"/>
    <tableColumn id="7" xr3:uid="{23DE54EB-DBC1-465A-896E-7297E93391F5}" uniqueName="7" name="N_dpt" queryTableFieldId="7"/>
    <tableColumn id="8" xr3:uid="{7E5261AF-C4B6-470C-8D99-768ED4C0569A}" uniqueName="8" name="hab_dpt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FA213-6149-4907-B758-12F314B5406B}">
  <dimension ref="A1:S10"/>
  <sheetViews>
    <sheetView showGridLines="0" tabSelected="1" zoomScale="94" zoomScaleNormal="94" workbookViewId="0">
      <selection activeCell="L8" sqref="L8"/>
    </sheetView>
  </sheetViews>
  <sheetFormatPr baseColWidth="10" defaultColWidth="4.6328125" defaultRowHeight="14.5" x14ac:dyDescent="0.35"/>
  <sheetData>
    <row r="1" spans="1:19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ht="46" x14ac:dyDescent="1">
      <c r="A2" s="5"/>
      <c r="B2" s="5"/>
      <c r="C2" s="5"/>
      <c r="D2" s="6"/>
      <c r="E2" s="6"/>
      <c r="F2" s="6"/>
      <c r="G2" s="6" t="s">
        <v>301</v>
      </c>
      <c r="H2" s="6"/>
      <c r="I2" s="6"/>
      <c r="J2" s="6"/>
      <c r="K2" s="6"/>
      <c r="L2" s="7"/>
      <c r="M2" s="5"/>
      <c r="N2" s="5"/>
      <c r="O2" s="5"/>
      <c r="P2" s="5"/>
      <c r="Q2" s="5"/>
      <c r="R2" s="5"/>
      <c r="S2" s="5"/>
    </row>
    <row r="3" spans="1:19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7" spans="1:19" x14ac:dyDescent="0.35">
      <c r="B7" s="10">
        <f>GETPIVOTDATA("Tonnage_par_habitant",tabCroisée!$H$11)</f>
        <v>0.1796817084677241</v>
      </c>
      <c r="C7" s="10"/>
      <c r="D7" s="10"/>
      <c r="E7" s="10"/>
    </row>
    <row r="8" spans="1:19" x14ac:dyDescent="0.35">
      <c r="B8" s="10"/>
      <c r="C8" s="10"/>
      <c r="D8" s="10"/>
      <c r="E8" s="10"/>
      <c r="H8" s="11">
        <f>GETPIVOTDATA("hab_dpt",tabCroisée!$H$15)</f>
        <v>667821.20982142852</v>
      </c>
      <c r="I8" s="11"/>
      <c r="J8" s="11"/>
      <c r="K8" s="11"/>
      <c r="N8" s="11">
        <f>GETPIVOTDATA("TONNAGE_T_HG",tabCroisée!$H$19)</f>
        <v>244879434.81999969</v>
      </c>
      <c r="O8" s="11"/>
      <c r="P8" s="11"/>
      <c r="Q8" s="11"/>
    </row>
    <row r="9" spans="1:19" x14ac:dyDescent="0.35">
      <c r="B9" s="10"/>
      <c r="C9" s="10"/>
      <c r="D9" s="10"/>
      <c r="E9" s="10"/>
      <c r="H9" s="11"/>
      <c r="I9" s="11"/>
      <c r="J9" s="11"/>
      <c r="K9" s="11"/>
      <c r="N9" s="11"/>
      <c r="O9" s="11"/>
      <c r="P9" s="11"/>
      <c r="Q9" s="11"/>
    </row>
    <row r="10" spans="1:19" x14ac:dyDescent="0.35">
      <c r="B10" s="10"/>
      <c r="C10" s="10"/>
      <c r="D10" s="10"/>
      <c r="E10" s="10"/>
      <c r="H10" s="11"/>
      <c r="I10" s="11"/>
      <c r="J10" s="11"/>
      <c r="K10" s="11"/>
      <c r="N10" s="11"/>
      <c r="O10" s="11"/>
      <c r="P10" s="11"/>
      <c r="Q10" s="11"/>
    </row>
  </sheetData>
  <mergeCells count="3">
    <mergeCell ref="B7:E10"/>
    <mergeCell ref="H8:K10"/>
    <mergeCell ref="N8:Q10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CB719-AE77-4877-9F57-E06D75BFBA41}">
  <dimension ref="A1:H108"/>
  <sheetViews>
    <sheetView topLeftCell="C1" workbookViewId="0">
      <selection activeCell="H16" sqref="H16"/>
    </sheetView>
  </sheetViews>
  <sheetFormatPr baseColWidth="10" defaultRowHeight="14.5" x14ac:dyDescent="0.35"/>
  <cols>
    <col min="1" max="1" width="22.1796875" bestFit="1" customWidth="1"/>
    <col min="2" max="2" width="31.26953125" bestFit="1" customWidth="1"/>
    <col min="3" max="3" width="17.26953125" bestFit="1" customWidth="1"/>
    <col min="4" max="4" width="24.1796875" bestFit="1" customWidth="1"/>
    <col min="5" max="7" width="7.1796875" bestFit="1" customWidth="1"/>
    <col min="8" max="8" width="24.1796875" bestFit="1" customWidth="1"/>
    <col min="9" max="9" width="18.26953125" bestFit="1" customWidth="1"/>
    <col min="10" max="15" width="10.26953125" bestFit="1" customWidth="1"/>
    <col min="16" max="16" width="25.81640625" bestFit="1" customWidth="1"/>
    <col min="17" max="19" width="12.453125" bestFit="1" customWidth="1"/>
    <col min="21" max="22" width="12.453125" bestFit="1" customWidth="1"/>
    <col min="23" max="23" width="38.1796875" bestFit="1" customWidth="1"/>
    <col min="24" max="24" width="23.26953125" bestFit="1" customWidth="1"/>
    <col min="25" max="25" width="30.81640625" bestFit="1" customWidth="1"/>
  </cols>
  <sheetData>
    <row r="1" spans="1:8" x14ac:dyDescent="0.35">
      <c r="A1" s="2" t="s">
        <v>0</v>
      </c>
      <c r="B1" t="s">
        <v>300</v>
      </c>
    </row>
    <row r="3" spans="1:8" x14ac:dyDescent="0.35">
      <c r="A3" s="2" t="s">
        <v>295</v>
      </c>
      <c r="B3" t="s">
        <v>299</v>
      </c>
      <c r="C3" t="s">
        <v>298</v>
      </c>
      <c r="D3" t="s">
        <v>297</v>
      </c>
    </row>
    <row r="4" spans="1:8" x14ac:dyDescent="0.35">
      <c r="A4" s="3" t="s">
        <v>153</v>
      </c>
      <c r="B4" s="4">
        <v>0.27930575113232414</v>
      </c>
      <c r="C4" s="1">
        <v>8435520</v>
      </c>
      <c r="D4" s="1">
        <v>2357893.8699999996</v>
      </c>
    </row>
    <row r="5" spans="1:8" x14ac:dyDescent="0.35">
      <c r="A5" s="3" t="s">
        <v>209</v>
      </c>
      <c r="B5" s="4">
        <v>0.24129820911891123</v>
      </c>
      <c r="C5" s="1">
        <v>21984183</v>
      </c>
      <c r="D5" s="1">
        <v>5306038.1099999994</v>
      </c>
    </row>
    <row r="6" spans="1:8" x14ac:dyDescent="0.35">
      <c r="A6" s="3" t="s">
        <v>51</v>
      </c>
      <c r="B6" s="4">
        <v>0.22967316760482595</v>
      </c>
      <c r="C6" s="1">
        <v>19053771</v>
      </c>
      <c r="D6" s="1">
        <v>4376265.8099999996</v>
      </c>
    </row>
    <row r="7" spans="1:8" x14ac:dyDescent="0.35">
      <c r="A7" s="3" t="s">
        <v>205</v>
      </c>
      <c r="B7" s="4">
        <v>0.22963857528776235</v>
      </c>
      <c r="C7" s="1">
        <v>22815267</v>
      </c>
      <c r="D7" s="1">
        <v>5239323.4200000009</v>
      </c>
    </row>
    <row r="8" spans="1:8" x14ac:dyDescent="0.35">
      <c r="A8" s="3" t="s">
        <v>69</v>
      </c>
      <c r="B8" s="4">
        <v>0.22961596214377872</v>
      </c>
      <c r="C8" s="1">
        <v>3203514</v>
      </c>
      <c r="D8" s="1">
        <v>738557.71000000008</v>
      </c>
    </row>
    <row r="9" spans="1:8" x14ac:dyDescent="0.35">
      <c r="A9" s="3" t="s">
        <v>49</v>
      </c>
      <c r="B9" s="4">
        <v>0.22590902755072478</v>
      </c>
      <c r="C9" s="1">
        <v>12547947</v>
      </c>
      <c r="D9" s="1">
        <v>2836257.3800000004</v>
      </c>
    </row>
    <row r="10" spans="1:8" x14ac:dyDescent="0.35">
      <c r="A10" s="3" t="s">
        <v>165</v>
      </c>
      <c r="B10" s="4">
        <v>0.21855604236993231</v>
      </c>
      <c r="C10" s="1">
        <v>3208866</v>
      </c>
      <c r="D10" s="1">
        <v>701354.91999999993</v>
      </c>
    </row>
    <row r="11" spans="1:8" x14ac:dyDescent="0.35">
      <c r="A11" s="3" t="s">
        <v>143</v>
      </c>
      <c r="B11" s="4">
        <v>0.21809070044356388</v>
      </c>
      <c r="C11" s="1">
        <v>13418127</v>
      </c>
      <c r="D11" s="1">
        <v>2927235.2699999996</v>
      </c>
      <c r="H11" t="s">
        <v>299</v>
      </c>
    </row>
    <row r="12" spans="1:8" x14ac:dyDescent="0.35">
      <c r="A12" s="3" t="s">
        <v>71</v>
      </c>
      <c r="B12" s="4">
        <v>0.21648721735386794</v>
      </c>
      <c r="C12" s="1">
        <v>3668364</v>
      </c>
      <c r="D12" s="1">
        <v>795105.02</v>
      </c>
      <c r="H12" s="9">
        <v>0.1796817084677241</v>
      </c>
    </row>
    <row r="13" spans="1:8" x14ac:dyDescent="0.35">
      <c r="A13" s="3" t="s">
        <v>185</v>
      </c>
      <c r="B13" s="4">
        <v>0.21647183079162358</v>
      </c>
      <c r="C13" s="1">
        <v>9821703</v>
      </c>
      <c r="D13" s="1">
        <v>2127162.87</v>
      </c>
    </row>
    <row r="14" spans="1:8" x14ac:dyDescent="0.35">
      <c r="A14" s="3" t="s">
        <v>201</v>
      </c>
      <c r="B14" s="4">
        <v>0.21385832510042702</v>
      </c>
      <c r="C14" s="1">
        <v>3415272</v>
      </c>
      <c r="D14" s="1">
        <v>730679.85</v>
      </c>
    </row>
    <row r="15" spans="1:8" x14ac:dyDescent="0.35">
      <c r="A15" s="3" t="s">
        <v>135</v>
      </c>
      <c r="B15" s="4">
        <v>0.21319937370741593</v>
      </c>
      <c r="C15" s="1">
        <v>10451805</v>
      </c>
      <c r="D15" s="1">
        <v>2228132.27</v>
      </c>
      <c r="H15" t="s">
        <v>306</v>
      </c>
    </row>
    <row r="16" spans="1:8" x14ac:dyDescent="0.35">
      <c r="A16" s="3" t="s">
        <v>203</v>
      </c>
      <c r="B16" s="4">
        <v>0.21300208804262141</v>
      </c>
      <c r="C16" s="1">
        <v>2934348</v>
      </c>
      <c r="D16" s="1">
        <v>624884.16999999993</v>
      </c>
      <c r="H16" s="9">
        <v>667821.20982142852</v>
      </c>
    </row>
    <row r="17" spans="1:8" x14ac:dyDescent="0.35">
      <c r="A17" s="3" t="s">
        <v>131</v>
      </c>
      <c r="B17" s="4">
        <v>0.211279377281368</v>
      </c>
      <c r="C17" s="1">
        <v>14517702</v>
      </c>
      <c r="D17" s="1">
        <v>3067803.3400000008</v>
      </c>
    </row>
    <row r="18" spans="1:8" x14ac:dyDescent="0.35">
      <c r="A18" s="3" t="s">
        <v>29</v>
      </c>
      <c r="B18" s="4">
        <v>0.21011341896914174</v>
      </c>
      <c r="C18" s="1">
        <v>8975853</v>
      </c>
      <c r="D18" s="1">
        <v>1884589.42</v>
      </c>
    </row>
    <row r="19" spans="1:8" x14ac:dyDescent="0.35">
      <c r="A19" s="3" t="s">
        <v>111</v>
      </c>
      <c r="B19" s="4">
        <v>0.20500694160024052</v>
      </c>
      <c r="C19" s="1">
        <v>30769962</v>
      </c>
      <c r="D19" s="1">
        <v>6307776.0899999989</v>
      </c>
      <c r="H19" t="s">
        <v>297</v>
      </c>
    </row>
    <row r="20" spans="1:8" x14ac:dyDescent="0.35">
      <c r="A20" s="3" t="s">
        <v>167</v>
      </c>
      <c r="B20" s="4">
        <v>0.20438623320023747</v>
      </c>
      <c r="C20" s="1">
        <v>7698417</v>
      </c>
      <c r="D20" s="1">
        <v>1573704.25</v>
      </c>
      <c r="H20" s="9">
        <v>244879434.81999969</v>
      </c>
    </row>
    <row r="21" spans="1:8" x14ac:dyDescent="0.35">
      <c r="A21" s="3" t="s">
        <v>177</v>
      </c>
      <c r="B21" s="4">
        <v>0.20128816502176713</v>
      </c>
      <c r="C21" s="1">
        <v>23486787</v>
      </c>
      <c r="D21" s="1">
        <v>4720940.68</v>
      </c>
    </row>
    <row r="22" spans="1:8" x14ac:dyDescent="0.35">
      <c r="A22" s="3" t="s">
        <v>211</v>
      </c>
      <c r="B22" s="4">
        <v>0.19932038984745071</v>
      </c>
      <c r="C22" s="1">
        <v>11639118</v>
      </c>
      <c r="D22" s="1">
        <v>2320194.9700000002</v>
      </c>
    </row>
    <row r="23" spans="1:8" x14ac:dyDescent="0.35">
      <c r="A23" s="3" t="s">
        <v>133</v>
      </c>
      <c r="B23" s="4">
        <v>0.19773419707616963</v>
      </c>
      <c r="C23" s="1">
        <v>12504624</v>
      </c>
      <c r="D23" s="1">
        <v>2472322.35</v>
      </c>
    </row>
    <row r="24" spans="1:8" x14ac:dyDescent="0.35">
      <c r="A24" s="3" t="s">
        <v>139</v>
      </c>
      <c r="B24" s="4">
        <v>0.19739645610254267</v>
      </c>
      <c r="C24" s="1">
        <v>26338917</v>
      </c>
      <c r="D24" s="1">
        <v>5199167.1500000004</v>
      </c>
    </row>
    <row r="25" spans="1:8" x14ac:dyDescent="0.35">
      <c r="A25" s="3" t="s">
        <v>31</v>
      </c>
      <c r="B25" s="4">
        <v>0.19630235244600155</v>
      </c>
      <c r="C25" s="1">
        <v>16534017</v>
      </c>
      <c r="D25" s="1">
        <v>3242602.2199999997</v>
      </c>
    </row>
    <row r="26" spans="1:8" x14ac:dyDescent="0.35">
      <c r="A26" s="3" t="s">
        <v>55</v>
      </c>
      <c r="B26" s="4">
        <v>0.1958152928317333</v>
      </c>
      <c r="C26" s="1">
        <v>15615270</v>
      </c>
      <c r="D26" s="1">
        <v>3059134.3099999996</v>
      </c>
    </row>
    <row r="27" spans="1:8" x14ac:dyDescent="0.35">
      <c r="A27" s="3" t="s">
        <v>199</v>
      </c>
      <c r="B27" s="4">
        <v>0.19427514246532354</v>
      </c>
      <c r="C27" s="1">
        <v>13951308</v>
      </c>
      <c r="D27" s="1">
        <v>2709671.24</v>
      </c>
    </row>
    <row r="28" spans="1:8" x14ac:dyDescent="0.35">
      <c r="A28" s="3" t="s">
        <v>113</v>
      </c>
      <c r="B28" s="4">
        <v>0.19210266147407531</v>
      </c>
      <c r="C28" s="1">
        <v>11981382</v>
      </c>
      <c r="D28" s="1">
        <v>2301337.5100000002</v>
      </c>
    </row>
    <row r="29" spans="1:8" x14ac:dyDescent="0.35">
      <c r="A29" s="3" t="s">
        <v>109</v>
      </c>
      <c r="B29" s="4">
        <v>0.19117256323148196</v>
      </c>
      <c r="C29" s="1">
        <v>17180598</v>
      </c>
      <c r="D29" s="1">
        <v>3284241.7199999993</v>
      </c>
    </row>
    <row r="30" spans="1:8" x14ac:dyDescent="0.35">
      <c r="A30" s="3" t="s">
        <v>207</v>
      </c>
      <c r="B30" s="4">
        <v>0.19085747348100232</v>
      </c>
      <c r="C30" s="1">
        <v>42231627</v>
      </c>
      <c r="D30" s="1">
        <v>8056829.1199999992</v>
      </c>
    </row>
    <row r="31" spans="1:8" x14ac:dyDescent="0.35">
      <c r="A31" s="3" t="s">
        <v>171</v>
      </c>
      <c r="B31" s="4">
        <v>0.19011320404691504</v>
      </c>
      <c r="C31" s="1">
        <v>15422364</v>
      </c>
      <c r="D31" s="1">
        <v>2933526.93</v>
      </c>
    </row>
    <row r="32" spans="1:8" x14ac:dyDescent="0.35">
      <c r="A32" s="3" t="s">
        <v>179</v>
      </c>
      <c r="B32" s="4">
        <v>0.18816132301191146</v>
      </c>
      <c r="C32" s="1">
        <v>3655014</v>
      </c>
      <c r="D32" s="1">
        <v>687761.56999999983</v>
      </c>
    </row>
    <row r="33" spans="1:4" x14ac:dyDescent="0.35">
      <c r="A33" s="3" t="s">
        <v>183</v>
      </c>
      <c r="B33" s="4">
        <v>0.188151846632545</v>
      </c>
      <c r="C33" s="1">
        <v>4816203</v>
      </c>
      <c r="D33" s="1">
        <v>906205.69</v>
      </c>
    </row>
    <row r="34" spans="1:4" x14ac:dyDescent="0.35">
      <c r="A34" s="3" t="s">
        <v>137</v>
      </c>
      <c r="B34" s="4">
        <v>0.18567661679797332</v>
      </c>
      <c r="C34" s="1">
        <v>5996562</v>
      </c>
      <c r="D34" s="1">
        <v>1112916.05</v>
      </c>
    </row>
    <row r="35" spans="1:4" x14ac:dyDescent="0.35">
      <c r="A35" s="3" t="s">
        <v>149</v>
      </c>
      <c r="B35" s="4">
        <v>0.18391499843200967</v>
      </c>
      <c r="C35" s="1">
        <v>8700405</v>
      </c>
      <c r="D35" s="1">
        <v>1599725.9500000004</v>
      </c>
    </row>
    <row r="36" spans="1:4" x14ac:dyDescent="0.35">
      <c r="A36" s="3" t="s">
        <v>59</v>
      </c>
      <c r="B36" s="4">
        <v>0.18343131153756062</v>
      </c>
      <c r="C36" s="1">
        <v>9057015</v>
      </c>
      <c r="D36" s="1">
        <v>1661516.03</v>
      </c>
    </row>
    <row r="37" spans="1:4" x14ac:dyDescent="0.35">
      <c r="A37" s="3" t="s">
        <v>155</v>
      </c>
      <c r="B37" s="4">
        <v>0.18301413902682973</v>
      </c>
      <c r="C37" s="1">
        <v>6967506</v>
      </c>
      <c r="D37" s="1">
        <v>1275116.5899999999</v>
      </c>
    </row>
    <row r="38" spans="1:4" x14ac:dyDescent="0.35">
      <c r="A38" s="3" t="s">
        <v>107</v>
      </c>
      <c r="B38" s="4">
        <v>0.18286613016152684</v>
      </c>
      <c r="C38" s="1">
        <v>54527766</v>
      </c>
      <c r="D38" s="1">
        <v>9971818.9699999988</v>
      </c>
    </row>
    <row r="39" spans="1:4" x14ac:dyDescent="0.35">
      <c r="A39" s="3" t="s">
        <v>151</v>
      </c>
      <c r="B39" s="4">
        <v>0.18227906207827058</v>
      </c>
      <c r="C39" s="1">
        <v>32443263</v>
      </c>
      <c r="D39" s="1">
        <v>5912430.1199999982</v>
      </c>
    </row>
    <row r="40" spans="1:4" x14ac:dyDescent="0.35">
      <c r="A40" s="3" t="s">
        <v>157</v>
      </c>
      <c r="B40" s="4">
        <v>0.18215152007816263</v>
      </c>
      <c r="C40" s="1">
        <v>14082030</v>
      </c>
      <c r="D40" s="1">
        <v>2565555.62</v>
      </c>
    </row>
    <row r="41" spans="1:4" x14ac:dyDescent="0.35">
      <c r="A41" s="3" t="s">
        <v>65</v>
      </c>
      <c r="B41" s="4">
        <v>0.1785176611449841</v>
      </c>
      <c r="C41" s="1">
        <v>6942264</v>
      </c>
      <c r="D41" s="1">
        <v>1239129.8199999998</v>
      </c>
    </row>
    <row r="42" spans="1:4" x14ac:dyDescent="0.35">
      <c r="A42" s="3" t="s">
        <v>11</v>
      </c>
      <c r="B42" s="4">
        <v>0.17646850000319225</v>
      </c>
      <c r="C42" s="1">
        <v>7138962</v>
      </c>
      <c r="D42" s="1">
        <v>1259395.3500000001</v>
      </c>
    </row>
    <row r="43" spans="1:4" x14ac:dyDescent="0.35">
      <c r="A43" s="3" t="s">
        <v>45</v>
      </c>
      <c r="B43" s="4">
        <v>0.17589788848644367</v>
      </c>
      <c r="C43" s="1">
        <v>7126827</v>
      </c>
      <c r="D43" s="1">
        <v>1253232.49</v>
      </c>
    </row>
    <row r="44" spans="1:4" x14ac:dyDescent="0.35">
      <c r="A44" s="3" t="s">
        <v>15</v>
      </c>
      <c r="B44" s="4">
        <v>0.17497864382486278</v>
      </c>
      <c r="C44" s="1">
        <v>3069816</v>
      </c>
      <c r="D44" s="1">
        <v>537231.30999999994</v>
      </c>
    </row>
    <row r="45" spans="1:4" x14ac:dyDescent="0.35">
      <c r="A45" s="3" t="s">
        <v>105</v>
      </c>
      <c r="B45" s="4">
        <v>0.17472028924781369</v>
      </c>
      <c r="C45" s="1">
        <v>11259603</v>
      </c>
      <c r="D45" s="1">
        <v>1966737.4400000004</v>
      </c>
    </row>
    <row r="46" spans="1:4" x14ac:dyDescent="0.35">
      <c r="A46" s="3" t="s">
        <v>181</v>
      </c>
      <c r="B46" s="4">
        <v>0.17406342077102199</v>
      </c>
      <c r="C46" s="1">
        <v>1610877</v>
      </c>
      <c r="D46" s="1">
        <v>280378.52</v>
      </c>
    </row>
    <row r="47" spans="1:4" x14ac:dyDescent="0.35">
      <c r="A47" s="3" t="s">
        <v>85</v>
      </c>
      <c r="B47" s="4">
        <v>0.17361414089376179</v>
      </c>
      <c r="C47" s="1">
        <v>5814255</v>
      </c>
      <c r="D47" s="1">
        <v>1009050.5999999999</v>
      </c>
    </row>
    <row r="48" spans="1:4" x14ac:dyDescent="0.35">
      <c r="A48" s="3" t="s">
        <v>17</v>
      </c>
      <c r="B48" s="4">
        <v>0.17342160295049661</v>
      </c>
      <c r="C48" s="1">
        <v>10554297</v>
      </c>
      <c r="D48" s="1">
        <v>1831973.07</v>
      </c>
    </row>
    <row r="49" spans="1:4" x14ac:dyDescent="0.35">
      <c r="A49" s="3" t="s">
        <v>43</v>
      </c>
      <c r="B49" s="4">
        <v>0.17281872420716757</v>
      </c>
      <c r="C49" s="1">
        <v>11630175</v>
      </c>
      <c r="D49" s="1">
        <v>2009870.2000000004</v>
      </c>
    </row>
    <row r="50" spans="1:4" x14ac:dyDescent="0.35">
      <c r="A50" s="3" t="s">
        <v>195</v>
      </c>
      <c r="B50" s="4">
        <v>0.17259458636599914</v>
      </c>
      <c r="C50" s="1">
        <v>6444174</v>
      </c>
      <c r="D50" s="1">
        <v>1112176.07</v>
      </c>
    </row>
    <row r="51" spans="1:4" x14ac:dyDescent="0.35">
      <c r="A51" s="3" t="s">
        <v>97</v>
      </c>
      <c r="B51" s="4">
        <v>0.17259172742562276</v>
      </c>
      <c r="C51" s="1">
        <v>21964230</v>
      </c>
      <c r="D51" s="1">
        <v>3790901.0900000008</v>
      </c>
    </row>
    <row r="52" spans="1:4" x14ac:dyDescent="0.35">
      <c r="A52" s="3" t="s">
        <v>19</v>
      </c>
      <c r="B52" s="4">
        <v>0.17227343881775023</v>
      </c>
      <c r="C52" s="1">
        <v>26140599</v>
      </c>
      <c r="D52" s="1">
        <v>4501250.4800000004</v>
      </c>
    </row>
    <row r="53" spans="1:4" x14ac:dyDescent="0.35">
      <c r="A53" s="3" t="s">
        <v>13</v>
      </c>
      <c r="B53" s="4">
        <v>0.17198272132954195</v>
      </c>
      <c r="C53" s="1">
        <v>6782544</v>
      </c>
      <c r="D53" s="1">
        <v>1167688.5900000001</v>
      </c>
    </row>
    <row r="54" spans="1:4" x14ac:dyDescent="0.35">
      <c r="A54" s="3" t="s">
        <v>141</v>
      </c>
      <c r="B54" s="4">
        <v>0.1715136095186344</v>
      </c>
      <c r="C54" s="1">
        <v>7399740</v>
      </c>
      <c r="D54" s="1">
        <v>1269105.8800000001</v>
      </c>
    </row>
    <row r="55" spans="1:4" x14ac:dyDescent="0.35">
      <c r="A55" s="3" t="s">
        <v>145</v>
      </c>
      <c r="B55" s="4">
        <v>0.17142663649806375</v>
      </c>
      <c r="C55" s="1">
        <v>5069337</v>
      </c>
      <c r="D55" s="1">
        <v>868894.11000000034</v>
      </c>
    </row>
    <row r="56" spans="1:4" x14ac:dyDescent="0.35">
      <c r="A56" s="3" t="s">
        <v>67</v>
      </c>
      <c r="B56" s="4">
        <v>0.1708609035573494</v>
      </c>
      <c r="C56" s="1">
        <v>14085399</v>
      </c>
      <c r="D56" s="1">
        <v>2407203.12</v>
      </c>
    </row>
    <row r="57" spans="1:4" x14ac:dyDescent="0.35">
      <c r="A57" s="3" t="s">
        <v>39</v>
      </c>
      <c r="B57" s="4">
        <v>0.17079351859967698</v>
      </c>
      <c r="C57" s="1">
        <v>4438677</v>
      </c>
      <c r="D57" s="1">
        <v>757982.86999999988</v>
      </c>
    </row>
    <row r="58" spans="1:4" x14ac:dyDescent="0.35">
      <c r="A58" s="3" t="s">
        <v>159</v>
      </c>
      <c r="B58" s="4">
        <v>0.17034022293920112</v>
      </c>
      <c r="C58" s="1">
        <v>7821483</v>
      </c>
      <c r="D58" s="1">
        <v>1332321.8700000001</v>
      </c>
    </row>
    <row r="59" spans="1:4" x14ac:dyDescent="0.35">
      <c r="A59" s="3" t="s">
        <v>103</v>
      </c>
      <c r="B59" s="4">
        <v>0.17018491465443966</v>
      </c>
      <c r="C59" s="1">
        <v>7797327</v>
      </c>
      <c r="D59" s="1">
        <v>1326369.56</v>
      </c>
    </row>
    <row r="60" spans="1:4" x14ac:dyDescent="0.35">
      <c r="A60" s="3" t="s">
        <v>57</v>
      </c>
      <c r="B60" s="4">
        <v>0.17016918174584986</v>
      </c>
      <c r="C60" s="1">
        <v>6448479</v>
      </c>
      <c r="D60" s="1">
        <v>1097057.1599999999</v>
      </c>
    </row>
    <row r="61" spans="1:4" x14ac:dyDescent="0.35">
      <c r="A61" s="3" t="s">
        <v>191</v>
      </c>
      <c r="B61" s="4">
        <v>0.17015842389948746</v>
      </c>
      <c r="C61" s="1">
        <v>28615668</v>
      </c>
      <c r="D61" s="1">
        <v>4867387.4800000004</v>
      </c>
    </row>
    <row r="62" spans="1:4" x14ac:dyDescent="0.35">
      <c r="A62" s="3" t="s">
        <v>47</v>
      </c>
      <c r="B62" s="4">
        <v>0.16971303501031745</v>
      </c>
      <c r="C62" s="1">
        <v>2994612</v>
      </c>
      <c r="D62" s="1">
        <v>507813.2900000001</v>
      </c>
    </row>
    <row r="63" spans="1:4" x14ac:dyDescent="0.35">
      <c r="A63" s="3" t="s">
        <v>101</v>
      </c>
      <c r="B63" s="4">
        <v>0.16951175123346218</v>
      </c>
      <c r="C63" s="1">
        <v>15963597</v>
      </c>
      <c r="D63" s="1">
        <v>2705851.3700000006</v>
      </c>
    </row>
    <row r="64" spans="1:4" x14ac:dyDescent="0.35">
      <c r="A64" s="3" t="s">
        <v>87</v>
      </c>
      <c r="B64" s="4">
        <v>0.1691209055520046</v>
      </c>
      <c r="C64" s="1">
        <v>6463569</v>
      </c>
      <c r="D64" s="1">
        <v>1092875.6299999999</v>
      </c>
    </row>
    <row r="65" spans="1:4" x14ac:dyDescent="0.35">
      <c r="A65" s="3" t="s">
        <v>41</v>
      </c>
      <c r="B65" s="4">
        <v>0.16904999919382546</v>
      </c>
      <c r="C65" s="1">
        <v>4985457</v>
      </c>
      <c r="D65" s="1">
        <v>842688.10999999987</v>
      </c>
    </row>
    <row r="66" spans="1:4" x14ac:dyDescent="0.35">
      <c r="A66" s="3" t="s">
        <v>189</v>
      </c>
      <c r="B66" s="4">
        <v>0.16875502696417563</v>
      </c>
      <c r="C66" s="1">
        <v>5315541</v>
      </c>
      <c r="D66" s="1">
        <v>898699.58000000019</v>
      </c>
    </row>
    <row r="67" spans="1:4" x14ac:dyDescent="0.35">
      <c r="A67" s="3" t="s">
        <v>161</v>
      </c>
      <c r="B67" s="4">
        <v>0.16854208364274925</v>
      </c>
      <c r="C67" s="1">
        <v>9106032</v>
      </c>
      <c r="D67" s="1">
        <v>1534651.6400000004</v>
      </c>
    </row>
    <row r="68" spans="1:4" x14ac:dyDescent="0.35">
      <c r="A68" s="3" t="s">
        <v>61</v>
      </c>
      <c r="B68" s="4">
        <v>0.16846571344198286</v>
      </c>
      <c r="C68" s="1">
        <v>4720530</v>
      </c>
      <c r="D68" s="1">
        <v>795431.39999999991</v>
      </c>
    </row>
    <row r="69" spans="1:4" x14ac:dyDescent="0.35">
      <c r="A69" s="3" t="s">
        <v>187</v>
      </c>
      <c r="B69" s="4">
        <v>0.16846513987500206</v>
      </c>
      <c r="C69" s="1">
        <v>8074407</v>
      </c>
      <c r="D69" s="1">
        <v>1361375.6700000002</v>
      </c>
    </row>
    <row r="70" spans="1:4" x14ac:dyDescent="0.35">
      <c r="A70" s="3" t="s">
        <v>33</v>
      </c>
      <c r="B70" s="4">
        <v>0.16748755785667402</v>
      </c>
      <c r="C70" s="1">
        <v>11149287</v>
      </c>
      <c r="D70" s="1">
        <v>1867188.7799999998</v>
      </c>
    </row>
    <row r="71" spans="1:4" x14ac:dyDescent="0.35">
      <c r="A71" s="3" t="s">
        <v>117</v>
      </c>
      <c r="B71" s="4">
        <v>0.16591560409807138</v>
      </c>
      <c r="C71" s="1">
        <v>29011368</v>
      </c>
      <c r="D71" s="1">
        <v>4810630.7399999993</v>
      </c>
    </row>
    <row r="72" spans="1:4" x14ac:dyDescent="0.35">
      <c r="A72" s="3" t="s">
        <v>63</v>
      </c>
      <c r="B72" s="4">
        <v>0.16533788511135861</v>
      </c>
      <c r="C72" s="1">
        <v>12648213</v>
      </c>
      <c r="D72" s="1">
        <v>2091630.2199999995</v>
      </c>
    </row>
    <row r="73" spans="1:4" x14ac:dyDescent="0.35">
      <c r="A73" s="3" t="s">
        <v>175</v>
      </c>
      <c r="B73" s="4">
        <v>0.1636653371654532</v>
      </c>
      <c r="C73" s="1">
        <v>3996561</v>
      </c>
      <c r="D73" s="1">
        <v>654265.51</v>
      </c>
    </row>
    <row r="74" spans="1:4" x14ac:dyDescent="0.35">
      <c r="A74" s="3" t="s">
        <v>89</v>
      </c>
      <c r="B74" s="4">
        <v>0.16362357882912962</v>
      </c>
      <c r="C74" s="1">
        <v>11928150</v>
      </c>
      <c r="D74" s="1">
        <v>1951629.34</v>
      </c>
    </row>
    <row r="75" spans="1:4" x14ac:dyDescent="0.35">
      <c r="A75" s="3" t="s">
        <v>37</v>
      </c>
      <c r="B75" s="4">
        <v>0.16351067887084456</v>
      </c>
      <c r="C75" s="1">
        <v>5464806</v>
      </c>
      <c r="D75" s="1">
        <v>893517.92</v>
      </c>
    </row>
    <row r="76" spans="1:4" x14ac:dyDescent="0.35">
      <c r="A76" s="3" t="s">
        <v>169</v>
      </c>
      <c r="B76" s="4">
        <v>0.16322728996028549</v>
      </c>
      <c r="C76" s="1">
        <v>5844660</v>
      </c>
      <c r="D76" s="1">
        <v>954198.01999999967</v>
      </c>
    </row>
    <row r="77" spans="1:4" x14ac:dyDescent="0.35">
      <c r="A77" s="3" t="s">
        <v>91</v>
      </c>
      <c r="B77" s="4">
        <v>0.16299652814050003</v>
      </c>
      <c r="C77" s="1">
        <v>3742374</v>
      </c>
      <c r="D77" s="1">
        <v>609639.21000000008</v>
      </c>
    </row>
    <row r="78" spans="1:4" x14ac:dyDescent="0.35">
      <c r="A78" s="3" t="s">
        <v>25</v>
      </c>
      <c r="B78" s="4">
        <v>0.16264013627631727</v>
      </c>
      <c r="C78" s="1">
        <v>13594692</v>
      </c>
      <c r="D78" s="1">
        <v>2209075.6700000004</v>
      </c>
    </row>
    <row r="79" spans="1:4" x14ac:dyDescent="0.35">
      <c r="A79" s="3" t="s">
        <v>21</v>
      </c>
      <c r="B79" s="4">
        <v>0.16136656982502359</v>
      </c>
      <c r="C79" s="1">
        <v>15926694</v>
      </c>
      <c r="D79" s="1">
        <v>2570449.96</v>
      </c>
    </row>
    <row r="80" spans="1:4" x14ac:dyDescent="0.35">
      <c r="A80" s="3" t="s">
        <v>147</v>
      </c>
      <c r="B80" s="4">
        <v>0.16104992949830696</v>
      </c>
      <c r="C80" s="1">
        <v>2515014</v>
      </c>
      <c r="D80" s="1">
        <v>404579.01999999996</v>
      </c>
    </row>
    <row r="81" spans="1:4" x14ac:dyDescent="0.35">
      <c r="A81" s="3" t="s">
        <v>163</v>
      </c>
      <c r="B81" s="4">
        <v>0.16094188747745944</v>
      </c>
      <c r="C81" s="1">
        <v>7863102</v>
      </c>
      <c r="D81" s="1">
        <v>1265431.44</v>
      </c>
    </row>
    <row r="82" spans="1:4" x14ac:dyDescent="0.35">
      <c r="A82" s="3" t="s">
        <v>121</v>
      </c>
      <c r="B82" s="4">
        <v>0.16092326835051368</v>
      </c>
      <c r="C82" s="1">
        <v>26624748</v>
      </c>
      <c r="D82" s="1">
        <v>4284266.6100000003</v>
      </c>
    </row>
    <row r="83" spans="1:4" x14ac:dyDescent="0.35">
      <c r="A83" s="3" t="s">
        <v>93</v>
      </c>
      <c r="B83" s="4">
        <v>0.16021641507725884</v>
      </c>
      <c r="C83" s="1">
        <v>15387831</v>
      </c>
      <c r="D83" s="1">
        <v>2465260.81</v>
      </c>
    </row>
    <row r="84" spans="1:4" x14ac:dyDescent="0.35">
      <c r="A84" s="3" t="s">
        <v>6</v>
      </c>
      <c r="B84" s="4">
        <v>0.15953752812845184</v>
      </c>
      <c r="C84" s="1">
        <v>13209114</v>
      </c>
      <c r="D84" s="1">
        <v>2107104.94</v>
      </c>
    </row>
    <row r="85" spans="1:4" x14ac:dyDescent="0.35">
      <c r="A85" s="3" t="s">
        <v>35</v>
      </c>
      <c r="B85" s="4">
        <v>0.15932933600512239</v>
      </c>
      <c r="C85" s="1">
        <v>11264385</v>
      </c>
      <c r="D85" s="1">
        <v>1793578.73</v>
      </c>
    </row>
    <row r="86" spans="1:4" x14ac:dyDescent="0.35">
      <c r="A86" s="3" t="s">
        <v>53</v>
      </c>
      <c r="B86" s="4">
        <v>0.15888258801470478</v>
      </c>
      <c r="C86" s="1">
        <v>21824151</v>
      </c>
      <c r="D86" s="1">
        <v>3466498.7</v>
      </c>
    </row>
    <row r="87" spans="1:4" x14ac:dyDescent="0.35">
      <c r="A87" s="3" t="s">
        <v>197</v>
      </c>
      <c r="B87" s="4">
        <v>0.15814158680341489</v>
      </c>
      <c r="C87" s="1">
        <v>11889672</v>
      </c>
      <c r="D87" s="1">
        <v>1880106.6200000003</v>
      </c>
    </row>
    <row r="88" spans="1:4" x14ac:dyDescent="0.35">
      <c r="A88" s="3" t="s">
        <v>173</v>
      </c>
      <c r="B88" s="4">
        <v>0.15728681724518553</v>
      </c>
      <c r="C88" s="1">
        <v>27965367</v>
      </c>
      <c r="D88" s="1">
        <v>4398204.2699999996</v>
      </c>
    </row>
    <row r="89" spans="1:4" x14ac:dyDescent="0.35">
      <c r="A89" s="3" t="s">
        <v>115</v>
      </c>
      <c r="B89" s="4">
        <v>0.15633620277886515</v>
      </c>
      <c r="C89" s="1">
        <v>46218747</v>
      </c>
      <c r="D89" s="1">
        <v>7229317.8899999987</v>
      </c>
    </row>
    <row r="90" spans="1:4" x14ac:dyDescent="0.35">
      <c r="A90" s="3" t="s">
        <v>129</v>
      </c>
      <c r="B90" s="4">
        <v>0.15595183065754631</v>
      </c>
      <c r="C90" s="1">
        <v>25482681</v>
      </c>
      <c r="D90" s="1">
        <v>3975713.9400000009</v>
      </c>
    </row>
    <row r="91" spans="1:4" x14ac:dyDescent="0.35">
      <c r="A91" s="3" t="s">
        <v>23</v>
      </c>
      <c r="B91" s="4">
        <v>0.15509474364201079</v>
      </c>
      <c r="C91" s="1">
        <v>4750209</v>
      </c>
      <c r="D91" s="1">
        <v>736970.85999999987</v>
      </c>
    </row>
    <row r="92" spans="1:4" x14ac:dyDescent="0.35">
      <c r="A92" s="3" t="s">
        <v>95</v>
      </c>
      <c r="B92" s="4">
        <v>0.15409057478970678</v>
      </c>
      <c r="C92" s="1">
        <v>3970407</v>
      </c>
      <c r="D92" s="1">
        <v>611645.35</v>
      </c>
    </row>
    <row r="93" spans="1:4" x14ac:dyDescent="0.35">
      <c r="A93" s="3" t="s">
        <v>99</v>
      </c>
      <c r="B93" s="4">
        <v>0.15265845180753418</v>
      </c>
      <c r="C93" s="1">
        <v>23514312</v>
      </c>
      <c r="D93" s="1">
        <v>3588090.1399999997</v>
      </c>
    </row>
    <row r="94" spans="1:4" x14ac:dyDescent="0.35">
      <c r="A94" s="3" t="s">
        <v>119</v>
      </c>
      <c r="B94" s="4">
        <v>0.1509102362775363</v>
      </c>
      <c r="C94" s="1">
        <v>30029424</v>
      </c>
      <c r="D94" s="1">
        <v>4532434.66</v>
      </c>
    </row>
    <row r="95" spans="1:4" x14ac:dyDescent="0.35">
      <c r="A95" s="3" t="s">
        <v>193</v>
      </c>
      <c r="B95" s="4">
        <v>0.1479200571336281</v>
      </c>
      <c r="C95" s="1">
        <v>16911933</v>
      </c>
      <c r="D95" s="1">
        <v>2501102.19</v>
      </c>
    </row>
    <row r="96" spans="1:4" x14ac:dyDescent="0.35">
      <c r="A96" s="3" t="s">
        <v>125</v>
      </c>
      <c r="B96" s="4">
        <v>0.14407361402386437</v>
      </c>
      <c r="C96" s="1">
        <v>33383220</v>
      </c>
      <c r="D96" s="1">
        <v>4809813.95</v>
      </c>
    </row>
    <row r="97" spans="1:4" x14ac:dyDescent="0.35">
      <c r="A97" s="3" t="s">
        <v>127</v>
      </c>
      <c r="B97" s="4">
        <v>0.13258928434327602</v>
      </c>
      <c r="C97" s="1">
        <v>28767150</v>
      </c>
      <c r="D97" s="1">
        <v>3811795.52</v>
      </c>
    </row>
    <row r="98" spans="1:4" x14ac:dyDescent="0.35">
      <c r="A98" s="3" t="s">
        <v>27</v>
      </c>
      <c r="B98" s="4">
        <v>0.132019276596233</v>
      </c>
      <c r="C98" s="1">
        <v>38002515</v>
      </c>
      <c r="D98" s="1">
        <v>5015351.3699999992</v>
      </c>
    </row>
    <row r="99" spans="1:4" x14ac:dyDescent="0.35">
      <c r="A99" s="3" t="s">
        <v>123</v>
      </c>
      <c r="B99" s="4">
        <v>0.12878771884230827</v>
      </c>
      <c r="C99" s="1">
        <v>33615897</v>
      </c>
      <c r="D99" s="1">
        <v>4328450.3999999994</v>
      </c>
    </row>
    <row r="100" spans="1:4" x14ac:dyDescent="0.35">
      <c r="A100" s="3" t="s">
        <v>75</v>
      </c>
      <c r="B100" s="4"/>
      <c r="C100" s="1"/>
      <c r="D100" s="1">
        <v>1328163.9099999999</v>
      </c>
    </row>
    <row r="101" spans="1:4" x14ac:dyDescent="0.35">
      <c r="A101" s="3" t="s">
        <v>77</v>
      </c>
      <c r="B101" s="4"/>
      <c r="C101" s="1"/>
      <c r="D101" s="1">
        <v>596720.28999999992</v>
      </c>
    </row>
    <row r="102" spans="1:4" x14ac:dyDescent="0.35">
      <c r="A102" s="3" t="s">
        <v>81</v>
      </c>
      <c r="B102" s="4"/>
      <c r="C102" s="1"/>
      <c r="D102" s="1">
        <v>29146.9</v>
      </c>
    </row>
    <row r="103" spans="1:4" x14ac:dyDescent="0.35">
      <c r="A103" s="3" t="s">
        <v>83</v>
      </c>
      <c r="B103" s="4"/>
      <c r="C103" s="1"/>
      <c r="D103" s="1">
        <v>70417.08</v>
      </c>
    </row>
    <row r="104" spans="1:4" x14ac:dyDescent="0.35">
      <c r="A104" s="3" t="s">
        <v>213</v>
      </c>
      <c r="B104" s="4"/>
      <c r="C104" s="1"/>
      <c r="D104" s="1">
        <v>314265.70999999996</v>
      </c>
    </row>
    <row r="105" spans="1:4" x14ac:dyDescent="0.35">
      <c r="A105" s="3" t="s">
        <v>215</v>
      </c>
      <c r="B105" s="4"/>
      <c r="C105" s="1"/>
      <c r="D105" s="1">
        <v>109507.22</v>
      </c>
    </row>
    <row r="106" spans="1:4" x14ac:dyDescent="0.35">
      <c r="A106" s="3" t="s">
        <v>73</v>
      </c>
      <c r="B106" s="4"/>
      <c r="C106" s="1"/>
      <c r="D106" s="1">
        <v>1658125.05</v>
      </c>
    </row>
    <row r="107" spans="1:4" x14ac:dyDescent="0.35">
      <c r="A107" s="3" t="s">
        <v>79</v>
      </c>
      <c r="B107" s="4"/>
      <c r="C107" s="1"/>
      <c r="D107" s="1">
        <v>3514643.55</v>
      </c>
    </row>
    <row r="108" spans="1:4" x14ac:dyDescent="0.35">
      <c r="A108" s="3" t="s">
        <v>296</v>
      </c>
      <c r="B108" s="4">
        <v>0.17968170846772358</v>
      </c>
      <c r="C108" s="1">
        <v>1346327559</v>
      </c>
      <c r="D108" s="1">
        <v>244879434.81999996</v>
      </c>
    </row>
  </sheetData>
  <pageMargins left="0.7" right="0.7" top="0.75" bottom="0.75" header="0.3" footer="0.3"/>
  <pageSetup paperSize="9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9D6A1-B9D5-4D64-B4F3-E50F69697A21}">
  <dimension ref="A1:D108"/>
  <sheetViews>
    <sheetView workbookViewId="0">
      <selection activeCell="B5" sqref="B5"/>
    </sheetView>
  </sheetViews>
  <sheetFormatPr baseColWidth="10" defaultRowHeight="14.5" x14ac:dyDescent="0.35"/>
  <cols>
    <col min="1" max="1" width="22.1796875" bestFit="1" customWidth="1"/>
    <col min="2" max="2" width="31.26953125" bestFit="1" customWidth="1"/>
    <col min="3" max="3" width="17.26953125" bestFit="1" customWidth="1"/>
    <col min="4" max="4" width="24.1796875" bestFit="1" customWidth="1"/>
  </cols>
  <sheetData>
    <row r="1" spans="1:4" x14ac:dyDescent="0.35">
      <c r="A1" s="2" t="s">
        <v>0</v>
      </c>
      <c r="B1" t="s">
        <v>300</v>
      </c>
    </row>
    <row r="3" spans="1:4" x14ac:dyDescent="0.35">
      <c r="A3" s="2" t="s">
        <v>295</v>
      </c>
      <c r="B3" t="s">
        <v>299</v>
      </c>
      <c r="C3" t="s">
        <v>298</v>
      </c>
      <c r="D3" t="s">
        <v>297</v>
      </c>
    </row>
    <row r="4" spans="1:4" x14ac:dyDescent="0.35">
      <c r="A4" s="3" t="s">
        <v>153</v>
      </c>
      <c r="B4" s="4">
        <v>0.27930575113232414</v>
      </c>
      <c r="C4" s="1">
        <v>8435520</v>
      </c>
      <c r="D4" s="1">
        <v>2357893.8699999996</v>
      </c>
    </row>
    <row r="5" spans="1:4" x14ac:dyDescent="0.35">
      <c r="A5" s="3" t="s">
        <v>209</v>
      </c>
      <c r="B5" s="4">
        <v>0.24129820911891123</v>
      </c>
      <c r="C5" s="1">
        <v>21984183</v>
      </c>
      <c r="D5" s="1">
        <v>5306038.1099999994</v>
      </c>
    </row>
    <row r="6" spans="1:4" x14ac:dyDescent="0.35">
      <c r="A6" s="3" t="s">
        <v>51</v>
      </c>
      <c r="B6" s="4">
        <v>0.22967316760482595</v>
      </c>
      <c r="C6" s="1">
        <v>19053771</v>
      </c>
      <c r="D6" s="1">
        <v>4376265.8099999996</v>
      </c>
    </row>
    <row r="7" spans="1:4" x14ac:dyDescent="0.35">
      <c r="A7" s="3" t="s">
        <v>205</v>
      </c>
      <c r="B7" s="4">
        <v>0.22963857528776235</v>
      </c>
      <c r="C7" s="1">
        <v>22815267</v>
      </c>
      <c r="D7" s="1">
        <v>5239323.4200000009</v>
      </c>
    </row>
    <row r="8" spans="1:4" x14ac:dyDescent="0.35">
      <c r="A8" s="3" t="s">
        <v>69</v>
      </c>
      <c r="B8" s="4">
        <v>0.22961596214377872</v>
      </c>
      <c r="C8" s="1">
        <v>3203514</v>
      </c>
      <c r="D8" s="1">
        <v>738557.71000000008</v>
      </c>
    </row>
    <row r="9" spans="1:4" x14ac:dyDescent="0.35">
      <c r="A9" s="3" t="s">
        <v>49</v>
      </c>
      <c r="B9" s="4">
        <v>0.22590902755072478</v>
      </c>
      <c r="C9" s="1">
        <v>12547947</v>
      </c>
      <c r="D9" s="1">
        <v>2836257.3800000004</v>
      </c>
    </row>
    <row r="10" spans="1:4" x14ac:dyDescent="0.35">
      <c r="A10" s="3" t="s">
        <v>165</v>
      </c>
      <c r="B10" s="4">
        <v>0.21855604236993231</v>
      </c>
      <c r="C10" s="1">
        <v>3208866</v>
      </c>
      <c r="D10" s="1">
        <v>701354.91999999993</v>
      </c>
    </row>
    <row r="11" spans="1:4" x14ac:dyDescent="0.35">
      <c r="A11" s="3" t="s">
        <v>143</v>
      </c>
      <c r="B11" s="4">
        <v>0.21809070044356388</v>
      </c>
      <c r="C11" s="1">
        <v>13418127</v>
      </c>
      <c r="D11" s="1">
        <v>2927235.2699999996</v>
      </c>
    </row>
    <row r="12" spans="1:4" x14ac:dyDescent="0.35">
      <c r="A12" s="3" t="s">
        <v>71</v>
      </c>
      <c r="B12" s="4">
        <v>0.21648721735386794</v>
      </c>
      <c r="C12" s="1">
        <v>3668364</v>
      </c>
      <c r="D12" s="1">
        <v>795105.02</v>
      </c>
    </row>
    <row r="13" spans="1:4" x14ac:dyDescent="0.35">
      <c r="A13" s="3" t="s">
        <v>185</v>
      </c>
      <c r="B13" s="4">
        <v>0.21647183079162358</v>
      </c>
      <c r="C13" s="1">
        <v>9821703</v>
      </c>
      <c r="D13" s="1">
        <v>2127162.87</v>
      </c>
    </row>
    <row r="14" spans="1:4" x14ac:dyDescent="0.35">
      <c r="A14" s="3" t="s">
        <v>201</v>
      </c>
      <c r="B14" s="4">
        <v>0.21385832510042702</v>
      </c>
      <c r="C14" s="1">
        <v>3415272</v>
      </c>
      <c r="D14" s="1">
        <v>730679.85</v>
      </c>
    </row>
    <row r="15" spans="1:4" x14ac:dyDescent="0.35">
      <c r="A15" s="3" t="s">
        <v>135</v>
      </c>
      <c r="B15" s="4">
        <v>0.21319937370741593</v>
      </c>
      <c r="C15" s="1">
        <v>10451805</v>
      </c>
      <c r="D15" s="1">
        <v>2228132.27</v>
      </c>
    </row>
    <row r="16" spans="1:4" x14ac:dyDescent="0.35">
      <c r="A16" s="3" t="s">
        <v>203</v>
      </c>
      <c r="B16" s="4">
        <v>0.21300208804262141</v>
      </c>
      <c r="C16" s="1">
        <v>2934348</v>
      </c>
      <c r="D16" s="1">
        <v>624884.16999999993</v>
      </c>
    </row>
    <row r="17" spans="1:4" x14ac:dyDescent="0.35">
      <c r="A17" s="3" t="s">
        <v>131</v>
      </c>
      <c r="B17" s="4">
        <v>0.211279377281368</v>
      </c>
      <c r="C17" s="1">
        <v>14517702</v>
      </c>
      <c r="D17" s="1">
        <v>3067803.3400000008</v>
      </c>
    </row>
    <row r="18" spans="1:4" x14ac:dyDescent="0.35">
      <c r="A18" s="3" t="s">
        <v>29</v>
      </c>
      <c r="B18" s="4">
        <v>0.21011341896914174</v>
      </c>
      <c r="C18" s="1">
        <v>8975853</v>
      </c>
      <c r="D18" s="1">
        <v>1884589.42</v>
      </c>
    </row>
    <row r="19" spans="1:4" x14ac:dyDescent="0.35">
      <c r="A19" s="3" t="s">
        <v>111</v>
      </c>
      <c r="B19" s="4">
        <v>0.20500694160024052</v>
      </c>
      <c r="C19" s="1">
        <v>30769962</v>
      </c>
      <c r="D19" s="1">
        <v>6307776.0899999989</v>
      </c>
    </row>
    <row r="20" spans="1:4" x14ac:dyDescent="0.35">
      <c r="A20" s="3" t="s">
        <v>167</v>
      </c>
      <c r="B20" s="4">
        <v>0.20438623320023747</v>
      </c>
      <c r="C20" s="1">
        <v>7698417</v>
      </c>
      <c r="D20" s="1">
        <v>1573704.25</v>
      </c>
    </row>
    <row r="21" spans="1:4" x14ac:dyDescent="0.35">
      <c r="A21" s="3" t="s">
        <v>177</v>
      </c>
      <c r="B21" s="4">
        <v>0.20128816502176713</v>
      </c>
      <c r="C21" s="1">
        <v>23486787</v>
      </c>
      <c r="D21" s="1">
        <v>4720940.68</v>
      </c>
    </row>
    <row r="22" spans="1:4" x14ac:dyDescent="0.35">
      <c r="A22" s="3" t="s">
        <v>211</v>
      </c>
      <c r="B22" s="4">
        <v>0.19932038984745071</v>
      </c>
      <c r="C22" s="1">
        <v>11639118</v>
      </c>
      <c r="D22" s="1">
        <v>2320194.9700000002</v>
      </c>
    </row>
    <row r="23" spans="1:4" x14ac:dyDescent="0.35">
      <c r="A23" s="3" t="s">
        <v>133</v>
      </c>
      <c r="B23" s="4">
        <v>0.19773419707616963</v>
      </c>
      <c r="C23" s="1">
        <v>12504624</v>
      </c>
      <c r="D23" s="1">
        <v>2472322.35</v>
      </c>
    </row>
    <row r="24" spans="1:4" x14ac:dyDescent="0.35">
      <c r="A24" s="3" t="s">
        <v>139</v>
      </c>
      <c r="B24" s="4">
        <v>0.19739645610254267</v>
      </c>
      <c r="C24" s="1">
        <v>26338917</v>
      </c>
      <c r="D24" s="1">
        <v>5199167.1500000004</v>
      </c>
    </row>
    <row r="25" spans="1:4" x14ac:dyDescent="0.35">
      <c r="A25" s="3" t="s">
        <v>31</v>
      </c>
      <c r="B25" s="4">
        <v>0.19630235244600155</v>
      </c>
      <c r="C25" s="1">
        <v>16534017</v>
      </c>
      <c r="D25" s="1">
        <v>3242602.2199999997</v>
      </c>
    </row>
    <row r="26" spans="1:4" x14ac:dyDescent="0.35">
      <c r="A26" s="3" t="s">
        <v>55</v>
      </c>
      <c r="B26" s="4">
        <v>0.1958152928317333</v>
      </c>
      <c r="C26" s="1">
        <v>15615270</v>
      </c>
      <c r="D26" s="1">
        <v>3059134.3099999996</v>
      </c>
    </row>
    <row r="27" spans="1:4" x14ac:dyDescent="0.35">
      <c r="A27" s="3" t="s">
        <v>199</v>
      </c>
      <c r="B27" s="4">
        <v>0.19427514246532354</v>
      </c>
      <c r="C27" s="1">
        <v>13951308</v>
      </c>
      <c r="D27" s="1">
        <v>2709671.24</v>
      </c>
    </row>
    <row r="28" spans="1:4" x14ac:dyDescent="0.35">
      <c r="A28" s="3" t="s">
        <v>113</v>
      </c>
      <c r="B28" s="4">
        <v>0.19210266147407531</v>
      </c>
      <c r="C28" s="1">
        <v>11981382</v>
      </c>
      <c r="D28" s="1">
        <v>2301337.5100000002</v>
      </c>
    </row>
    <row r="29" spans="1:4" x14ac:dyDescent="0.35">
      <c r="A29" s="3" t="s">
        <v>109</v>
      </c>
      <c r="B29" s="4">
        <v>0.19117256323148196</v>
      </c>
      <c r="C29" s="1">
        <v>17180598</v>
      </c>
      <c r="D29" s="1">
        <v>3284241.7199999993</v>
      </c>
    </row>
    <row r="30" spans="1:4" x14ac:dyDescent="0.35">
      <c r="A30" s="3" t="s">
        <v>207</v>
      </c>
      <c r="B30" s="4">
        <v>0.19085747348100232</v>
      </c>
      <c r="C30" s="1">
        <v>42231627</v>
      </c>
      <c r="D30" s="1">
        <v>8056829.1199999992</v>
      </c>
    </row>
    <row r="31" spans="1:4" x14ac:dyDescent="0.35">
      <c r="A31" s="3" t="s">
        <v>171</v>
      </c>
      <c r="B31" s="4">
        <v>0.19011320404691504</v>
      </c>
      <c r="C31" s="1">
        <v>15422364</v>
      </c>
      <c r="D31" s="1">
        <v>2933526.93</v>
      </c>
    </row>
    <row r="32" spans="1:4" x14ac:dyDescent="0.35">
      <c r="A32" s="3" t="s">
        <v>179</v>
      </c>
      <c r="B32" s="4">
        <v>0.18816132301191146</v>
      </c>
      <c r="C32" s="1">
        <v>3655014</v>
      </c>
      <c r="D32" s="1">
        <v>687761.56999999983</v>
      </c>
    </row>
    <row r="33" spans="1:4" x14ac:dyDescent="0.35">
      <c r="A33" s="3" t="s">
        <v>183</v>
      </c>
      <c r="B33" s="4">
        <v>0.188151846632545</v>
      </c>
      <c r="C33" s="1">
        <v>4816203</v>
      </c>
      <c r="D33" s="1">
        <v>906205.69</v>
      </c>
    </row>
    <row r="34" spans="1:4" x14ac:dyDescent="0.35">
      <c r="A34" s="3" t="s">
        <v>137</v>
      </c>
      <c r="B34" s="4">
        <v>0.18567661679797332</v>
      </c>
      <c r="C34" s="1">
        <v>5996562</v>
      </c>
      <c r="D34" s="1">
        <v>1112916.05</v>
      </c>
    </row>
    <row r="35" spans="1:4" x14ac:dyDescent="0.35">
      <c r="A35" s="3" t="s">
        <v>149</v>
      </c>
      <c r="B35" s="4">
        <v>0.18391499843200967</v>
      </c>
      <c r="C35" s="1">
        <v>8700405</v>
      </c>
      <c r="D35" s="1">
        <v>1599725.9500000004</v>
      </c>
    </row>
    <row r="36" spans="1:4" x14ac:dyDescent="0.35">
      <c r="A36" s="3" t="s">
        <v>59</v>
      </c>
      <c r="B36" s="4">
        <v>0.18343131153756062</v>
      </c>
      <c r="C36" s="1">
        <v>9057015</v>
      </c>
      <c r="D36" s="1">
        <v>1661516.03</v>
      </c>
    </row>
    <row r="37" spans="1:4" x14ac:dyDescent="0.35">
      <c r="A37" s="3" t="s">
        <v>155</v>
      </c>
      <c r="B37" s="4">
        <v>0.18301413902682973</v>
      </c>
      <c r="C37" s="1">
        <v>6967506</v>
      </c>
      <c r="D37" s="1">
        <v>1275116.5899999999</v>
      </c>
    </row>
    <row r="38" spans="1:4" x14ac:dyDescent="0.35">
      <c r="A38" s="3" t="s">
        <v>107</v>
      </c>
      <c r="B38" s="4">
        <v>0.18286613016152684</v>
      </c>
      <c r="C38" s="1">
        <v>54527766</v>
      </c>
      <c r="D38" s="1">
        <v>9971818.9699999988</v>
      </c>
    </row>
    <row r="39" spans="1:4" x14ac:dyDescent="0.35">
      <c r="A39" s="3" t="s">
        <v>151</v>
      </c>
      <c r="B39" s="4">
        <v>0.18227906207827058</v>
      </c>
      <c r="C39" s="1">
        <v>32443263</v>
      </c>
      <c r="D39" s="1">
        <v>5912430.1199999982</v>
      </c>
    </row>
    <row r="40" spans="1:4" x14ac:dyDescent="0.35">
      <c r="A40" s="3" t="s">
        <v>157</v>
      </c>
      <c r="B40" s="4">
        <v>0.18215152007816263</v>
      </c>
      <c r="C40" s="1">
        <v>14082030</v>
      </c>
      <c r="D40" s="1">
        <v>2565555.62</v>
      </c>
    </row>
    <row r="41" spans="1:4" x14ac:dyDescent="0.35">
      <c r="A41" s="3" t="s">
        <v>65</v>
      </c>
      <c r="B41" s="4">
        <v>0.1785176611449841</v>
      </c>
      <c r="C41" s="1">
        <v>6942264</v>
      </c>
      <c r="D41" s="1">
        <v>1239129.8199999998</v>
      </c>
    </row>
    <row r="42" spans="1:4" x14ac:dyDescent="0.35">
      <c r="A42" s="3" t="s">
        <v>11</v>
      </c>
      <c r="B42" s="4">
        <v>0.17646850000319225</v>
      </c>
      <c r="C42" s="1">
        <v>7138962</v>
      </c>
      <c r="D42" s="1">
        <v>1259395.3500000001</v>
      </c>
    </row>
    <row r="43" spans="1:4" x14ac:dyDescent="0.35">
      <c r="A43" s="3" t="s">
        <v>45</v>
      </c>
      <c r="B43" s="4">
        <v>0.17589788848644367</v>
      </c>
      <c r="C43" s="1">
        <v>7126827</v>
      </c>
      <c r="D43" s="1">
        <v>1253232.49</v>
      </c>
    </row>
    <row r="44" spans="1:4" x14ac:dyDescent="0.35">
      <c r="A44" s="3" t="s">
        <v>15</v>
      </c>
      <c r="B44" s="4">
        <v>0.17497864382486278</v>
      </c>
      <c r="C44" s="1">
        <v>3069816</v>
      </c>
      <c r="D44" s="1">
        <v>537231.30999999994</v>
      </c>
    </row>
    <row r="45" spans="1:4" x14ac:dyDescent="0.35">
      <c r="A45" s="3" t="s">
        <v>105</v>
      </c>
      <c r="B45" s="4">
        <v>0.17472028924781369</v>
      </c>
      <c r="C45" s="1">
        <v>11259603</v>
      </c>
      <c r="D45" s="1">
        <v>1966737.4400000004</v>
      </c>
    </row>
    <row r="46" spans="1:4" x14ac:dyDescent="0.35">
      <c r="A46" s="3" t="s">
        <v>181</v>
      </c>
      <c r="B46" s="4">
        <v>0.17406342077102199</v>
      </c>
      <c r="C46" s="1">
        <v>1610877</v>
      </c>
      <c r="D46" s="1">
        <v>280378.52</v>
      </c>
    </row>
    <row r="47" spans="1:4" x14ac:dyDescent="0.35">
      <c r="A47" s="3" t="s">
        <v>85</v>
      </c>
      <c r="B47" s="4">
        <v>0.17361414089376179</v>
      </c>
      <c r="C47" s="1">
        <v>5814255</v>
      </c>
      <c r="D47" s="1">
        <v>1009050.5999999999</v>
      </c>
    </row>
    <row r="48" spans="1:4" x14ac:dyDescent="0.35">
      <c r="A48" s="3" t="s">
        <v>17</v>
      </c>
      <c r="B48" s="4">
        <v>0.17342160295049661</v>
      </c>
      <c r="C48" s="1">
        <v>10554297</v>
      </c>
      <c r="D48" s="1">
        <v>1831973.07</v>
      </c>
    </row>
    <row r="49" spans="1:4" x14ac:dyDescent="0.35">
      <c r="A49" s="3" t="s">
        <v>43</v>
      </c>
      <c r="B49" s="4">
        <v>0.17281872420716757</v>
      </c>
      <c r="C49" s="1">
        <v>11630175</v>
      </c>
      <c r="D49" s="1">
        <v>2009870.2000000004</v>
      </c>
    </row>
    <row r="50" spans="1:4" x14ac:dyDescent="0.35">
      <c r="A50" s="3" t="s">
        <v>195</v>
      </c>
      <c r="B50" s="4">
        <v>0.17259458636599914</v>
      </c>
      <c r="C50" s="1">
        <v>6444174</v>
      </c>
      <c r="D50" s="1">
        <v>1112176.07</v>
      </c>
    </row>
    <row r="51" spans="1:4" x14ac:dyDescent="0.35">
      <c r="A51" s="3" t="s">
        <v>97</v>
      </c>
      <c r="B51" s="4">
        <v>0.17259172742562276</v>
      </c>
      <c r="C51" s="1">
        <v>21964230</v>
      </c>
      <c r="D51" s="1">
        <v>3790901.0900000008</v>
      </c>
    </row>
    <row r="52" spans="1:4" x14ac:dyDescent="0.35">
      <c r="A52" s="3" t="s">
        <v>19</v>
      </c>
      <c r="B52" s="4">
        <v>0.17227343881775023</v>
      </c>
      <c r="C52" s="1">
        <v>26140599</v>
      </c>
      <c r="D52" s="1">
        <v>4501250.4800000004</v>
      </c>
    </row>
    <row r="53" spans="1:4" x14ac:dyDescent="0.35">
      <c r="A53" s="3" t="s">
        <v>13</v>
      </c>
      <c r="B53" s="4">
        <v>0.17198272132954195</v>
      </c>
      <c r="C53" s="1">
        <v>6782544</v>
      </c>
      <c r="D53" s="1">
        <v>1167688.5900000001</v>
      </c>
    </row>
    <row r="54" spans="1:4" x14ac:dyDescent="0.35">
      <c r="A54" s="3" t="s">
        <v>141</v>
      </c>
      <c r="B54" s="4">
        <v>0.1715136095186344</v>
      </c>
      <c r="C54" s="1">
        <v>7399740</v>
      </c>
      <c r="D54" s="1">
        <v>1269105.8800000001</v>
      </c>
    </row>
    <row r="55" spans="1:4" x14ac:dyDescent="0.35">
      <c r="A55" s="3" t="s">
        <v>145</v>
      </c>
      <c r="B55" s="4">
        <v>0.17142663649806375</v>
      </c>
      <c r="C55" s="1">
        <v>5069337</v>
      </c>
      <c r="D55" s="1">
        <v>868894.11000000034</v>
      </c>
    </row>
    <row r="56" spans="1:4" x14ac:dyDescent="0.35">
      <c r="A56" s="3" t="s">
        <v>67</v>
      </c>
      <c r="B56" s="4">
        <v>0.1708609035573494</v>
      </c>
      <c r="C56" s="1">
        <v>14085399</v>
      </c>
      <c r="D56" s="1">
        <v>2407203.12</v>
      </c>
    </row>
    <row r="57" spans="1:4" x14ac:dyDescent="0.35">
      <c r="A57" s="3" t="s">
        <v>39</v>
      </c>
      <c r="B57" s="4">
        <v>0.17079351859967698</v>
      </c>
      <c r="C57" s="1">
        <v>4438677</v>
      </c>
      <c r="D57" s="1">
        <v>757982.86999999988</v>
      </c>
    </row>
    <row r="58" spans="1:4" x14ac:dyDescent="0.35">
      <c r="A58" s="3" t="s">
        <v>159</v>
      </c>
      <c r="B58" s="4">
        <v>0.17034022293920112</v>
      </c>
      <c r="C58" s="1">
        <v>7821483</v>
      </c>
      <c r="D58" s="1">
        <v>1332321.8700000001</v>
      </c>
    </row>
    <row r="59" spans="1:4" x14ac:dyDescent="0.35">
      <c r="A59" s="3" t="s">
        <v>103</v>
      </c>
      <c r="B59" s="4">
        <v>0.17018491465443966</v>
      </c>
      <c r="C59" s="1">
        <v>7797327</v>
      </c>
      <c r="D59" s="1">
        <v>1326369.56</v>
      </c>
    </row>
    <row r="60" spans="1:4" x14ac:dyDescent="0.35">
      <c r="A60" s="3" t="s">
        <v>57</v>
      </c>
      <c r="B60" s="4">
        <v>0.17016918174584986</v>
      </c>
      <c r="C60" s="1">
        <v>6448479</v>
      </c>
      <c r="D60" s="1">
        <v>1097057.1599999999</v>
      </c>
    </row>
    <row r="61" spans="1:4" x14ac:dyDescent="0.35">
      <c r="A61" s="3" t="s">
        <v>191</v>
      </c>
      <c r="B61" s="4">
        <v>0.17015842389948746</v>
      </c>
      <c r="C61" s="1">
        <v>28615668</v>
      </c>
      <c r="D61" s="1">
        <v>4867387.4800000004</v>
      </c>
    </row>
    <row r="62" spans="1:4" x14ac:dyDescent="0.35">
      <c r="A62" s="3" t="s">
        <v>47</v>
      </c>
      <c r="B62" s="4">
        <v>0.16971303501031745</v>
      </c>
      <c r="C62" s="1">
        <v>2994612</v>
      </c>
      <c r="D62" s="1">
        <v>507813.2900000001</v>
      </c>
    </row>
    <row r="63" spans="1:4" x14ac:dyDescent="0.35">
      <c r="A63" s="3" t="s">
        <v>101</v>
      </c>
      <c r="B63" s="4">
        <v>0.16951175123346218</v>
      </c>
      <c r="C63" s="1">
        <v>15963597</v>
      </c>
      <c r="D63" s="1">
        <v>2705851.3700000006</v>
      </c>
    </row>
    <row r="64" spans="1:4" x14ac:dyDescent="0.35">
      <c r="A64" s="3" t="s">
        <v>87</v>
      </c>
      <c r="B64" s="4">
        <v>0.1691209055520046</v>
      </c>
      <c r="C64" s="1">
        <v>6463569</v>
      </c>
      <c r="D64" s="1">
        <v>1092875.6299999999</v>
      </c>
    </row>
    <row r="65" spans="1:4" x14ac:dyDescent="0.35">
      <c r="A65" s="3" t="s">
        <v>41</v>
      </c>
      <c r="B65" s="4">
        <v>0.16904999919382546</v>
      </c>
      <c r="C65" s="1">
        <v>4985457</v>
      </c>
      <c r="D65" s="1">
        <v>842688.10999999987</v>
      </c>
    </row>
    <row r="66" spans="1:4" x14ac:dyDescent="0.35">
      <c r="A66" s="3" t="s">
        <v>189</v>
      </c>
      <c r="B66" s="4">
        <v>0.16875502696417563</v>
      </c>
      <c r="C66" s="1">
        <v>5315541</v>
      </c>
      <c r="D66" s="1">
        <v>898699.58000000019</v>
      </c>
    </row>
    <row r="67" spans="1:4" x14ac:dyDescent="0.35">
      <c r="A67" s="3" t="s">
        <v>161</v>
      </c>
      <c r="B67" s="4">
        <v>0.16854208364274925</v>
      </c>
      <c r="C67" s="1">
        <v>9106032</v>
      </c>
      <c r="D67" s="1">
        <v>1534651.6400000004</v>
      </c>
    </row>
    <row r="68" spans="1:4" x14ac:dyDescent="0.35">
      <c r="A68" s="3" t="s">
        <v>61</v>
      </c>
      <c r="B68" s="4">
        <v>0.16846571344198286</v>
      </c>
      <c r="C68" s="1">
        <v>4720530</v>
      </c>
      <c r="D68" s="1">
        <v>795431.39999999991</v>
      </c>
    </row>
    <row r="69" spans="1:4" x14ac:dyDescent="0.35">
      <c r="A69" s="3" t="s">
        <v>187</v>
      </c>
      <c r="B69" s="4">
        <v>0.16846513987500206</v>
      </c>
      <c r="C69" s="1">
        <v>8074407</v>
      </c>
      <c r="D69" s="1">
        <v>1361375.6700000002</v>
      </c>
    </row>
    <row r="70" spans="1:4" x14ac:dyDescent="0.35">
      <c r="A70" s="3" t="s">
        <v>33</v>
      </c>
      <c r="B70" s="4">
        <v>0.16748755785667402</v>
      </c>
      <c r="C70" s="1">
        <v>11149287</v>
      </c>
      <c r="D70" s="1">
        <v>1867188.7799999998</v>
      </c>
    </row>
    <row r="71" spans="1:4" x14ac:dyDescent="0.35">
      <c r="A71" s="3" t="s">
        <v>117</v>
      </c>
      <c r="B71" s="4">
        <v>0.16591560409807138</v>
      </c>
      <c r="C71" s="1">
        <v>29011368</v>
      </c>
      <c r="D71" s="1">
        <v>4810630.7399999993</v>
      </c>
    </row>
    <row r="72" spans="1:4" x14ac:dyDescent="0.35">
      <c r="A72" s="3" t="s">
        <v>63</v>
      </c>
      <c r="B72" s="4">
        <v>0.16533788511135861</v>
      </c>
      <c r="C72" s="1">
        <v>12648213</v>
      </c>
      <c r="D72" s="1">
        <v>2091630.2199999995</v>
      </c>
    </row>
    <row r="73" spans="1:4" x14ac:dyDescent="0.35">
      <c r="A73" s="3" t="s">
        <v>175</v>
      </c>
      <c r="B73" s="4">
        <v>0.1636653371654532</v>
      </c>
      <c r="C73" s="1">
        <v>3996561</v>
      </c>
      <c r="D73" s="1">
        <v>654265.51</v>
      </c>
    </row>
    <row r="74" spans="1:4" x14ac:dyDescent="0.35">
      <c r="A74" s="3" t="s">
        <v>89</v>
      </c>
      <c r="B74" s="4">
        <v>0.16362357882912962</v>
      </c>
      <c r="C74" s="1">
        <v>11928150</v>
      </c>
      <c r="D74" s="1">
        <v>1951629.34</v>
      </c>
    </row>
    <row r="75" spans="1:4" x14ac:dyDescent="0.35">
      <c r="A75" s="3" t="s">
        <v>37</v>
      </c>
      <c r="B75" s="4">
        <v>0.16351067887084456</v>
      </c>
      <c r="C75" s="1">
        <v>5464806</v>
      </c>
      <c r="D75" s="1">
        <v>893517.92</v>
      </c>
    </row>
    <row r="76" spans="1:4" x14ac:dyDescent="0.35">
      <c r="A76" s="3" t="s">
        <v>169</v>
      </c>
      <c r="B76" s="4">
        <v>0.16322728996028549</v>
      </c>
      <c r="C76" s="1">
        <v>5844660</v>
      </c>
      <c r="D76" s="1">
        <v>954198.01999999967</v>
      </c>
    </row>
    <row r="77" spans="1:4" x14ac:dyDescent="0.35">
      <c r="A77" s="3" t="s">
        <v>91</v>
      </c>
      <c r="B77" s="4">
        <v>0.16299652814050003</v>
      </c>
      <c r="C77" s="1">
        <v>3742374</v>
      </c>
      <c r="D77" s="1">
        <v>609639.21000000008</v>
      </c>
    </row>
    <row r="78" spans="1:4" x14ac:dyDescent="0.35">
      <c r="A78" s="3" t="s">
        <v>25</v>
      </c>
      <c r="B78" s="4">
        <v>0.16264013627631727</v>
      </c>
      <c r="C78" s="1">
        <v>13594692</v>
      </c>
      <c r="D78" s="1">
        <v>2209075.6700000004</v>
      </c>
    </row>
    <row r="79" spans="1:4" x14ac:dyDescent="0.35">
      <c r="A79" s="3" t="s">
        <v>21</v>
      </c>
      <c r="B79" s="4">
        <v>0.16136656982502359</v>
      </c>
      <c r="C79" s="1">
        <v>15926694</v>
      </c>
      <c r="D79" s="1">
        <v>2570449.96</v>
      </c>
    </row>
    <row r="80" spans="1:4" x14ac:dyDescent="0.35">
      <c r="A80" s="3" t="s">
        <v>147</v>
      </c>
      <c r="B80" s="4">
        <v>0.16104992949830696</v>
      </c>
      <c r="C80" s="1">
        <v>2515014</v>
      </c>
      <c r="D80" s="1">
        <v>404579.01999999996</v>
      </c>
    </row>
    <row r="81" spans="1:4" x14ac:dyDescent="0.35">
      <c r="A81" s="3" t="s">
        <v>163</v>
      </c>
      <c r="B81" s="4">
        <v>0.16094188747745944</v>
      </c>
      <c r="C81" s="1">
        <v>7863102</v>
      </c>
      <c r="D81" s="1">
        <v>1265431.44</v>
      </c>
    </row>
    <row r="82" spans="1:4" x14ac:dyDescent="0.35">
      <c r="A82" s="3" t="s">
        <v>121</v>
      </c>
      <c r="B82" s="4">
        <v>0.16092326835051368</v>
      </c>
      <c r="C82" s="1">
        <v>26624748</v>
      </c>
      <c r="D82" s="1">
        <v>4284266.6100000003</v>
      </c>
    </row>
    <row r="83" spans="1:4" x14ac:dyDescent="0.35">
      <c r="A83" s="3" t="s">
        <v>93</v>
      </c>
      <c r="B83" s="4">
        <v>0.16021641507725884</v>
      </c>
      <c r="C83" s="1">
        <v>15387831</v>
      </c>
      <c r="D83" s="1">
        <v>2465260.81</v>
      </c>
    </row>
    <row r="84" spans="1:4" x14ac:dyDescent="0.35">
      <c r="A84" s="3" t="s">
        <v>6</v>
      </c>
      <c r="B84" s="4">
        <v>0.15953752812845184</v>
      </c>
      <c r="C84" s="1">
        <v>13209114</v>
      </c>
      <c r="D84" s="1">
        <v>2107104.94</v>
      </c>
    </row>
    <row r="85" spans="1:4" x14ac:dyDescent="0.35">
      <c r="A85" s="3" t="s">
        <v>35</v>
      </c>
      <c r="B85" s="4">
        <v>0.15932933600512239</v>
      </c>
      <c r="C85" s="1">
        <v>11264385</v>
      </c>
      <c r="D85" s="1">
        <v>1793578.73</v>
      </c>
    </row>
    <row r="86" spans="1:4" x14ac:dyDescent="0.35">
      <c r="A86" s="3" t="s">
        <v>53</v>
      </c>
      <c r="B86" s="4">
        <v>0.15888258801470478</v>
      </c>
      <c r="C86" s="1">
        <v>21824151</v>
      </c>
      <c r="D86" s="1">
        <v>3466498.7</v>
      </c>
    </row>
    <row r="87" spans="1:4" x14ac:dyDescent="0.35">
      <c r="A87" s="3" t="s">
        <v>197</v>
      </c>
      <c r="B87" s="4">
        <v>0.15814158680341489</v>
      </c>
      <c r="C87" s="1">
        <v>11889672</v>
      </c>
      <c r="D87" s="1">
        <v>1880106.6200000003</v>
      </c>
    </row>
    <row r="88" spans="1:4" x14ac:dyDescent="0.35">
      <c r="A88" s="3" t="s">
        <v>173</v>
      </c>
      <c r="B88" s="4">
        <v>0.15728681724518553</v>
      </c>
      <c r="C88" s="1">
        <v>27965367</v>
      </c>
      <c r="D88" s="1">
        <v>4398204.2699999996</v>
      </c>
    </row>
    <row r="89" spans="1:4" x14ac:dyDescent="0.35">
      <c r="A89" s="3" t="s">
        <v>115</v>
      </c>
      <c r="B89" s="4">
        <v>0.15633620277886515</v>
      </c>
      <c r="C89" s="1">
        <v>46218747</v>
      </c>
      <c r="D89" s="1">
        <v>7229317.8899999987</v>
      </c>
    </row>
    <row r="90" spans="1:4" x14ac:dyDescent="0.35">
      <c r="A90" s="3" t="s">
        <v>129</v>
      </c>
      <c r="B90" s="4">
        <v>0.15595183065754631</v>
      </c>
      <c r="C90" s="1">
        <v>25482681</v>
      </c>
      <c r="D90" s="1">
        <v>3975713.9400000009</v>
      </c>
    </row>
    <row r="91" spans="1:4" x14ac:dyDescent="0.35">
      <c r="A91" s="3" t="s">
        <v>23</v>
      </c>
      <c r="B91" s="4">
        <v>0.15509474364201079</v>
      </c>
      <c r="C91" s="1">
        <v>4750209</v>
      </c>
      <c r="D91" s="1">
        <v>736970.85999999987</v>
      </c>
    </row>
    <row r="92" spans="1:4" x14ac:dyDescent="0.35">
      <c r="A92" s="3" t="s">
        <v>95</v>
      </c>
      <c r="B92" s="4">
        <v>0.15409057478970678</v>
      </c>
      <c r="C92" s="1">
        <v>3970407</v>
      </c>
      <c r="D92" s="1">
        <v>611645.35</v>
      </c>
    </row>
    <row r="93" spans="1:4" x14ac:dyDescent="0.35">
      <c r="A93" s="3" t="s">
        <v>99</v>
      </c>
      <c r="B93" s="4">
        <v>0.15265845180753418</v>
      </c>
      <c r="C93" s="1">
        <v>23514312</v>
      </c>
      <c r="D93" s="1">
        <v>3588090.1399999997</v>
      </c>
    </row>
    <row r="94" spans="1:4" x14ac:dyDescent="0.35">
      <c r="A94" s="3" t="s">
        <v>119</v>
      </c>
      <c r="B94" s="4">
        <v>0.1509102362775363</v>
      </c>
      <c r="C94" s="1">
        <v>30029424</v>
      </c>
      <c r="D94" s="1">
        <v>4532434.66</v>
      </c>
    </row>
    <row r="95" spans="1:4" x14ac:dyDescent="0.35">
      <c r="A95" s="3" t="s">
        <v>193</v>
      </c>
      <c r="B95" s="4">
        <v>0.1479200571336281</v>
      </c>
      <c r="C95" s="1">
        <v>16911933</v>
      </c>
      <c r="D95" s="1">
        <v>2501102.19</v>
      </c>
    </row>
    <row r="96" spans="1:4" x14ac:dyDescent="0.35">
      <c r="A96" s="3" t="s">
        <v>125</v>
      </c>
      <c r="B96" s="4">
        <v>0.14407361402386437</v>
      </c>
      <c r="C96" s="1">
        <v>33383220</v>
      </c>
      <c r="D96" s="1">
        <v>4809813.95</v>
      </c>
    </row>
    <row r="97" spans="1:4" x14ac:dyDescent="0.35">
      <c r="A97" s="3" t="s">
        <v>127</v>
      </c>
      <c r="B97" s="4">
        <v>0.13258928434327602</v>
      </c>
      <c r="C97" s="1">
        <v>28767150</v>
      </c>
      <c r="D97" s="1">
        <v>3811795.52</v>
      </c>
    </row>
    <row r="98" spans="1:4" x14ac:dyDescent="0.35">
      <c r="A98" s="3" t="s">
        <v>27</v>
      </c>
      <c r="B98" s="4">
        <v>0.132019276596233</v>
      </c>
      <c r="C98" s="1">
        <v>38002515</v>
      </c>
      <c r="D98" s="1">
        <v>5015351.3699999992</v>
      </c>
    </row>
    <row r="99" spans="1:4" x14ac:dyDescent="0.35">
      <c r="A99" s="3" t="s">
        <v>123</v>
      </c>
      <c r="B99" s="4">
        <v>0.12878771884230827</v>
      </c>
      <c r="C99" s="1">
        <v>33615897</v>
      </c>
      <c r="D99" s="1">
        <v>4328450.3999999994</v>
      </c>
    </row>
    <row r="100" spans="1:4" x14ac:dyDescent="0.35">
      <c r="A100" s="3" t="s">
        <v>75</v>
      </c>
      <c r="B100" s="4"/>
      <c r="C100" s="1"/>
      <c r="D100" s="1">
        <v>1328163.9099999999</v>
      </c>
    </row>
    <row r="101" spans="1:4" x14ac:dyDescent="0.35">
      <c r="A101" s="3" t="s">
        <v>77</v>
      </c>
      <c r="B101" s="4"/>
      <c r="C101" s="1"/>
      <c r="D101" s="1">
        <v>596720.28999999992</v>
      </c>
    </row>
    <row r="102" spans="1:4" x14ac:dyDescent="0.35">
      <c r="A102" s="3" t="s">
        <v>81</v>
      </c>
      <c r="B102" s="4"/>
      <c r="C102" s="1"/>
      <c r="D102" s="1">
        <v>29146.9</v>
      </c>
    </row>
    <row r="103" spans="1:4" x14ac:dyDescent="0.35">
      <c r="A103" s="3" t="s">
        <v>83</v>
      </c>
      <c r="B103" s="4"/>
      <c r="C103" s="1"/>
      <c r="D103" s="1">
        <v>70417.08</v>
      </c>
    </row>
    <row r="104" spans="1:4" x14ac:dyDescent="0.35">
      <c r="A104" s="3" t="s">
        <v>213</v>
      </c>
      <c r="B104" s="4"/>
      <c r="C104" s="1"/>
      <c r="D104" s="1">
        <v>314265.70999999996</v>
      </c>
    </row>
    <row r="105" spans="1:4" x14ac:dyDescent="0.35">
      <c r="A105" s="3" t="s">
        <v>215</v>
      </c>
      <c r="B105" s="4"/>
      <c r="C105" s="1"/>
      <c r="D105" s="1">
        <v>109507.22</v>
      </c>
    </row>
    <row r="106" spans="1:4" x14ac:dyDescent="0.35">
      <c r="A106" s="3" t="s">
        <v>73</v>
      </c>
      <c r="B106" s="4"/>
      <c r="C106" s="1"/>
      <c r="D106" s="1">
        <v>1658125.05</v>
      </c>
    </row>
    <row r="107" spans="1:4" x14ac:dyDescent="0.35">
      <c r="A107" s="3" t="s">
        <v>79</v>
      </c>
      <c r="B107" s="4"/>
      <c r="C107" s="1"/>
      <c r="D107" s="1">
        <v>3514643.55</v>
      </c>
    </row>
    <row r="108" spans="1:4" x14ac:dyDescent="0.35">
      <c r="A108" s="3" t="s">
        <v>296</v>
      </c>
      <c r="B108" s="4">
        <v>0.17968170846772358</v>
      </c>
      <c r="C108" s="1">
        <v>1346327559</v>
      </c>
      <c r="D108" s="1">
        <v>244879434.81999996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CD22E-07C6-4FA1-9CDB-27F66F250F9C}">
  <dimension ref="A1:B9"/>
  <sheetViews>
    <sheetView workbookViewId="0">
      <selection activeCell="B9" sqref="A1:B9"/>
    </sheetView>
  </sheetViews>
  <sheetFormatPr baseColWidth="10" defaultRowHeight="14.5" x14ac:dyDescent="0.35"/>
  <cols>
    <col min="1" max="1" width="19.54296875" bestFit="1" customWidth="1"/>
    <col min="2" max="2" width="31.26953125" bestFit="1" customWidth="1"/>
  </cols>
  <sheetData>
    <row r="1" spans="1:2" x14ac:dyDescent="0.35">
      <c r="A1" s="2" t="s">
        <v>295</v>
      </c>
      <c r="B1" t="s">
        <v>299</v>
      </c>
    </row>
    <row r="2" spans="1:2" x14ac:dyDescent="0.35">
      <c r="A2" s="3">
        <v>2009</v>
      </c>
      <c r="B2" s="1">
        <v>0.17986849991110015</v>
      </c>
    </row>
    <row r="3" spans="1:2" x14ac:dyDescent="0.35">
      <c r="A3" s="3">
        <v>2011</v>
      </c>
      <c r="B3" s="1">
        <v>0.17924905470893032</v>
      </c>
    </row>
    <row r="4" spans="1:2" x14ac:dyDescent="0.35">
      <c r="A4" s="3">
        <v>2013</v>
      </c>
      <c r="B4" s="1">
        <v>0.17518123670439845</v>
      </c>
    </row>
    <row r="5" spans="1:2" x14ac:dyDescent="0.35">
      <c r="A5" s="3">
        <v>2015</v>
      </c>
      <c r="B5" s="1">
        <v>0.17544774020482282</v>
      </c>
    </row>
    <row r="6" spans="1:2" x14ac:dyDescent="0.35">
      <c r="A6" s="3">
        <v>2017</v>
      </c>
      <c r="B6" s="1">
        <v>0.17974864886787939</v>
      </c>
    </row>
    <row r="7" spans="1:2" x14ac:dyDescent="0.35">
      <c r="A7" s="3">
        <v>2019</v>
      </c>
      <c r="B7" s="1">
        <v>0.1801732349460082</v>
      </c>
    </row>
    <row r="8" spans="1:2" x14ac:dyDescent="0.35">
      <c r="A8" s="3">
        <v>2021</v>
      </c>
      <c r="B8" s="1">
        <v>0.1881035439309274</v>
      </c>
    </row>
    <row r="9" spans="1:2" x14ac:dyDescent="0.35">
      <c r="A9" s="3" t="s">
        <v>296</v>
      </c>
      <c r="B9" s="1">
        <v>0.17968170846772361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57928-F26D-4B22-9362-8A7AFD8AD118}">
  <dimension ref="A1:B14"/>
  <sheetViews>
    <sheetView workbookViewId="0">
      <selection activeCell="D19" sqref="D19"/>
    </sheetView>
  </sheetViews>
  <sheetFormatPr baseColWidth="10" defaultRowHeight="14.5" x14ac:dyDescent="0.35"/>
  <cols>
    <col min="1" max="1" width="19.54296875" bestFit="1" customWidth="1"/>
    <col min="2" max="2" width="24.1796875" bestFit="1" customWidth="1"/>
  </cols>
  <sheetData>
    <row r="1" spans="1:2" x14ac:dyDescent="0.35">
      <c r="A1" s="2" t="s">
        <v>3</v>
      </c>
      <c r="B1" t="s">
        <v>300</v>
      </c>
    </row>
    <row r="3" spans="1:2" x14ac:dyDescent="0.35">
      <c r="A3" s="2" t="s">
        <v>295</v>
      </c>
      <c r="B3" t="s">
        <v>297</v>
      </c>
    </row>
    <row r="4" spans="1:2" x14ac:dyDescent="0.35">
      <c r="A4" s="3" t="s">
        <v>191</v>
      </c>
      <c r="B4" s="1">
        <v>4867387.4800000004</v>
      </c>
    </row>
    <row r="5" spans="1:2" x14ac:dyDescent="0.35">
      <c r="A5" s="3" t="s">
        <v>27</v>
      </c>
      <c r="B5" s="1">
        <v>5015351.3699999992</v>
      </c>
    </row>
    <row r="6" spans="1:2" x14ac:dyDescent="0.35">
      <c r="A6" s="3" t="s">
        <v>139</v>
      </c>
      <c r="B6" s="1">
        <v>5199167.1500000004</v>
      </c>
    </row>
    <row r="7" spans="1:2" x14ac:dyDescent="0.35">
      <c r="A7" s="3" t="s">
        <v>205</v>
      </c>
      <c r="B7" s="1">
        <v>5239323.4200000009</v>
      </c>
    </row>
    <row r="8" spans="1:2" x14ac:dyDescent="0.35">
      <c r="A8" s="3" t="s">
        <v>209</v>
      </c>
      <c r="B8" s="1">
        <v>5306038.1099999994</v>
      </c>
    </row>
    <row r="9" spans="1:2" x14ac:dyDescent="0.35">
      <c r="A9" s="3" t="s">
        <v>151</v>
      </c>
      <c r="B9" s="1">
        <v>5912430.1199999982</v>
      </c>
    </row>
    <row r="10" spans="1:2" x14ac:dyDescent="0.35">
      <c r="A10" s="3" t="s">
        <v>111</v>
      </c>
      <c r="B10" s="1">
        <v>6307776.0899999989</v>
      </c>
    </row>
    <row r="11" spans="1:2" x14ac:dyDescent="0.35">
      <c r="A11" s="3" t="s">
        <v>115</v>
      </c>
      <c r="B11" s="1">
        <v>7229317.8899999987</v>
      </c>
    </row>
    <row r="12" spans="1:2" x14ac:dyDescent="0.35">
      <c r="A12" s="3" t="s">
        <v>207</v>
      </c>
      <c r="B12" s="1">
        <v>8056829.1199999992</v>
      </c>
    </row>
    <row r="13" spans="1:2" x14ac:dyDescent="0.35">
      <c r="A13" s="3" t="s">
        <v>107</v>
      </c>
      <c r="B13" s="1">
        <v>9971818.9699999988</v>
      </c>
    </row>
    <row r="14" spans="1:2" x14ac:dyDescent="0.35">
      <c r="A14" s="3" t="s">
        <v>296</v>
      </c>
      <c r="B14" s="1">
        <v>63105439.719999991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1351D-D1E6-44A2-B669-F6AB17351E08}">
  <dimension ref="A1:E10"/>
  <sheetViews>
    <sheetView workbookViewId="0">
      <selection activeCell="B7" sqref="B7"/>
    </sheetView>
  </sheetViews>
  <sheetFormatPr baseColWidth="10" defaultRowHeight="14.5" x14ac:dyDescent="0.35"/>
  <cols>
    <col min="1" max="1" width="31.26953125" bestFit="1" customWidth="1"/>
    <col min="2" max="2" width="22.26953125" bestFit="1" customWidth="1"/>
    <col min="3" max="3" width="15.36328125" bestFit="1" customWidth="1"/>
    <col min="4" max="5" width="11.81640625" bestFit="1" customWidth="1"/>
  </cols>
  <sheetData>
    <row r="1" spans="1:5" x14ac:dyDescent="0.35">
      <c r="A1" s="2" t="s">
        <v>299</v>
      </c>
      <c r="B1" s="2" t="s">
        <v>304</v>
      </c>
    </row>
    <row r="2" spans="1:5" x14ac:dyDescent="0.35">
      <c r="A2" s="2" t="s">
        <v>295</v>
      </c>
      <c r="B2" t="s">
        <v>7</v>
      </c>
      <c r="C2" t="s">
        <v>8</v>
      </c>
      <c r="D2" t="s">
        <v>9</v>
      </c>
      <c r="E2" t="s">
        <v>296</v>
      </c>
    </row>
    <row r="3" spans="1:5" x14ac:dyDescent="0.35">
      <c r="A3" s="3">
        <v>2009</v>
      </c>
      <c r="B3" s="1">
        <v>0.29191490231221368</v>
      </c>
      <c r="C3" s="1">
        <v>9.927483608944164E-2</v>
      </c>
      <c r="D3" s="1">
        <v>0.14841576133164489</v>
      </c>
      <c r="E3" s="1">
        <v>0.17986849991109999</v>
      </c>
    </row>
    <row r="4" spans="1:5" x14ac:dyDescent="0.35">
      <c r="A4" s="3">
        <v>2011</v>
      </c>
      <c r="B4" s="1">
        <v>0.28119193371943479</v>
      </c>
      <c r="C4" s="1">
        <v>0.10012283229382478</v>
      </c>
      <c r="D4" s="1">
        <v>0.15643239811353218</v>
      </c>
      <c r="E4" s="1">
        <v>0.17924905470893041</v>
      </c>
    </row>
    <row r="5" spans="1:5" x14ac:dyDescent="0.35">
      <c r="A5" s="3">
        <v>2013</v>
      </c>
      <c r="B5" s="1">
        <v>0.26297918437171663</v>
      </c>
      <c r="C5" s="1">
        <v>9.8789553186019605E-2</v>
      </c>
      <c r="D5" s="1">
        <v>0.16377497255545867</v>
      </c>
      <c r="E5" s="1">
        <v>0.17518123670439828</v>
      </c>
    </row>
    <row r="6" spans="1:5" x14ac:dyDescent="0.35">
      <c r="A6" s="3">
        <v>2015</v>
      </c>
      <c r="B6" s="1">
        <v>0.25439389163576603</v>
      </c>
      <c r="C6" s="1">
        <v>0.10015740007986969</v>
      </c>
      <c r="D6" s="1">
        <v>0.17179192889883263</v>
      </c>
      <c r="E6" s="1">
        <v>0.17544774020482287</v>
      </c>
    </row>
    <row r="7" spans="1:5" x14ac:dyDescent="0.35">
      <c r="A7" s="3">
        <v>2017</v>
      </c>
      <c r="B7" s="1">
        <v>0.24666309579799539</v>
      </c>
      <c r="C7" s="1">
        <v>0.10584275225069956</v>
      </c>
      <c r="D7" s="1">
        <v>0.18674009855494303</v>
      </c>
      <c r="E7" s="1">
        <v>0.17974864886787942</v>
      </c>
    </row>
    <row r="8" spans="1:5" x14ac:dyDescent="0.35">
      <c r="A8" s="3">
        <v>2019</v>
      </c>
      <c r="B8" s="1">
        <v>0.23838460555473859</v>
      </c>
      <c r="C8" s="1">
        <v>0.10843441442103757</v>
      </c>
      <c r="D8" s="1">
        <v>0.1937006848622482</v>
      </c>
      <c r="E8" s="1">
        <v>0.18017323494600823</v>
      </c>
    </row>
    <row r="9" spans="1:5" x14ac:dyDescent="0.35">
      <c r="A9" s="3">
        <v>2021</v>
      </c>
      <c r="B9" s="1">
        <v>0.23611525386812135</v>
      </c>
      <c r="C9" s="1">
        <v>0.11836661833330037</v>
      </c>
      <c r="D9" s="1">
        <v>0.20982875959136063</v>
      </c>
      <c r="E9" s="1">
        <v>0.1881035439309274</v>
      </c>
    </row>
    <row r="10" spans="1:5" x14ac:dyDescent="0.35">
      <c r="A10" s="3" t="s">
        <v>296</v>
      </c>
      <c r="B10" s="1">
        <v>0.25880612389428337</v>
      </c>
      <c r="C10" s="1">
        <v>0.10442691523631326</v>
      </c>
      <c r="D10" s="1">
        <v>0.17581208627257436</v>
      </c>
      <c r="E10" s="1">
        <v>0.17968170846772383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C2A51-9F75-45E9-B784-A323C0CEF40B}">
  <dimension ref="A1:C5"/>
  <sheetViews>
    <sheetView workbookViewId="0">
      <selection activeCell="AJ23" sqref="AJ23"/>
    </sheetView>
  </sheetViews>
  <sheetFormatPr baseColWidth="10" defaultRowHeight="14.5" x14ac:dyDescent="0.35"/>
  <cols>
    <col min="1" max="1" width="19.54296875" bestFit="1" customWidth="1"/>
    <col min="2" max="2" width="29.54296875" bestFit="1" customWidth="1"/>
    <col min="3" max="3" width="15.36328125" bestFit="1" customWidth="1"/>
    <col min="4" max="5" width="11.81640625" bestFit="1" customWidth="1"/>
  </cols>
  <sheetData>
    <row r="1" spans="1:3" x14ac:dyDescent="0.35">
      <c r="A1" s="2" t="s">
        <v>295</v>
      </c>
      <c r="B1" t="s">
        <v>302</v>
      </c>
    </row>
    <row r="2" spans="1:3" x14ac:dyDescent="0.35">
      <c r="A2" s="3" t="s">
        <v>7</v>
      </c>
      <c r="B2" s="8">
        <v>0.48011958869067511</v>
      </c>
      <c r="C2">
        <f>1-GETPIVOTDATA("Tonnage_par_habitant",$A$1,"TYP_COLLECTE","Collecte OMR")</f>
        <v>0.51988041130932494</v>
      </c>
    </row>
    <row r="3" spans="1:3" x14ac:dyDescent="0.35">
      <c r="A3" s="3" t="s">
        <v>8</v>
      </c>
      <c r="B3" s="8">
        <v>0.19372573893179829</v>
      </c>
      <c r="C3">
        <f>1-GETPIVOTDATA("Tonnage_par_habitant",$A$1,"TYP_COLLECTE","Collecte séparées")</f>
        <v>0.80627426106820166</v>
      </c>
    </row>
    <row r="4" spans="1:3" x14ac:dyDescent="0.35">
      <c r="A4" s="3" t="s">
        <v>9</v>
      </c>
      <c r="B4" s="8">
        <v>0.32615467237752654</v>
      </c>
      <c r="C4">
        <f>1-GETPIVOTDATA("Tonnage_par_habitant",$A$1,"TYP_COLLECTE","Déchèterie")</f>
        <v>0.6738453276224734</v>
      </c>
    </row>
    <row r="5" spans="1:3" x14ac:dyDescent="0.35">
      <c r="A5" s="3" t="s">
        <v>296</v>
      </c>
      <c r="B5" s="4">
        <v>1</v>
      </c>
    </row>
  </sheetData>
  <pageMargins left="0.7" right="0.7" top="0.75" bottom="0.75" header="0.3" footer="0.3"/>
  <pageSetup paperSize="9"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1B63A-6ABC-477D-BFEF-5E599289D96B}">
  <dimension ref="A1:E132"/>
  <sheetViews>
    <sheetView workbookViewId="0">
      <selection activeCell="N11" sqref="N11"/>
    </sheetView>
  </sheetViews>
  <sheetFormatPr baseColWidth="10" defaultRowHeight="14.5" x14ac:dyDescent="0.35"/>
  <cols>
    <col min="1" max="1" width="22.1796875" bestFit="1" customWidth="1"/>
    <col min="2" max="2" width="29.54296875" bestFit="1" customWidth="1"/>
  </cols>
  <sheetData>
    <row r="1" spans="1:2" x14ac:dyDescent="0.35">
      <c r="A1" s="2" t="s">
        <v>3</v>
      </c>
      <c r="B1" t="s">
        <v>300</v>
      </c>
    </row>
    <row r="3" spans="1:2" x14ac:dyDescent="0.35">
      <c r="A3" s="2" t="s">
        <v>295</v>
      </c>
      <c r="B3" t="s">
        <v>302</v>
      </c>
    </row>
    <row r="4" spans="1:2" x14ac:dyDescent="0.35">
      <c r="A4" s="3" t="s">
        <v>6</v>
      </c>
      <c r="B4" s="1">
        <v>3.350288090697489</v>
      </c>
    </row>
    <row r="5" spans="1:2" x14ac:dyDescent="0.35">
      <c r="A5" s="3" t="s">
        <v>105</v>
      </c>
      <c r="B5" s="1">
        <v>3.6691260742040877</v>
      </c>
    </row>
    <row r="6" spans="1:2" x14ac:dyDescent="0.35">
      <c r="A6" s="3" t="s">
        <v>11</v>
      </c>
      <c r="B6" s="1">
        <v>3.7058385000670375</v>
      </c>
    </row>
    <row r="7" spans="1:2" x14ac:dyDescent="0.35">
      <c r="A7" s="3" t="s">
        <v>201</v>
      </c>
      <c r="B7" s="1">
        <v>4.4910248271089674</v>
      </c>
    </row>
    <row r="8" spans="1:2" x14ac:dyDescent="0.35">
      <c r="A8" s="3" t="s">
        <v>205</v>
      </c>
      <c r="B8" s="1">
        <v>4.8224100810430093</v>
      </c>
    </row>
    <row r="9" spans="1:2" x14ac:dyDescent="0.35">
      <c r="A9" s="3" t="s">
        <v>13</v>
      </c>
      <c r="B9" s="1">
        <v>3.6116371479203808</v>
      </c>
    </row>
    <row r="10" spans="1:2" x14ac:dyDescent="0.35">
      <c r="A10" s="3" t="s">
        <v>85</v>
      </c>
      <c r="B10" s="1">
        <v>3.6458969587689976</v>
      </c>
    </row>
    <row r="11" spans="1:2" x14ac:dyDescent="0.35">
      <c r="A11" s="3" t="s">
        <v>165</v>
      </c>
      <c r="B11" s="1">
        <v>4.5896768897685787</v>
      </c>
    </row>
    <row r="12" spans="1:2" x14ac:dyDescent="0.35">
      <c r="A12" s="3" t="s">
        <v>87</v>
      </c>
      <c r="B12" s="1">
        <v>3.5515390165920966</v>
      </c>
    </row>
    <row r="13" spans="1:2" x14ac:dyDescent="0.35">
      <c r="A13" s="3" t="s">
        <v>167</v>
      </c>
      <c r="B13" s="1">
        <v>4.2921108972049868</v>
      </c>
    </row>
    <row r="14" spans="1:2" x14ac:dyDescent="0.35">
      <c r="A14" s="3" t="s">
        <v>169</v>
      </c>
      <c r="B14" s="1">
        <v>3.4277730891659952</v>
      </c>
    </row>
    <row r="15" spans="1:2" x14ac:dyDescent="0.35">
      <c r="A15" s="3" t="s">
        <v>99</v>
      </c>
      <c r="B15" s="1">
        <v>3.2058274879582176</v>
      </c>
    </row>
    <row r="16" spans="1:2" x14ac:dyDescent="0.35">
      <c r="A16" s="3" t="s">
        <v>207</v>
      </c>
      <c r="B16" s="1">
        <v>4.0080069431010488</v>
      </c>
    </row>
    <row r="17" spans="1:5" x14ac:dyDescent="0.35">
      <c r="A17" s="3" t="s">
        <v>131</v>
      </c>
      <c r="B17" s="1">
        <v>4.4368669229087283</v>
      </c>
    </row>
    <row r="18" spans="1:5" x14ac:dyDescent="0.35">
      <c r="A18" s="3" t="s">
        <v>15</v>
      </c>
      <c r="B18" s="1">
        <v>3.6745515203221184</v>
      </c>
    </row>
    <row r="19" spans="1:5" x14ac:dyDescent="0.35">
      <c r="A19" s="3" t="s">
        <v>141</v>
      </c>
      <c r="B19" s="1">
        <v>3.6017857998913225</v>
      </c>
    </row>
    <row r="20" spans="1:5" x14ac:dyDescent="0.35">
      <c r="A20" s="3" t="s">
        <v>143</v>
      </c>
      <c r="B20" s="1">
        <v>4.5799047093148415</v>
      </c>
    </row>
    <row r="21" spans="1:5" x14ac:dyDescent="0.35">
      <c r="A21" s="3" t="s">
        <v>57</v>
      </c>
      <c r="B21" s="1">
        <v>3.573552816662847</v>
      </c>
    </row>
    <row r="22" spans="1:5" x14ac:dyDescent="0.35">
      <c r="A22" s="3" t="s">
        <v>145</v>
      </c>
      <c r="B22" s="1">
        <v>3.5999593664593386</v>
      </c>
    </row>
    <row r="23" spans="1:5" x14ac:dyDescent="0.35">
      <c r="A23" s="3" t="s">
        <v>69</v>
      </c>
      <c r="B23" s="1">
        <v>4.8219352050193534</v>
      </c>
      <c r="D23" t="s">
        <v>303</v>
      </c>
      <c r="E23" t="s">
        <v>305</v>
      </c>
    </row>
    <row r="24" spans="1:5" x14ac:dyDescent="0.35">
      <c r="A24" s="3" t="s">
        <v>33</v>
      </c>
      <c r="B24" s="1">
        <v>3.5172387149901545</v>
      </c>
      <c r="D24" s="3" t="str">
        <f>A4</f>
        <v>Ain</v>
      </c>
      <c r="E24" s="1">
        <v>0.54905139436923101</v>
      </c>
    </row>
    <row r="25" spans="1:5" x14ac:dyDescent="0.35">
      <c r="A25" s="3" t="s">
        <v>49</v>
      </c>
      <c r="B25" s="1">
        <v>4.7440895785652204</v>
      </c>
      <c r="D25" s="3" t="str">
        <f t="shared" ref="D25:D88" si="0">A5</f>
        <v>Aisne</v>
      </c>
      <c r="E25" s="1">
        <v>0.80564152245876419</v>
      </c>
    </row>
    <row r="26" spans="1:5" x14ac:dyDescent="0.35">
      <c r="A26" s="3" t="s">
        <v>147</v>
      </c>
      <c r="B26" s="1">
        <v>3.3820485194644463</v>
      </c>
      <c r="D26" s="3" t="str">
        <f t="shared" si="0"/>
        <v>Allier</v>
      </c>
      <c r="E26" s="1">
        <v>0.62856196491736538</v>
      </c>
    </row>
    <row r="27" spans="1:5" x14ac:dyDescent="0.35">
      <c r="A27" s="3" t="s">
        <v>159</v>
      </c>
      <c r="B27" s="1">
        <v>3.5771446817232233</v>
      </c>
      <c r="D27" s="3" t="str">
        <f t="shared" si="0"/>
        <v>Alpes-de-Haute-Provence</v>
      </c>
      <c r="E27" s="1">
        <v>0.47858033259212318</v>
      </c>
    </row>
    <row r="28" spans="1:5" x14ac:dyDescent="0.35">
      <c r="A28" s="3" t="s">
        <v>149</v>
      </c>
      <c r="B28" s="1">
        <v>3.862214967072203</v>
      </c>
      <c r="D28" s="3" t="str">
        <f t="shared" si="0"/>
        <v>Alpes-Maritimes</v>
      </c>
      <c r="E28" s="1">
        <v>0.81482667382940455</v>
      </c>
    </row>
    <row r="29" spans="1:5" x14ac:dyDescent="0.35">
      <c r="A29" s="3" t="s">
        <v>35</v>
      </c>
      <c r="B29" s="1">
        <v>3.3459160561075705</v>
      </c>
      <c r="D29" s="3" t="str">
        <f t="shared" si="0"/>
        <v>Ardèche</v>
      </c>
      <c r="E29" s="1">
        <v>0.56228402244396003</v>
      </c>
    </row>
    <row r="30" spans="1:5" x14ac:dyDescent="0.35">
      <c r="A30" s="3" t="s">
        <v>17</v>
      </c>
      <c r="B30" s="1">
        <v>3.6418536619604285</v>
      </c>
      <c r="D30" s="3" t="str">
        <f t="shared" si="0"/>
        <v>Ardennes</v>
      </c>
      <c r="E30" s="1">
        <v>0.75372220185396266</v>
      </c>
    </row>
    <row r="31" spans="1:5" x14ac:dyDescent="0.35">
      <c r="A31" s="3" t="s">
        <v>121</v>
      </c>
      <c r="B31" s="1">
        <v>3.3793886353607872</v>
      </c>
      <c r="D31" s="3" t="str">
        <f t="shared" si="0"/>
        <v>Ariège</v>
      </c>
      <c r="E31" s="1">
        <v>0.95344495142494157</v>
      </c>
    </row>
    <row r="32" spans="1:5" x14ac:dyDescent="0.35">
      <c r="A32" s="3" t="s">
        <v>133</v>
      </c>
      <c r="B32" s="1">
        <v>4.152418138599562</v>
      </c>
      <c r="D32" s="3" t="str">
        <f t="shared" si="0"/>
        <v>Aube</v>
      </c>
      <c r="E32" s="1">
        <v>0.82728651370953599</v>
      </c>
    </row>
    <row r="33" spans="1:5" x14ac:dyDescent="0.35">
      <c r="A33" s="3" t="s">
        <v>59</v>
      </c>
      <c r="B33" s="1">
        <v>3.8520575422887733</v>
      </c>
      <c r="D33" s="3" t="str">
        <f t="shared" si="0"/>
        <v>Aude</v>
      </c>
      <c r="E33" s="1">
        <v>0.58420429609434854</v>
      </c>
    </row>
    <row r="34" spans="1:5" x14ac:dyDescent="0.35">
      <c r="A34" s="3" t="s">
        <v>51</v>
      </c>
      <c r="B34" s="1">
        <v>4.8231365197013449</v>
      </c>
      <c r="D34" s="3" t="str">
        <f t="shared" si="0"/>
        <v>Aveyron</v>
      </c>
      <c r="E34" s="1">
        <v>0.68523533940574866</v>
      </c>
    </row>
    <row r="35" spans="1:5" x14ac:dyDescent="0.35">
      <c r="A35" s="3" t="s">
        <v>171</v>
      </c>
      <c r="B35" s="1">
        <v>3.9923772849852157</v>
      </c>
      <c r="D35" s="3" t="str">
        <f t="shared" si="0"/>
        <v>Bas-Rhin</v>
      </c>
      <c r="E35" s="1">
        <v>0.68231066331599211</v>
      </c>
    </row>
    <row r="36" spans="1:5" x14ac:dyDescent="0.35">
      <c r="A36" s="3" t="s">
        <v>175</v>
      </c>
      <c r="B36" s="1">
        <v>3.4369720804745172</v>
      </c>
      <c r="D36" s="3" t="str">
        <f t="shared" si="0"/>
        <v>Bouches-du-Rhône</v>
      </c>
      <c r="E36" s="1">
        <v>0.40588355058117442</v>
      </c>
    </row>
    <row r="37" spans="1:5" x14ac:dyDescent="0.35">
      <c r="A37" s="3" t="s">
        <v>151</v>
      </c>
      <c r="B37" s="1">
        <v>3.827860303643682</v>
      </c>
      <c r="D37" s="3" t="str">
        <f t="shared" si="0"/>
        <v>Calvados</v>
      </c>
      <c r="E37" s="1">
        <v>0.98873084161150526</v>
      </c>
    </row>
    <row r="38" spans="1:5" x14ac:dyDescent="0.35">
      <c r="A38" s="3" t="s">
        <v>73</v>
      </c>
      <c r="B38" s="1"/>
      <c r="D38" s="3" t="str">
        <f t="shared" si="0"/>
        <v>Cantal</v>
      </c>
      <c r="E38" s="1">
        <v>0.59659035395267401</v>
      </c>
    </row>
    <row r="39" spans="1:5" x14ac:dyDescent="0.35">
      <c r="A39" s="3" t="s">
        <v>77</v>
      </c>
      <c r="B39" s="1"/>
      <c r="D39" s="3" t="str">
        <f t="shared" si="0"/>
        <v>Charente</v>
      </c>
      <c r="E39" s="1">
        <v>0.72097314763556775</v>
      </c>
    </row>
    <row r="40" spans="1:5" x14ac:dyDescent="0.35">
      <c r="A40" s="3" t="s">
        <v>71</v>
      </c>
      <c r="B40" s="1">
        <v>4.5462315644312268</v>
      </c>
      <c r="D40" s="3" t="str">
        <f t="shared" si="0"/>
        <v>Charente-Maritime</v>
      </c>
      <c r="E40" s="1">
        <v>0.89179131710286252</v>
      </c>
    </row>
    <row r="41" spans="1:5" x14ac:dyDescent="0.35">
      <c r="A41" s="3" t="s">
        <v>173</v>
      </c>
      <c r="B41" s="1">
        <v>3.3030231621488961</v>
      </c>
      <c r="D41" s="3" t="str">
        <f t="shared" si="0"/>
        <v>Cher</v>
      </c>
      <c r="E41" s="1">
        <v>0.70015849486518056</v>
      </c>
    </row>
    <row r="42" spans="1:5" x14ac:dyDescent="0.35">
      <c r="A42" s="3" t="s">
        <v>23</v>
      </c>
      <c r="B42" s="1">
        <v>3.2569896164822265</v>
      </c>
      <c r="D42" s="3" t="str">
        <f t="shared" si="0"/>
        <v>Corrèze</v>
      </c>
      <c r="E42" s="1">
        <v>0.57556677218214369</v>
      </c>
    </row>
    <row r="43" spans="1:5" x14ac:dyDescent="0.35">
      <c r="A43" s="3" t="s">
        <v>91</v>
      </c>
      <c r="B43" s="1">
        <v>3.4229270909505005</v>
      </c>
      <c r="D43" s="3" t="str">
        <f t="shared" si="0"/>
        <v>Corse-du-Sud</v>
      </c>
      <c r="E43" s="1">
        <v>0.53458643545870077</v>
      </c>
    </row>
    <row r="44" spans="1:5" x14ac:dyDescent="0.35">
      <c r="A44" s="3" t="s">
        <v>203</v>
      </c>
      <c r="B44" s="1">
        <v>4.4730438488950499</v>
      </c>
      <c r="D44" s="3" t="str">
        <f t="shared" si="0"/>
        <v>Cote-d'Or</v>
      </c>
      <c r="E44" s="1">
        <v>0.73911884000844708</v>
      </c>
    </row>
    <row r="45" spans="1:5" x14ac:dyDescent="0.35">
      <c r="A45" s="3" t="s">
        <v>41</v>
      </c>
      <c r="B45" s="1">
        <v>3.5500499830703349</v>
      </c>
      <c r="D45" s="3" t="str">
        <f t="shared" si="0"/>
        <v>Cotes-d'Armor</v>
      </c>
      <c r="E45" s="1">
        <v>0.84398049188657587</v>
      </c>
    </row>
    <row r="46" spans="1:5" x14ac:dyDescent="0.35">
      <c r="A46" s="3" t="s">
        <v>31</v>
      </c>
      <c r="B46" s="1">
        <v>4.1223494013660327</v>
      </c>
      <c r="D46" s="3" t="str">
        <f t="shared" si="0"/>
        <v>Creuse</v>
      </c>
      <c r="E46" s="1">
        <v>0.69941352714043947</v>
      </c>
    </row>
    <row r="47" spans="1:5" x14ac:dyDescent="0.35">
      <c r="A47" s="3" t="s">
        <v>183</v>
      </c>
      <c r="B47" s="1">
        <v>3.951188779283445</v>
      </c>
      <c r="D47" s="3" t="str">
        <f t="shared" si="0"/>
        <v>Deux-Sèvres</v>
      </c>
      <c r="E47" s="1">
        <v>0.74969618713922048</v>
      </c>
    </row>
    <row r="48" spans="1:5" x14ac:dyDescent="0.35">
      <c r="A48" s="3" t="s">
        <v>163</v>
      </c>
      <c r="B48" s="1">
        <v>3.379779637026648</v>
      </c>
      <c r="D48" s="3" t="str">
        <f t="shared" si="0"/>
        <v>Dordogne</v>
      </c>
      <c r="E48" s="1">
        <v>0.72378894261682913</v>
      </c>
    </row>
    <row r="49" spans="1:5" x14ac:dyDescent="0.35">
      <c r="A49" s="3" t="s">
        <v>101</v>
      </c>
      <c r="B49" s="1">
        <v>3.5597467759027057</v>
      </c>
      <c r="D49" s="3" t="str">
        <f t="shared" si="0"/>
        <v>Doubs</v>
      </c>
      <c r="E49" s="1">
        <v>0.73496192001993854</v>
      </c>
    </row>
    <row r="50" spans="1:5" x14ac:dyDescent="0.35">
      <c r="A50" s="3" t="s">
        <v>123</v>
      </c>
      <c r="B50" s="1">
        <v>2.7045420956884736</v>
      </c>
      <c r="D50" s="3" t="str">
        <f t="shared" si="0"/>
        <v>Drôme</v>
      </c>
      <c r="E50" s="1">
        <v>0.50626846561723149</v>
      </c>
    </row>
    <row r="51" spans="1:5" x14ac:dyDescent="0.35">
      <c r="A51" s="3" t="s">
        <v>177</v>
      </c>
      <c r="B51" s="1">
        <v>4.2270514654571096</v>
      </c>
      <c r="D51" s="3" t="str">
        <f t="shared" si="0"/>
        <v>Essonne</v>
      </c>
      <c r="E51" s="1">
        <v>0.98862493703796217</v>
      </c>
    </row>
    <row r="52" spans="1:5" x14ac:dyDescent="0.35">
      <c r="A52" s="3" t="s">
        <v>53</v>
      </c>
      <c r="B52" s="1">
        <v>3.3365343483088004</v>
      </c>
      <c r="D52" s="3" t="str">
        <f t="shared" si="0"/>
        <v>Eure</v>
      </c>
      <c r="E52" s="1">
        <v>0.74721542711325484</v>
      </c>
    </row>
    <row r="53" spans="1:5" x14ac:dyDescent="0.35">
      <c r="A53" s="3" t="s">
        <v>61</v>
      </c>
      <c r="B53" s="1">
        <v>3.53777998228164</v>
      </c>
      <c r="D53" s="3" t="str">
        <f t="shared" si="0"/>
        <v>Eure-et-Loir</v>
      </c>
      <c r="E53" s="1">
        <v>0.80854709313072681</v>
      </c>
    </row>
    <row r="54" spans="1:5" x14ac:dyDescent="0.35">
      <c r="A54" s="3" t="s">
        <v>63</v>
      </c>
      <c r="B54" s="1">
        <v>3.4720955873385306</v>
      </c>
      <c r="D54" s="3" t="str">
        <f t="shared" si="0"/>
        <v>Finistère</v>
      </c>
      <c r="E54" s="1">
        <v>1.0532241777336957</v>
      </c>
    </row>
    <row r="55" spans="1:5" x14ac:dyDescent="0.35">
      <c r="A55" s="3" t="s">
        <v>19</v>
      </c>
      <c r="B55" s="1">
        <v>3.617742215172755</v>
      </c>
      <c r="D55" s="3" t="str">
        <f t="shared" si="0"/>
        <v>Gard</v>
      </c>
      <c r="E55" s="1">
        <v>0.60369604440342983</v>
      </c>
    </row>
    <row r="56" spans="1:5" x14ac:dyDescent="0.35">
      <c r="A56" s="3" t="s">
        <v>37</v>
      </c>
      <c r="B56" s="1">
        <v>3.4337242562877357</v>
      </c>
      <c r="D56" s="3" t="str">
        <f t="shared" si="0"/>
        <v>Gers</v>
      </c>
      <c r="E56" s="1">
        <v>0.63870477781992352</v>
      </c>
    </row>
    <row r="57" spans="1:5" x14ac:dyDescent="0.35">
      <c r="A57" s="3" t="s">
        <v>79</v>
      </c>
      <c r="B57" s="1"/>
      <c r="D57" s="3" t="str">
        <f t="shared" si="0"/>
        <v>Gironde</v>
      </c>
      <c r="E57" s="1">
        <v>0.70973282330515175</v>
      </c>
    </row>
    <row r="58" spans="1:5" x14ac:dyDescent="0.35">
      <c r="A58" s="3" t="s">
        <v>153</v>
      </c>
      <c r="B58" s="1">
        <v>5.8654207737788067</v>
      </c>
      <c r="D58" s="3" t="str">
        <f t="shared" si="0"/>
        <v>Guadeloupe</v>
      </c>
      <c r="E58" s="1"/>
    </row>
    <row r="59" spans="1:5" x14ac:dyDescent="0.35">
      <c r="A59" s="3" t="s">
        <v>21</v>
      </c>
      <c r="B59" s="1">
        <v>3.3886979663254957</v>
      </c>
      <c r="D59" s="3" t="str">
        <f t="shared" si="0"/>
        <v>Guyane</v>
      </c>
      <c r="E59" s="1"/>
    </row>
    <row r="60" spans="1:5" x14ac:dyDescent="0.35">
      <c r="A60" s="3" t="s">
        <v>191</v>
      </c>
      <c r="B60" s="1">
        <v>3.5733269018892369</v>
      </c>
      <c r="D60" s="3" t="str">
        <f t="shared" si="0"/>
        <v>Haute-Corse</v>
      </c>
      <c r="E60" s="1">
        <v>0.58489859893205454</v>
      </c>
    </row>
    <row r="61" spans="1:5" x14ac:dyDescent="0.35">
      <c r="A61" s="3" t="s">
        <v>67</v>
      </c>
      <c r="B61" s="1">
        <v>3.5880789747043371</v>
      </c>
      <c r="D61" s="3" t="str">
        <f t="shared" si="0"/>
        <v>Haute-Garonne</v>
      </c>
      <c r="E61" s="1">
        <v>0.74037774021819613</v>
      </c>
    </row>
    <row r="62" spans="1:5" x14ac:dyDescent="0.35">
      <c r="A62" s="3" t="s">
        <v>65</v>
      </c>
      <c r="B62" s="1">
        <v>3.7488708840446661</v>
      </c>
      <c r="D62" s="3" t="str">
        <f t="shared" si="0"/>
        <v>Haute-Loire</v>
      </c>
      <c r="E62" s="1">
        <v>0.58143522928618518</v>
      </c>
    </row>
    <row r="63" spans="1:5" x14ac:dyDescent="0.35">
      <c r="A63" s="3" t="s">
        <v>179</v>
      </c>
      <c r="B63" s="1">
        <v>3.9513877832501407</v>
      </c>
      <c r="D63" s="3" t="str">
        <f t="shared" si="0"/>
        <v>Haute-Marne</v>
      </c>
      <c r="E63" s="1">
        <v>0.58452299238725791</v>
      </c>
    </row>
    <row r="64" spans="1:5" x14ac:dyDescent="0.35">
      <c r="A64" s="3" t="s">
        <v>155</v>
      </c>
      <c r="B64" s="1">
        <v>3.8432969195634241</v>
      </c>
      <c r="D64" s="3" t="str">
        <f t="shared" si="0"/>
        <v>Hautes-Alpes</v>
      </c>
      <c r="E64" s="1">
        <v>0.69806751932562661</v>
      </c>
    </row>
    <row r="65" spans="1:5" x14ac:dyDescent="0.35">
      <c r="A65" s="3" t="s">
        <v>181</v>
      </c>
      <c r="B65" s="1">
        <v>3.6553318361914617</v>
      </c>
      <c r="D65" s="3" t="str">
        <f t="shared" si="0"/>
        <v>Haute-Saône</v>
      </c>
      <c r="E65" s="1">
        <v>0.87783520666895198</v>
      </c>
    </row>
    <row r="66" spans="1:5" x14ac:dyDescent="0.35">
      <c r="A66" s="3" t="s">
        <v>193</v>
      </c>
      <c r="B66" s="1">
        <v>3.1063211998061901</v>
      </c>
      <c r="D66" s="3" t="str">
        <f t="shared" si="0"/>
        <v>Haute-Savoie</v>
      </c>
      <c r="E66" s="1">
        <v>0.61615362643589522</v>
      </c>
    </row>
    <row r="67" spans="1:5" x14ac:dyDescent="0.35">
      <c r="A67" s="3" t="s">
        <v>135</v>
      </c>
      <c r="B67" s="1">
        <v>4.4771868478557346</v>
      </c>
      <c r="D67" s="3" t="str">
        <f t="shared" si="0"/>
        <v>Hautes-Pyrénées</v>
      </c>
      <c r="E67" s="1">
        <v>0.65306235600526263</v>
      </c>
    </row>
    <row r="68" spans="1:5" x14ac:dyDescent="0.35">
      <c r="A68" s="3" t="s">
        <v>89</v>
      </c>
      <c r="B68" s="1">
        <v>3.4360951554117221</v>
      </c>
      <c r="D68" s="3" t="str">
        <f t="shared" si="0"/>
        <v>Haute-Vienne</v>
      </c>
      <c r="E68" s="1">
        <v>0.64383275333915457</v>
      </c>
    </row>
    <row r="69" spans="1:5" x14ac:dyDescent="0.35">
      <c r="A69" s="3" t="s">
        <v>75</v>
      </c>
      <c r="B69" s="1"/>
      <c r="D69" s="3" t="str">
        <f t="shared" si="0"/>
        <v>Haut-Rhin</v>
      </c>
      <c r="E69" s="1">
        <v>1.0866873138408142</v>
      </c>
    </row>
    <row r="70" spans="1:5" x14ac:dyDescent="0.35">
      <c r="A70" s="3" t="s">
        <v>195</v>
      </c>
      <c r="B70" s="1">
        <v>3.6244863136859822</v>
      </c>
      <c r="D70" s="3" t="str">
        <f t="shared" si="0"/>
        <v>Hauts-de-seine</v>
      </c>
      <c r="E70" s="1">
        <v>0.64346203111363998</v>
      </c>
    </row>
    <row r="71" spans="1:5" x14ac:dyDescent="0.35">
      <c r="A71" s="3" t="s">
        <v>215</v>
      </c>
      <c r="B71" s="1"/>
      <c r="D71" s="3" t="str">
        <f t="shared" si="0"/>
        <v>Hérault</v>
      </c>
      <c r="E71" s="1">
        <v>0.69118082734416886</v>
      </c>
    </row>
    <row r="72" spans="1:5" x14ac:dyDescent="0.35">
      <c r="A72" s="3" t="s">
        <v>93</v>
      </c>
      <c r="B72" s="1">
        <v>3.3645447166224356</v>
      </c>
      <c r="D72" s="3" t="str">
        <f t="shared" si="0"/>
        <v>Ille-et-Vilaine</v>
      </c>
      <c r="E72" s="1">
        <v>0.73353213890576219</v>
      </c>
    </row>
    <row r="73" spans="1:5" x14ac:dyDescent="0.35">
      <c r="A73" s="3" t="s">
        <v>95</v>
      </c>
      <c r="B73" s="1">
        <v>3.2359020705838422</v>
      </c>
      <c r="D73" s="3" t="str">
        <f t="shared" si="0"/>
        <v>Indre</v>
      </c>
      <c r="E73" s="1">
        <v>0.84437289034149632</v>
      </c>
    </row>
    <row r="74" spans="1:5" x14ac:dyDescent="0.35">
      <c r="A74" s="3" t="s">
        <v>55</v>
      </c>
      <c r="B74" s="1">
        <v>4.1121211494663994</v>
      </c>
      <c r="D74" s="3" t="str">
        <f t="shared" si="0"/>
        <v>Indre-et-Loire</v>
      </c>
      <c r="E74" s="1">
        <v>0.88786226097991316</v>
      </c>
    </row>
    <row r="75" spans="1:5" x14ac:dyDescent="0.35">
      <c r="A75" s="3" t="s">
        <v>97</v>
      </c>
      <c r="B75" s="1">
        <v>3.6244262759380779</v>
      </c>
      <c r="D75" s="3" t="str">
        <f t="shared" si="0"/>
        <v>Isère</v>
      </c>
      <c r="E75" s="1">
        <v>0.57993394096688355</v>
      </c>
    </row>
    <row r="76" spans="1:5" x14ac:dyDescent="0.35">
      <c r="A76" s="3" t="s">
        <v>39</v>
      </c>
      <c r="B76" s="1">
        <v>3.5866638905932167</v>
      </c>
      <c r="D76" s="3" t="str">
        <f t="shared" si="0"/>
        <v>Jura</v>
      </c>
      <c r="E76" s="1">
        <v>0.95433893793686386</v>
      </c>
    </row>
    <row r="77" spans="1:5" x14ac:dyDescent="0.35">
      <c r="A77" s="3" t="s">
        <v>107</v>
      </c>
      <c r="B77" s="1">
        <v>3.8401887333920635</v>
      </c>
      <c r="D77" s="3" t="str">
        <f t="shared" si="0"/>
        <v>La Réunion</v>
      </c>
      <c r="E77" s="1"/>
    </row>
    <row r="78" spans="1:5" x14ac:dyDescent="0.35">
      <c r="A78" s="3" t="s">
        <v>109</v>
      </c>
      <c r="B78" s="1">
        <v>4.0146238278611213</v>
      </c>
      <c r="D78" s="3" t="str">
        <f t="shared" si="0"/>
        <v>Landes</v>
      </c>
      <c r="E78" s="1">
        <v>0.63821735144543434</v>
      </c>
    </row>
    <row r="79" spans="1:5" x14ac:dyDescent="0.35">
      <c r="A79" s="3" t="s">
        <v>137</v>
      </c>
      <c r="B79" s="1">
        <v>3.8992089527574398</v>
      </c>
      <c r="D79" s="3" t="str">
        <f t="shared" si="0"/>
        <v>Loire</v>
      </c>
      <c r="E79" s="1">
        <v>0.56797237127529232</v>
      </c>
    </row>
    <row r="80" spans="1:5" x14ac:dyDescent="0.35">
      <c r="A80" s="3" t="s">
        <v>115</v>
      </c>
      <c r="B80" s="1">
        <v>3.2830602583561679</v>
      </c>
      <c r="D80" s="3" t="str">
        <f t="shared" si="0"/>
        <v>Loire-Atlantique</v>
      </c>
      <c r="E80" s="1">
        <v>0.67110462733226572</v>
      </c>
    </row>
    <row r="81" spans="1:5" x14ac:dyDescent="0.35">
      <c r="A81" s="3" t="s">
        <v>111</v>
      </c>
      <c r="B81" s="1">
        <v>4.3051457736050507</v>
      </c>
      <c r="D81" s="3" t="str">
        <f t="shared" si="0"/>
        <v>Loiret</v>
      </c>
      <c r="E81" s="1">
        <v>0.53319399279769808</v>
      </c>
    </row>
    <row r="82" spans="1:5" x14ac:dyDescent="0.35">
      <c r="A82" s="3" t="s">
        <v>213</v>
      </c>
      <c r="B82" s="1"/>
      <c r="D82" s="3" t="str">
        <f t="shared" si="0"/>
        <v>Loir-et-Cher</v>
      </c>
      <c r="E82" s="1">
        <v>0.57780970591021996</v>
      </c>
    </row>
    <row r="83" spans="1:5" x14ac:dyDescent="0.35">
      <c r="A83" s="3" t="s">
        <v>25</v>
      </c>
      <c r="B83" s="1">
        <v>3.4154428618026627</v>
      </c>
      <c r="D83" s="3" t="str">
        <f t="shared" si="0"/>
        <v>Lot</v>
      </c>
      <c r="E83" s="1">
        <v>0.95281318417136762</v>
      </c>
    </row>
    <row r="84" spans="1:5" x14ac:dyDescent="0.35">
      <c r="A84" s="3" t="s">
        <v>157</v>
      </c>
      <c r="B84" s="1">
        <v>3.8251819216414149</v>
      </c>
      <c r="D84" s="3" t="str">
        <f t="shared" si="0"/>
        <v>Lot-et-Garonne</v>
      </c>
      <c r="E84" s="1">
        <v>0.71113437056731421</v>
      </c>
    </row>
    <row r="85" spans="1:5" x14ac:dyDescent="0.35">
      <c r="A85" s="3" t="s">
        <v>185</v>
      </c>
      <c r="B85" s="1">
        <v>4.5459084466240949</v>
      </c>
      <c r="D85" s="3" t="str">
        <f t="shared" si="0"/>
        <v>Lozère</v>
      </c>
      <c r="E85" s="1">
        <v>0.55810424336619713</v>
      </c>
    </row>
    <row r="86" spans="1:5" x14ac:dyDescent="0.35">
      <c r="A86" s="3" t="s">
        <v>27</v>
      </c>
      <c r="B86" s="1">
        <v>2.7724048085208928</v>
      </c>
      <c r="D86" s="3" t="str">
        <f t="shared" si="0"/>
        <v>Maine-et-Loire</v>
      </c>
      <c r="E86" s="1">
        <v>0.68327942299729461</v>
      </c>
    </row>
    <row r="87" spans="1:5" x14ac:dyDescent="0.35">
      <c r="A87" s="3" t="s">
        <v>81</v>
      </c>
      <c r="B87" s="1"/>
      <c r="D87" s="3" t="str">
        <f t="shared" si="0"/>
        <v>Manche</v>
      </c>
      <c r="E87" s="1">
        <v>0.77680947807789458</v>
      </c>
    </row>
    <row r="88" spans="1:5" x14ac:dyDescent="0.35">
      <c r="A88" s="3" t="s">
        <v>83</v>
      </c>
      <c r="B88" s="1"/>
      <c r="D88" s="3" t="str">
        <f t="shared" si="0"/>
        <v>Marne</v>
      </c>
      <c r="E88" s="1">
        <v>0.74107988648502976</v>
      </c>
    </row>
    <row r="89" spans="1:5" x14ac:dyDescent="0.35">
      <c r="A89" s="3" t="s">
        <v>43</v>
      </c>
      <c r="B89" s="1">
        <v>3.629193208350519</v>
      </c>
      <c r="D89" s="3" t="str">
        <f t="shared" ref="D89:D118" si="1">A69</f>
        <v>Martinique</v>
      </c>
      <c r="E89" s="1"/>
    </row>
    <row r="90" spans="1:5" x14ac:dyDescent="0.35">
      <c r="A90" s="3" t="s">
        <v>197</v>
      </c>
      <c r="B90" s="1">
        <v>3.3209733228717124</v>
      </c>
      <c r="D90" s="3" t="str">
        <f t="shared" si="1"/>
        <v>Mayenne</v>
      </c>
      <c r="E90" s="1">
        <v>0.72676766843397522</v>
      </c>
    </row>
    <row r="91" spans="1:5" x14ac:dyDescent="0.35">
      <c r="A91" s="3" t="s">
        <v>29</v>
      </c>
      <c r="B91" s="1">
        <v>4.4123817983519764</v>
      </c>
      <c r="D91" s="3" t="str">
        <f t="shared" si="1"/>
        <v>Mayotte</v>
      </c>
      <c r="E91" s="1"/>
    </row>
    <row r="92" spans="1:5" x14ac:dyDescent="0.35">
      <c r="A92" s="3" t="s">
        <v>117</v>
      </c>
      <c r="B92" s="1">
        <v>3.4842276860594992</v>
      </c>
      <c r="D92" s="3" t="str">
        <f t="shared" si="1"/>
        <v>Meurthe-et-Moselle</v>
      </c>
      <c r="E92" s="1">
        <v>0.72464714639558792</v>
      </c>
    </row>
    <row r="93" spans="1:5" x14ac:dyDescent="0.35">
      <c r="A93" s="3" t="s">
        <v>139</v>
      </c>
      <c r="B93" s="1">
        <v>4.145325578153396</v>
      </c>
      <c r="D93" s="3" t="str">
        <f t="shared" si="1"/>
        <v>Meuse</v>
      </c>
      <c r="E93" s="1">
        <v>0.60953530996266336</v>
      </c>
    </row>
    <row r="94" spans="1:5" x14ac:dyDescent="0.35">
      <c r="A94" s="3" t="s">
        <v>125</v>
      </c>
      <c r="B94" s="1">
        <v>3.0255458945011515</v>
      </c>
      <c r="D94" s="3" t="str">
        <f t="shared" si="1"/>
        <v>Morbihan</v>
      </c>
      <c r="E94" s="1">
        <v>0.88086160498691357</v>
      </c>
    </row>
    <row r="95" spans="1:5" x14ac:dyDescent="0.35">
      <c r="A95" s="3" t="s">
        <v>113</v>
      </c>
      <c r="B95" s="1">
        <v>4.0341558909555815</v>
      </c>
      <c r="D95" s="3" t="str">
        <f t="shared" si="1"/>
        <v>Moselle</v>
      </c>
      <c r="E95" s="1">
        <v>0.79337805765170877</v>
      </c>
    </row>
    <row r="96" spans="1:5" x14ac:dyDescent="0.35">
      <c r="A96" s="3" t="s">
        <v>187</v>
      </c>
      <c r="B96" s="1">
        <v>3.5377679373750435</v>
      </c>
      <c r="D96" s="3" t="str">
        <f t="shared" si="1"/>
        <v>Nièvre</v>
      </c>
      <c r="E96" s="1">
        <v>0.80028668325812768</v>
      </c>
    </row>
    <row r="97" spans="1:5" x14ac:dyDescent="0.35">
      <c r="A97" s="3" t="s">
        <v>189</v>
      </c>
      <c r="B97" s="1">
        <v>3.543855566247688</v>
      </c>
      <c r="D97" s="3" t="str">
        <f t="shared" si="1"/>
        <v>Nord</v>
      </c>
      <c r="E97" s="1">
        <v>1.2139258599384688</v>
      </c>
    </row>
    <row r="98" spans="1:5" x14ac:dyDescent="0.35">
      <c r="A98" s="3" t="s">
        <v>47</v>
      </c>
      <c r="B98" s="1">
        <v>3.5639737352166665</v>
      </c>
      <c r="D98" s="3" t="str">
        <f t="shared" si="1"/>
        <v>Oise</v>
      </c>
      <c r="E98" s="1">
        <v>1.0081053413279255</v>
      </c>
    </row>
    <row r="99" spans="1:5" x14ac:dyDescent="0.35">
      <c r="A99" s="3" t="s">
        <v>127</v>
      </c>
      <c r="B99" s="1">
        <v>2.7843749712087966</v>
      </c>
      <c r="D99" s="3" t="str">
        <f t="shared" si="1"/>
        <v>Orne</v>
      </c>
      <c r="E99" s="1">
        <v>0.56777949858823495</v>
      </c>
    </row>
    <row r="100" spans="1:5" x14ac:dyDescent="0.35">
      <c r="A100" s="3" t="s">
        <v>129</v>
      </c>
      <c r="B100" s="1">
        <v>3.2749884438084726</v>
      </c>
      <c r="D100" s="3" t="str">
        <f t="shared" si="1"/>
        <v>Paris</v>
      </c>
      <c r="E100" s="1">
        <v>0.79837920560232223</v>
      </c>
    </row>
    <row r="101" spans="1:5" x14ac:dyDescent="0.35">
      <c r="A101" s="3" t="s">
        <v>209</v>
      </c>
      <c r="B101" s="1">
        <v>5.0672623914971355</v>
      </c>
      <c r="D101" s="3" t="str">
        <f t="shared" si="1"/>
        <v>Pas-de-Calais</v>
      </c>
      <c r="E101" s="1">
        <v>1.2602209706078005</v>
      </c>
    </row>
    <row r="102" spans="1:5" x14ac:dyDescent="0.35">
      <c r="A102" s="3" t="s">
        <v>211</v>
      </c>
      <c r="B102" s="1">
        <v>4.1857281867964646</v>
      </c>
      <c r="D102" s="3" t="str">
        <f t="shared" si="1"/>
        <v>Polynésie française</v>
      </c>
      <c r="E102" s="1"/>
    </row>
    <row r="103" spans="1:5" x14ac:dyDescent="0.35">
      <c r="A103" s="3" t="s">
        <v>199</v>
      </c>
      <c r="B103" s="1">
        <v>4.0797779917717945</v>
      </c>
      <c r="D103" s="3" t="str">
        <f t="shared" si="1"/>
        <v>Puy-de-Dôme</v>
      </c>
      <c r="E103" s="1">
        <v>0.77898776047055929</v>
      </c>
    </row>
    <row r="104" spans="1:5" x14ac:dyDescent="0.35">
      <c r="A104" s="3" t="s">
        <v>161</v>
      </c>
      <c r="B104" s="1">
        <v>3.5393837564977342</v>
      </c>
      <c r="D104" s="3" t="str">
        <f t="shared" si="1"/>
        <v>Pyrénées-Atlantiques</v>
      </c>
      <c r="E104" s="1">
        <v>0.74643188820419271</v>
      </c>
    </row>
    <row r="105" spans="1:5" x14ac:dyDescent="0.35">
      <c r="A105" s="3" t="s">
        <v>103</v>
      </c>
      <c r="B105" s="1">
        <v>3.5738832077432328</v>
      </c>
      <c r="D105" s="3" t="str">
        <f t="shared" si="1"/>
        <v>Pyrénées-Orientales</v>
      </c>
      <c r="E105" s="1">
        <v>0.73167788831894787</v>
      </c>
    </row>
    <row r="106" spans="1:5" x14ac:dyDescent="0.35">
      <c r="A106" s="3" t="s">
        <v>45</v>
      </c>
      <c r="B106" s="1">
        <v>3.693855658215317</v>
      </c>
      <c r="D106" s="3" t="str">
        <f t="shared" si="1"/>
        <v>Rhône</v>
      </c>
      <c r="E106" s="1">
        <v>0.50379081595079167</v>
      </c>
    </row>
    <row r="107" spans="1:5" x14ac:dyDescent="0.35">
      <c r="A107" s="3" t="s">
        <v>119</v>
      </c>
      <c r="B107" s="1">
        <v>3.1691149618282624</v>
      </c>
      <c r="D107" s="3" t="str">
        <f t="shared" si="1"/>
        <v>Saint-Barthélemy</v>
      </c>
      <c r="E107" s="1"/>
    </row>
    <row r="108" spans="1:5" x14ac:dyDescent="0.35">
      <c r="A108" s="3" t="s">
        <v>296</v>
      </c>
      <c r="B108" s="1">
        <v>362.23832427093117</v>
      </c>
      <c r="D108" s="3" t="str">
        <f t="shared" si="1"/>
        <v>Saint-Martin</v>
      </c>
      <c r="E108" s="1"/>
    </row>
    <row r="109" spans="1:5" x14ac:dyDescent="0.35">
      <c r="D109" s="3" t="str">
        <f t="shared" si="1"/>
        <v>Saône-et-Loire</v>
      </c>
      <c r="E109" s="1">
        <v>0.72643270369090684</v>
      </c>
    </row>
    <row r="110" spans="1:5" x14ac:dyDescent="0.35">
      <c r="D110" s="3" t="str">
        <f t="shared" si="1"/>
        <v>Sarthe</v>
      </c>
      <c r="E110" s="1">
        <v>0.73058410565709098</v>
      </c>
    </row>
    <row r="111" spans="1:5" x14ac:dyDescent="0.35">
      <c r="D111" s="3" t="str">
        <f t="shared" si="1"/>
        <v>Savoie</v>
      </c>
      <c r="E111" s="1">
        <v>0.76500514707561384</v>
      </c>
    </row>
    <row r="112" spans="1:5" x14ac:dyDescent="0.35">
      <c r="D112" s="3" t="str">
        <f t="shared" si="1"/>
        <v>Seine-et-Marne</v>
      </c>
      <c r="E112" s="1">
        <v>0.79901730215168787</v>
      </c>
    </row>
    <row r="113" spans="4:5" x14ac:dyDescent="0.35">
      <c r="D113" s="3" t="str">
        <f t="shared" si="1"/>
        <v>Seine-Maritime</v>
      </c>
      <c r="E113" s="1">
        <v>0.79042332809328686</v>
      </c>
    </row>
    <row r="114" spans="4:5" x14ac:dyDescent="0.35">
      <c r="D114" s="3" t="str">
        <f t="shared" si="1"/>
        <v>Seine-Saint-Denis</v>
      </c>
      <c r="E114" s="1">
        <v>0.49943224726413049</v>
      </c>
    </row>
    <row r="115" spans="4:5" x14ac:dyDescent="0.35">
      <c r="D115" s="3" t="str">
        <f t="shared" si="1"/>
        <v>Somme</v>
      </c>
      <c r="E115" s="1">
        <v>0.84090361612306408</v>
      </c>
    </row>
    <row r="116" spans="4:5" x14ac:dyDescent="0.35">
      <c r="D116" s="3" t="str">
        <f t="shared" si="1"/>
        <v>Tarn</v>
      </c>
      <c r="E116" s="1">
        <v>0.63793684533259287</v>
      </c>
    </row>
    <row r="117" spans="4:5" x14ac:dyDescent="0.35">
      <c r="D117" s="3" t="str">
        <f t="shared" si="1"/>
        <v>Tarn-et-Garonne</v>
      </c>
      <c r="E117" s="1">
        <v>0.71684869925499073</v>
      </c>
    </row>
    <row r="118" spans="4:5" x14ac:dyDescent="0.35">
      <c r="D118" s="3" t="str">
        <f t="shared" si="1"/>
        <v>Territoire-de-Belfort</v>
      </c>
      <c r="E118" s="1">
        <v>1.0896119253345282</v>
      </c>
    </row>
    <row r="119" spans="4:5" x14ac:dyDescent="0.35">
      <c r="D119" s="3" t="str">
        <f>A99</f>
        <v>Val-de-Marne</v>
      </c>
      <c r="E119" s="1">
        <v>0.66334145296725611</v>
      </c>
    </row>
    <row r="120" spans="4:5" x14ac:dyDescent="0.35">
      <c r="D120" s="3" t="str">
        <f>A100</f>
        <v>Val-d'Oise</v>
      </c>
      <c r="E120" s="1">
        <v>0.767392264472603</v>
      </c>
    </row>
    <row r="121" spans="4:5" x14ac:dyDescent="0.35">
      <c r="D121" s="3" t="str">
        <f>A101</f>
        <v>Var</v>
      </c>
      <c r="E121" s="1">
        <v>0.61937538445854567</v>
      </c>
    </row>
    <row r="122" spans="4:5" x14ac:dyDescent="0.35">
      <c r="D122" s="3" t="str">
        <f t="shared" ref="D122:D127" si="2">A102</f>
        <v>Vaucluse</v>
      </c>
      <c r="E122" s="1">
        <v>0.48779712118358931</v>
      </c>
    </row>
    <row r="123" spans="4:5" x14ac:dyDescent="0.35">
      <c r="D123" s="3" t="str">
        <f t="shared" si="2"/>
        <v>Vendée</v>
      </c>
      <c r="E123" s="1">
        <v>0.83820071512485361</v>
      </c>
    </row>
    <row r="124" spans="4:5" x14ac:dyDescent="0.35">
      <c r="D124" s="3" t="str">
        <f t="shared" si="2"/>
        <v>Vienne</v>
      </c>
      <c r="E124" s="1">
        <v>0.62829850218368333</v>
      </c>
    </row>
    <row r="125" spans="4:5" x14ac:dyDescent="0.35">
      <c r="D125" s="3" t="str">
        <f t="shared" si="2"/>
        <v>Vosges</v>
      </c>
      <c r="E125" s="1">
        <v>0.67707938803614298</v>
      </c>
    </row>
    <row r="126" spans="4:5" x14ac:dyDescent="0.35">
      <c r="D126" s="3" t="str">
        <f t="shared" si="2"/>
        <v>Yonne</v>
      </c>
      <c r="E126" s="1">
        <v>0.73491191293454228</v>
      </c>
    </row>
    <row r="127" spans="4:5" x14ac:dyDescent="0.35">
      <c r="D127" s="3" t="str">
        <f t="shared" si="2"/>
        <v>Yvelines</v>
      </c>
      <c r="E127" s="1">
        <v>0.91803923453307323</v>
      </c>
    </row>
    <row r="128" spans="4:5" x14ac:dyDescent="0.35">
      <c r="D128" s="3"/>
    </row>
    <row r="129" spans="4:4" x14ac:dyDescent="0.35">
      <c r="D129" s="3"/>
    </row>
    <row r="130" spans="4:4" x14ac:dyDescent="0.35">
      <c r="D130" s="3"/>
    </row>
    <row r="131" spans="4:4" x14ac:dyDescent="0.35">
      <c r="D131" s="3"/>
    </row>
    <row r="132" spans="4:4" x14ac:dyDescent="0.35">
      <c r="D132" s="3"/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FB70F-C927-484D-8D60-D206CA627909}">
  <dimension ref="A1:G2123"/>
  <sheetViews>
    <sheetView workbookViewId="0">
      <selection activeCell="H3" sqref="H3"/>
    </sheetView>
  </sheetViews>
  <sheetFormatPr baseColWidth="10" defaultRowHeight="14.5" x14ac:dyDescent="0.35"/>
  <cols>
    <col min="1" max="1" width="8.81640625" bestFit="1" customWidth="1"/>
    <col min="2" max="2" width="9.54296875" bestFit="1" customWidth="1"/>
    <col min="3" max="3" width="22.1796875" bestFit="1" customWidth="1"/>
    <col min="4" max="4" width="15.453125" bestFit="1" customWidth="1"/>
    <col min="5" max="5" width="17" bestFit="1" customWidth="1"/>
    <col min="6" max="6" width="10.1796875" bestFit="1" customWidth="1"/>
    <col min="7" max="7" width="22.453125" bestFit="1" customWidth="1"/>
    <col min="8" max="8" width="15.453125" bestFit="1" customWidth="1"/>
    <col min="9" max="9" width="17" bestFit="1" customWidth="1"/>
    <col min="10" max="10" width="13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218</v>
      </c>
      <c r="G1" t="s">
        <v>294</v>
      </c>
    </row>
    <row r="2" spans="1:7" x14ac:dyDescent="0.35">
      <c r="A2">
        <v>2009</v>
      </c>
      <c r="B2" s="1" t="s">
        <v>5</v>
      </c>
      <c r="C2" s="1" t="s">
        <v>6</v>
      </c>
      <c r="D2" s="1" t="s">
        <v>7</v>
      </c>
      <c r="E2" s="1">
        <v>134208.68</v>
      </c>
      <c r="F2" s="1">
        <v>588853</v>
      </c>
      <c r="G2">
        <v>0.22791542201534201</v>
      </c>
    </row>
    <row r="3" spans="1:7" x14ac:dyDescent="0.35">
      <c r="A3">
        <v>2009</v>
      </c>
      <c r="B3" s="1" t="s">
        <v>5</v>
      </c>
      <c r="C3" s="1" t="s">
        <v>6</v>
      </c>
      <c r="D3" s="1" t="s">
        <v>8</v>
      </c>
      <c r="E3" s="1">
        <v>42906.27</v>
      </c>
      <c r="F3" s="1">
        <v>588853</v>
      </c>
      <c r="G3">
        <v>7.2864144362005459E-2</v>
      </c>
    </row>
    <row r="4" spans="1:7" x14ac:dyDescent="0.35">
      <c r="A4">
        <v>2009</v>
      </c>
      <c r="B4" s="1" t="s">
        <v>5</v>
      </c>
      <c r="C4" s="1" t="s">
        <v>6</v>
      </c>
      <c r="D4" s="1" t="s">
        <v>9</v>
      </c>
      <c r="E4" s="1">
        <v>109950.6</v>
      </c>
      <c r="F4" s="1">
        <v>588853</v>
      </c>
      <c r="G4">
        <v>0.18671994538535086</v>
      </c>
    </row>
    <row r="5" spans="1:7" x14ac:dyDescent="0.35">
      <c r="A5">
        <v>2009</v>
      </c>
      <c r="B5" s="1" t="s">
        <v>10</v>
      </c>
      <c r="C5" s="1" t="s">
        <v>11</v>
      </c>
      <c r="D5" s="1" t="s">
        <v>7</v>
      </c>
      <c r="E5" s="1">
        <v>105182.37</v>
      </c>
      <c r="F5" s="1">
        <v>343046</v>
      </c>
      <c r="G5">
        <v>0.30661301982824457</v>
      </c>
    </row>
    <row r="6" spans="1:7" x14ac:dyDescent="0.35">
      <c r="A6">
        <v>2009</v>
      </c>
      <c r="B6" s="1" t="s">
        <v>10</v>
      </c>
      <c r="C6" s="1" t="s">
        <v>11</v>
      </c>
      <c r="D6" s="1" t="s">
        <v>8</v>
      </c>
      <c r="E6" s="1">
        <v>26166.22</v>
      </c>
      <c r="F6" s="1">
        <v>343046</v>
      </c>
      <c r="G6">
        <v>7.6276126233799549E-2</v>
      </c>
    </row>
    <row r="7" spans="1:7" x14ac:dyDescent="0.35">
      <c r="A7">
        <v>2009</v>
      </c>
      <c r="B7" s="1" t="s">
        <v>10</v>
      </c>
      <c r="C7" s="1" t="s">
        <v>11</v>
      </c>
      <c r="D7" s="1" t="s">
        <v>9</v>
      </c>
      <c r="E7" s="1">
        <v>40975.120000000003</v>
      </c>
      <c r="F7" s="1">
        <v>343046</v>
      </c>
      <c r="G7">
        <v>0.11944497239437277</v>
      </c>
    </row>
    <row r="8" spans="1:7" x14ac:dyDescent="0.35">
      <c r="A8">
        <v>2009</v>
      </c>
      <c r="B8" s="1" t="s">
        <v>12</v>
      </c>
      <c r="C8" s="1" t="s">
        <v>13</v>
      </c>
      <c r="D8" s="1" t="s">
        <v>7</v>
      </c>
      <c r="E8" s="1">
        <v>89088.42</v>
      </c>
      <c r="F8" s="1">
        <v>313578</v>
      </c>
      <c r="G8">
        <v>0.28410290262709753</v>
      </c>
    </row>
    <row r="9" spans="1:7" x14ac:dyDescent="0.35">
      <c r="A9">
        <v>2009</v>
      </c>
      <c r="B9" s="1" t="s">
        <v>12</v>
      </c>
      <c r="C9" s="1" t="s">
        <v>13</v>
      </c>
      <c r="D9" s="1" t="s">
        <v>8</v>
      </c>
      <c r="E9" s="1">
        <v>23494.79</v>
      </c>
      <c r="F9" s="1">
        <v>313578</v>
      </c>
      <c r="G9">
        <v>7.4924867178182142E-2</v>
      </c>
    </row>
    <row r="10" spans="1:7" x14ac:dyDescent="0.35">
      <c r="A10">
        <v>2009</v>
      </c>
      <c r="B10" s="1" t="s">
        <v>12</v>
      </c>
      <c r="C10" s="1" t="s">
        <v>13</v>
      </c>
      <c r="D10" s="1" t="s">
        <v>9</v>
      </c>
      <c r="E10" s="1">
        <v>38853.4</v>
      </c>
      <c r="F10" s="1">
        <v>313578</v>
      </c>
      <c r="G10">
        <v>0.12390346261536204</v>
      </c>
    </row>
    <row r="11" spans="1:7" x14ac:dyDescent="0.35">
      <c r="A11">
        <v>2009</v>
      </c>
      <c r="B11" s="1" t="s">
        <v>14</v>
      </c>
      <c r="C11" s="1" t="s">
        <v>15</v>
      </c>
      <c r="D11" s="1" t="s">
        <v>7</v>
      </c>
      <c r="E11" s="1">
        <v>56636.92</v>
      </c>
      <c r="F11" s="1">
        <v>148380</v>
      </c>
      <c r="G11">
        <v>0.38170184661005524</v>
      </c>
    </row>
    <row r="12" spans="1:7" x14ac:dyDescent="0.35">
      <c r="A12">
        <v>2009</v>
      </c>
      <c r="B12" s="1" t="s">
        <v>14</v>
      </c>
      <c r="C12" s="1" t="s">
        <v>15</v>
      </c>
      <c r="D12" s="1" t="s">
        <v>8</v>
      </c>
      <c r="E12" s="1">
        <v>9947.1200000000008</v>
      </c>
      <c r="F12" s="1">
        <v>148380</v>
      </c>
      <c r="G12">
        <v>6.7038145302601437E-2</v>
      </c>
    </row>
    <row r="13" spans="1:7" x14ac:dyDescent="0.35">
      <c r="A13">
        <v>2009</v>
      </c>
      <c r="B13" s="1" t="s">
        <v>14</v>
      </c>
      <c r="C13" s="1" t="s">
        <v>15</v>
      </c>
      <c r="D13" s="1" t="s">
        <v>9</v>
      </c>
      <c r="E13" s="1">
        <v>14022.32</v>
      </c>
      <c r="F13" s="1">
        <v>148380</v>
      </c>
      <c r="G13">
        <v>9.4502763175630139E-2</v>
      </c>
    </row>
    <row r="14" spans="1:7" x14ac:dyDescent="0.35">
      <c r="A14">
        <v>2009</v>
      </c>
      <c r="B14" s="1" t="s">
        <v>16</v>
      </c>
      <c r="C14" s="1" t="s">
        <v>17</v>
      </c>
      <c r="D14" s="1" t="s">
        <v>7</v>
      </c>
      <c r="E14" s="1">
        <v>131079.43</v>
      </c>
      <c r="F14" s="1">
        <v>482984</v>
      </c>
      <c r="G14">
        <v>0.27139497374654231</v>
      </c>
    </row>
    <row r="15" spans="1:7" x14ac:dyDescent="0.35">
      <c r="A15">
        <v>2009</v>
      </c>
      <c r="B15" s="1" t="s">
        <v>16</v>
      </c>
      <c r="C15" s="1" t="s">
        <v>17</v>
      </c>
      <c r="D15" s="1" t="s">
        <v>8</v>
      </c>
      <c r="E15" s="1">
        <v>35310.720000000001</v>
      </c>
      <c r="F15" s="1">
        <v>482984</v>
      </c>
      <c r="G15">
        <v>7.3109502592218378E-2</v>
      </c>
    </row>
    <row r="16" spans="1:7" x14ac:dyDescent="0.35">
      <c r="A16">
        <v>2009</v>
      </c>
      <c r="B16" s="1" t="s">
        <v>16</v>
      </c>
      <c r="C16" s="1" t="s">
        <v>17</v>
      </c>
      <c r="D16" s="1" t="s">
        <v>9</v>
      </c>
      <c r="E16" s="1">
        <v>75301.13</v>
      </c>
      <c r="F16" s="1">
        <v>482984</v>
      </c>
      <c r="G16">
        <v>0.1559081253209216</v>
      </c>
    </row>
    <row r="17" spans="1:7" x14ac:dyDescent="0.35">
      <c r="A17">
        <v>2009</v>
      </c>
      <c r="B17" s="1" t="s">
        <v>18</v>
      </c>
      <c r="C17" s="1" t="s">
        <v>19</v>
      </c>
      <c r="D17" s="1" t="s">
        <v>7</v>
      </c>
      <c r="E17" s="1">
        <v>292381.39</v>
      </c>
      <c r="F17" s="1">
        <v>1197038</v>
      </c>
      <c r="G17">
        <v>0.24425405876839332</v>
      </c>
    </row>
    <row r="18" spans="1:7" x14ac:dyDescent="0.35">
      <c r="A18">
        <v>2009</v>
      </c>
      <c r="B18" s="1" t="s">
        <v>18</v>
      </c>
      <c r="C18" s="1" t="s">
        <v>19</v>
      </c>
      <c r="D18" s="1" t="s">
        <v>8</v>
      </c>
      <c r="E18" s="1">
        <v>101588.37</v>
      </c>
      <c r="F18" s="1">
        <v>1197038</v>
      </c>
      <c r="G18">
        <v>8.4866453696540958E-2</v>
      </c>
    </row>
    <row r="19" spans="1:7" x14ac:dyDescent="0.35">
      <c r="A19">
        <v>2009</v>
      </c>
      <c r="B19" s="1" t="s">
        <v>18</v>
      </c>
      <c r="C19" s="1" t="s">
        <v>19</v>
      </c>
      <c r="D19" s="1" t="s">
        <v>9</v>
      </c>
      <c r="E19" s="1">
        <v>254800.21</v>
      </c>
      <c r="F19" s="1">
        <v>1197038</v>
      </c>
      <c r="G19">
        <v>0.21285891508874405</v>
      </c>
    </row>
    <row r="20" spans="1:7" x14ac:dyDescent="0.35">
      <c r="A20">
        <v>2009</v>
      </c>
      <c r="B20" s="1" t="s">
        <v>20</v>
      </c>
      <c r="C20" s="1" t="s">
        <v>21</v>
      </c>
      <c r="D20" s="1" t="s">
        <v>7</v>
      </c>
      <c r="E20" s="1">
        <v>204364.35</v>
      </c>
      <c r="F20" s="1">
        <v>746115</v>
      </c>
      <c r="G20">
        <v>0.27390462596248566</v>
      </c>
    </row>
    <row r="21" spans="1:7" x14ac:dyDescent="0.35">
      <c r="A21">
        <v>2009</v>
      </c>
      <c r="B21" s="1" t="s">
        <v>20</v>
      </c>
      <c r="C21" s="1" t="s">
        <v>21</v>
      </c>
      <c r="D21" s="1" t="s">
        <v>8</v>
      </c>
      <c r="E21" s="1">
        <v>57491.07</v>
      </c>
      <c r="F21" s="1">
        <v>746115</v>
      </c>
      <c r="G21">
        <v>7.7053899197844833E-2</v>
      </c>
    </row>
    <row r="22" spans="1:7" x14ac:dyDescent="0.35">
      <c r="A22">
        <v>2009</v>
      </c>
      <c r="B22" s="1" t="s">
        <v>20</v>
      </c>
      <c r="C22" s="1" t="s">
        <v>21</v>
      </c>
      <c r="D22" s="1" t="s">
        <v>9</v>
      </c>
      <c r="E22" s="1">
        <v>100004.36</v>
      </c>
      <c r="F22" s="1">
        <v>746115</v>
      </c>
      <c r="G22">
        <v>0.13403343988527239</v>
      </c>
    </row>
    <row r="23" spans="1:7" x14ac:dyDescent="0.35">
      <c r="A23">
        <v>2009</v>
      </c>
      <c r="B23" s="1" t="s">
        <v>22</v>
      </c>
      <c r="C23" s="1" t="s">
        <v>23</v>
      </c>
      <c r="D23" s="1" t="s">
        <v>7</v>
      </c>
      <c r="E23" s="1">
        <v>57687.519999999997</v>
      </c>
      <c r="F23" s="1">
        <v>223122</v>
      </c>
      <c r="G23">
        <v>0.25854698326476094</v>
      </c>
    </row>
    <row r="24" spans="1:7" x14ac:dyDescent="0.35">
      <c r="A24">
        <v>2009</v>
      </c>
      <c r="B24" s="1" t="s">
        <v>22</v>
      </c>
      <c r="C24" s="1" t="s">
        <v>23</v>
      </c>
      <c r="D24" s="1" t="s">
        <v>8</v>
      </c>
      <c r="E24" s="1">
        <v>14670.59</v>
      </c>
      <c r="F24" s="1">
        <v>223122</v>
      </c>
      <c r="G24">
        <v>6.5751427470173263E-2</v>
      </c>
    </row>
    <row r="25" spans="1:7" x14ac:dyDescent="0.35">
      <c r="A25">
        <v>2009</v>
      </c>
      <c r="B25" s="1" t="s">
        <v>22</v>
      </c>
      <c r="C25" s="1" t="s">
        <v>23</v>
      </c>
      <c r="D25" s="1" t="s">
        <v>9</v>
      </c>
      <c r="E25" s="1">
        <v>21474.560000000001</v>
      </c>
      <c r="F25" s="1">
        <v>223122</v>
      </c>
      <c r="G25">
        <v>9.6245820672098678E-2</v>
      </c>
    </row>
    <row r="26" spans="1:7" x14ac:dyDescent="0.35">
      <c r="A26">
        <v>2009</v>
      </c>
      <c r="B26" s="1" t="s">
        <v>24</v>
      </c>
      <c r="C26" s="1" t="s">
        <v>25</v>
      </c>
      <c r="D26" s="1" t="s">
        <v>7</v>
      </c>
      <c r="E26" s="1">
        <v>158708.51</v>
      </c>
      <c r="F26" s="1">
        <v>629416</v>
      </c>
      <c r="G26">
        <v>0.25215201075282484</v>
      </c>
    </row>
    <row r="27" spans="1:7" x14ac:dyDescent="0.35">
      <c r="A27">
        <v>2009</v>
      </c>
      <c r="B27" s="1" t="s">
        <v>24</v>
      </c>
      <c r="C27" s="1" t="s">
        <v>25</v>
      </c>
      <c r="D27" s="1" t="s">
        <v>8</v>
      </c>
      <c r="E27" s="1">
        <v>62423.1</v>
      </c>
      <c r="F27" s="1">
        <v>629416</v>
      </c>
      <c r="G27">
        <v>9.9176220496460202E-2</v>
      </c>
    </row>
    <row r="28" spans="1:7" x14ac:dyDescent="0.35">
      <c r="A28">
        <v>2009</v>
      </c>
      <c r="B28" s="1" t="s">
        <v>24</v>
      </c>
      <c r="C28" s="1" t="s">
        <v>25</v>
      </c>
      <c r="D28" s="1" t="s">
        <v>9</v>
      </c>
      <c r="E28" s="1">
        <v>116069.5</v>
      </c>
      <c r="F28" s="1">
        <v>629416</v>
      </c>
      <c r="G28">
        <v>0.18440824510339743</v>
      </c>
    </row>
    <row r="29" spans="1:7" x14ac:dyDescent="0.35">
      <c r="A29">
        <v>2009</v>
      </c>
      <c r="B29" s="1" t="s">
        <v>26</v>
      </c>
      <c r="C29" s="1" t="s">
        <v>27</v>
      </c>
      <c r="D29" s="1" t="s">
        <v>7</v>
      </c>
      <c r="E29" s="1">
        <v>415659.05</v>
      </c>
      <c r="F29" s="1">
        <v>1708671</v>
      </c>
      <c r="G29">
        <v>0.24326453132288192</v>
      </c>
    </row>
    <row r="30" spans="1:7" x14ac:dyDescent="0.35">
      <c r="A30">
        <v>2009</v>
      </c>
      <c r="B30" s="1" t="s">
        <v>26</v>
      </c>
      <c r="C30" s="1" t="s">
        <v>27</v>
      </c>
      <c r="D30" s="1" t="s">
        <v>8</v>
      </c>
      <c r="E30" s="1">
        <v>117570.57</v>
      </c>
      <c r="F30" s="1">
        <v>1708671</v>
      </c>
      <c r="G30">
        <v>6.880819654573643E-2</v>
      </c>
    </row>
    <row r="31" spans="1:7" x14ac:dyDescent="0.35">
      <c r="A31">
        <v>2009</v>
      </c>
      <c r="B31" s="1" t="s">
        <v>26</v>
      </c>
      <c r="C31" s="1" t="s">
        <v>27</v>
      </c>
      <c r="D31" s="1" t="s">
        <v>9</v>
      </c>
      <c r="E31" s="1">
        <v>163717.98000000001</v>
      </c>
      <c r="F31" s="1">
        <v>1708671</v>
      </c>
      <c r="G31">
        <v>9.5815976276298953E-2</v>
      </c>
    </row>
    <row r="32" spans="1:7" x14ac:dyDescent="0.35">
      <c r="A32">
        <v>2009</v>
      </c>
      <c r="B32" s="1" t="s">
        <v>28</v>
      </c>
      <c r="C32" s="1" t="s">
        <v>29</v>
      </c>
      <c r="D32" s="1" t="s">
        <v>7</v>
      </c>
      <c r="E32" s="1">
        <v>137352.81</v>
      </c>
      <c r="F32" s="1">
        <v>411007</v>
      </c>
      <c r="G32">
        <v>0.33418606009143398</v>
      </c>
    </row>
    <row r="33" spans="1:7" x14ac:dyDescent="0.35">
      <c r="A33">
        <v>2009</v>
      </c>
      <c r="B33" s="1" t="s">
        <v>28</v>
      </c>
      <c r="C33" s="1" t="s">
        <v>29</v>
      </c>
      <c r="D33" s="1" t="s">
        <v>8</v>
      </c>
      <c r="E33" s="1">
        <v>42433.37</v>
      </c>
      <c r="F33" s="1">
        <v>411007</v>
      </c>
      <c r="G33">
        <v>0.1032424508585012</v>
      </c>
    </row>
    <row r="34" spans="1:7" x14ac:dyDescent="0.35">
      <c r="A34">
        <v>2009</v>
      </c>
      <c r="B34" s="1" t="s">
        <v>28</v>
      </c>
      <c r="C34" s="1" t="s">
        <v>29</v>
      </c>
      <c r="D34" s="1" t="s">
        <v>9</v>
      </c>
      <c r="E34" s="1">
        <v>89779.56</v>
      </c>
      <c r="F34" s="1">
        <v>411007</v>
      </c>
      <c r="G34">
        <v>0.21843803146905039</v>
      </c>
    </row>
    <row r="35" spans="1:7" x14ac:dyDescent="0.35">
      <c r="A35">
        <v>2009</v>
      </c>
      <c r="B35" s="1" t="s">
        <v>30</v>
      </c>
      <c r="C35" s="1" t="s">
        <v>31</v>
      </c>
      <c r="D35" s="1" t="s">
        <v>7</v>
      </c>
      <c r="E35" s="1">
        <v>235445.41</v>
      </c>
      <c r="F35" s="1">
        <v>725794</v>
      </c>
      <c r="G35">
        <v>0.32439701898885909</v>
      </c>
    </row>
    <row r="36" spans="1:7" x14ac:dyDescent="0.35">
      <c r="A36">
        <v>2009</v>
      </c>
      <c r="B36" s="1" t="s">
        <v>30</v>
      </c>
      <c r="C36" s="1" t="s">
        <v>31</v>
      </c>
      <c r="D36" s="1" t="s">
        <v>8</v>
      </c>
      <c r="E36" s="1">
        <v>61882.38</v>
      </c>
      <c r="F36" s="1">
        <v>725794</v>
      </c>
      <c r="G36">
        <v>8.5261630710642411E-2</v>
      </c>
    </row>
    <row r="37" spans="1:7" x14ac:dyDescent="0.35">
      <c r="A37">
        <v>2009</v>
      </c>
      <c r="B37" s="1" t="s">
        <v>30</v>
      </c>
      <c r="C37" s="1" t="s">
        <v>31</v>
      </c>
      <c r="D37" s="1" t="s">
        <v>9</v>
      </c>
      <c r="E37" s="1">
        <v>141388.64000000001</v>
      </c>
      <c r="F37" s="1">
        <v>725794</v>
      </c>
      <c r="G37">
        <v>0.19480546821825478</v>
      </c>
    </row>
    <row r="38" spans="1:7" x14ac:dyDescent="0.35">
      <c r="A38">
        <v>2009</v>
      </c>
      <c r="B38" s="1" t="s">
        <v>32</v>
      </c>
      <c r="C38" s="1" t="s">
        <v>33</v>
      </c>
      <c r="D38" s="1" t="s">
        <v>7</v>
      </c>
      <c r="E38" s="1">
        <v>138368.39000000001</v>
      </c>
      <c r="F38" s="1">
        <v>524144</v>
      </c>
      <c r="G38">
        <v>0.2639892663084954</v>
      </c>
    </row>
    <row r="39" spans="1:7" x14ac:dyDescent="0.35">
      <c r="A39">
        <v>2009</v>
      </c>
      <c r="B39" s="1" t="s">
        <v>32</v>
      </c>
      <c r="C39" s="1" t="s">
        <v>33</v>
      </c>
      <c r="D39" s="1" t="s">
        <v>8</v>
      </c>
      <c r="E39" s="1">
        <v>52183.55</v>
      </c>
      <c r="F39" s="1">
        <v>524144</v>
      </c>
      <c r="G39">
        <v>9.955956759974359E-2</v>
      </c>
    </row>
    <row r="40" spans="1:7" x14ac:dyDescent="0.35">
      <c r="A40">
        <v>2009</v>
      </c>
      <c r="B40" s="1" t="s">
        <v>32</v>
      </c>
      <c r="C40" s="1" t="s">
        <v>33</v>
      </c>
      <c r="D40" s="1" t="s">
        <v>9</v>
      </c>
      <c r="E40" s="1">
        <v>81041.73</v>
      </c>
      <c r="F40" s="1">
        <v>524144</v>
      </c>
      <c r="G40">
        <v>0.154617299826002</v>
      </c>
    </row>
    <row r="41" spans="1:7" x14ac:dyDescent="0.35">
      <c r="A41">
        <v>2009</v>
      </c>
      <c r="B41" s="1" t="s">
        <v>34</v>
      </c>
      <c r="C41" s="1" t="s">
        <v>35</v>
      </c>
      <c r="D41" s="1" t="s">
        <v>7</v>
      </c>
      <c r="E41" s="1">
        <v>136451.32</v>
      </c>
      <c r="F41" s="1">
        <v>525276</v>
      </c>
      <c r="G41">
        <v>0.25977071101668459</v>
      </c>
    </row>
    <row r="42" spans="1:7" x14ac:dyDescent="0.35">
      <c r="A42">
        <v>2009</v>
      </c>
      <c r="B42" s="1" t="s">
        <v>34</v>
      </c>
      <c r="C42" s="1" t="s">
        <v>35</v>
      </c>
      <c r="D42" s="1" t="s">
        <v>8</v>
      </c>
      <c r="E42" s="1">
        <v>56517.5</v>
      </c>
      <c r="F42" s="1">
        <v>525276</v>
      </c>
      <c r="G42">
        <v>0.10759581629467176</v>
      </c>
    </row>
    <row r="43" spans="1:7" x14ac:dyDescent="0.35">
      <c r="A43">
        <v>2009</v>
      </c>
      <c r="B43" s="1" t="s">
        <v>34</v>
      </c>
      <c r="C43" s="1" t="s">
        <v>35</v>
      </c>
      <c r="D43" s="1" t="s">
        <v>9</v>
      </c>
      <c r="E43" s="1">
        <v>83915.19</v>
      </c>
      <c r="F43" s="1">
        <v>525276</v>
      </c>
      <c r="G43">
        <v>0.15975447193475431</v>
      </c>
    </row>
    <row r="44" spans="1:7" x14ac:dyDescent="0.35">
      <c r="A44">
        <v>2009</v>
      </c>
      <c r="B44" s="1" t="s">
        <v>36</v>
      </c>
      <c r="C44" s="1" t="s">
        <v>37</v>
      </c>
      <c r="D44" s="1" t="s">
        <v>7</v>
      </c>
      <c r="E44" s="1">
        <v>54879.96</v>
      </c>
      <c r="F44" s="1">
        <v>261277</v>
      </c>
      <c r="G44">
        <v>0.2100451245230158</v>
      </c>
    </row>
    <row r="45" spans="1:7" x14ac:dyDescent="0.35">
      <c r="A45">
        <v>2009</v>
      </c>
      <c r="B45" s="1" t="s">
        <v>36</v>
      </c>
      <c r="C45" s="1" t="s">
        <v>37</v>
      </c>
      <c r="D45" s="1" t="s">
        <v>8</v>
      </c>
      <c r="E45" s="1">
        <v>35591.06</v>
      </c>
      <c r="F45" s="1">
        <v>261277</v>
      </c>
      <c r="G45">
        <v>0.13621964428556665</v>
      </c>
    </row>
    <row r="46" spans="1:7" x14ac:dyDescent="0.35">
      <c r="A46">
        <v>2009</v>
      </c>
      <c r="B46" s="1" t="s">
        <v>36</v>
      </c>
      <c r="C46" s="1" t="s">
        <v>37</v>
      </c>
      <c r="D46" s="1" t="s">
        <v>9</v>
      </c>
      <c r="E46" s="1">
        <v>38743.39</v>
      </c>
      <c r="F46" s="1">
        <v>261277</v>
      </c>
      <c r="G46">
        <v>0.14828473229560965</v>
      </c>
    </row>
    <row r="47" spans="1:7" x14ac:dyDescent="0.35">
      <c r="A47">
        <v>2009</v>
      </c>
      <c r="B47" s="1" t="s">
        <v>38</v>
      </c>
      <c r="C47" s="1" t="s">
        <v>39</v>
      </c>
      <c r="D47" s="1" t="s">
        <v>7</v>
      </c>
      <c r="E47" s="1">
        <v>52706.64</v>
      </c>
      <c r="F47" s="1">
        <v>220199</v>
      </c>
      <c r="G47">
        <v>0.23935912515497346</v>
      </c>
    </row>
    <row r="48" spans="1:7" x14ac:dyDescent="0.35">
      <c r="A48">
        <v>2009</v>
      </c>
      <c r="B48" s="1" t="s">
        <v>38</v>
      </c>
      <c r="C48" s="1" t="s">
        <v>39</v>
      </c>
      <c r="D48" s="1" t="s">
        <v>8</v>
      </c>
      <c r="E48" s="1">
        <v>25035.360000000001</v>
      </c>
      <c r="F48" s="1">
        <v>220199</v>
      </c>
      <c r="G48">
        <v>0.11369424929268526</v>
      </c>
    </row>
    <row r="49" spans="1:7" x14ac:dyDescent="0.35">
      <c r="A49">
        <v>2009</v>
      </c>
      <c r="B49" s="1" t="s">
        <v>38</v>
      </c>
      <c r="C49" s="1" t="s">
        <v>39</v>
      </c>
      <c r="D49" s="1" t="s">
        <v>9</v>
      </c>
      <c r="E49" s="1">
        <v>38257.56</v>
      </c>
      <c r="F49" s="1">
        <v>220199</v>
      </c>
      <c r="G49">
        <v>0.17374084350973437</v>
      </c>
    </row>
    <row r="50" spans="1:7" x14ac:dyDescent="0.35">
      <c r="A50">
        <v>2009</v>
      </c>
      <c r="B50" s="1" t="s">
        <v>40</v>
      </c>
      <c r="C50" s="1" t="s">
        <v>41</v>
      </c>
      <c r="D50" s="1" t="s">
        <v>7</v>
      </c>
      <c r="E50" s="1">
        <v>56174.15</v>
      </c>
      <c r="F50" s="1">
        <v>239194</v>
      </c>
      <c r="G50">
        <v>0.23484765504151442</v>
      </c>
    </row>
    <row r="51" spans="1:7" x14ac:dyDescent="0.35">
      <c r="A51">
        <v>2009</v>
      </c>
      <c r="B51" s="1" t="s">
        <v>40</v>
      </c>
      <c r="C51" s="1" t="s">
        <v>41</v>
      </c>
      <c r="D51" s="1" t="s">
        <v>8</v>
      </c>
      <c r="E51" s="1">
        <v>28978.93</v>
      </c>
      <c r="F51" s="1">
        <v>239194</v>
      </c>
      <c r="G51">
        <v>0.12115241184979557</v>
      </c>
    </row>
    <row r="52" spans="1:7" x14ac:dyDescent="0.35">
      <c r="A52">
        <v>2009</v>
      </c>
      <c r="B52" s="1" t="s">
        <v>40</v>
      </c>
      <c r="C52" s="1" t="s">
        <v>41</v>
      </c>
      <c r="D52" s="1" t="s">
        <v>9</v>
      </c>
      <c r="E52" s="1">
        <v>45163.55</v>
      </c>
      <c r="F52" s="1">
        <v>239194</v>
      </c>
      <c r="G52">
        <v>0.18881556393555024</v>
      </c>
    </row>
    <row r="53" spans="1:7" x14ac:dyDescent="0.35">
      <c r="A53">
        <v>2009</v>
      </c>
      <c r="B53" s="1" t="s">
        <v>42</v>
      </c>
      <c r="C53" s="1" t="s">
        <v>43</v>
      </c>
      <c r="D53" s="1" t="s">
        <v>7</v>
      </c>
      <c r="E53" s="1">
        <v>128157.24</v>
      </c>
      <c r="F53" s="1">
        <v>554720</v>
      </c>
      <c r="G53">
        <v>0.23103050187481974</v>
      </c>
    </row>
    <row r="54" spans="1:7" x14ac:dyDescent="0.35">
      <c r="A54">
        <v>2009</v>
      </c>
      <c r="B54" s="1" t="s">
        <v>42</v>
      </c>
      <c r="C54" s="1" t="s">
        <v>43</v>
      </c>
      <c r="D54" s="1" t="s">
        <v>8</v>
      </c>
      <c r="E54" s="1">
        <v>60537.48</v>
      </c>
      <c r="F54" s="1">
        <v>554720</v>
      </c>
      <c r="G54">
        <v>0.10913159792327662</v>
      </c>
    </row>
    <row r="55" spans="1:7" x14ac:dyDescent="0.35">
      <c r="A55">
        <v>2009</v>
      </c>
      <c r="B55" s="1" t="s">
        <v>42</v>
      </c>
      <c r="C55" s="1" t="s">
        <v>43</v>
      </c>
      <c r="D55" s="1" t="s">
        <v>9</v>
      </c>
      <c r="E55" s="1">
        <v>110457.5</v>
      </c>
      <c r="F55" s="1">
        <v>554720</v>
      </c>
      <c r="G55">
        <v>0.19912298096336892</v>
      </c>
    </row>
    <row r="56" spans="1:7" x14ac:dyDescent="0.35">
      <c r="A56">
        <v>2009</v>
      </c>
      <c r="B56" s="1" t="s">
        <v>44</v>
      </c>
      <c r="C56" s="1" t="s">
        <v>45</v>
      </c>
      <c r="D56" s="1" t="s">
        <v>7</v>
      </c>
      <c r="E56" s="1">
        <v>106406.5</v>
      </c>
      <c r="F56" s="1">
        <v>343377</v>
      </c>
      <c r="G56">
        <v>0.30988243242849695</v>
      </c>
    </row>
    <row r="57" spans="1:7" x14ac:dyDescent="0.35">
      <c r="A57">
        <v>2009</v>
      </c>
      <c r="B57" s="1" t="s">
        <v>44</v>
      </c>
      <c r="C57" s="1" t="s">
        <v>45</v>
      </c>
      <c r="D57" s="1" t="s">
        <v>8</v>
      </c>
      <c r="E57" s="1">
        <v>28840.61</v>
      </c>
      <c r="F57" s="1">
        <v>343377</v>
      </c>
      <c r="G57">
        <v>8.3991094336545544E-2</v>
      </c>
    </row>
    <row r="58" spans="1:7" x14ac:dyDescent="0.35">
      <c r="A58">
        <v>2009</v>
      </c>
      <c r="B58" s="1" t="s">
        <v>44</v>
      </c>
      <c r="C58" s="1" t="s">
        <v>45</v>
      </c>
      <c r="D58" s="1" t="s">
        <v>9</v>
      </c>
      <c r="E58" s="1">
        <v>43112.55</v>
      </c>
      <c r="F58" s="1">
        <v>343377</v>
      </c>
      <c r="G58">
        <v>0.12555456539022708</v>
      </c>
    </row>
    <row r="59" spans="1:7" x14ac:dyDescent="0.35">
      <c r="A59">
        <v>2009</v>
      </c>
      <c r="B59" s="1" t="s">
        <v>46</v>
      </c>
      <c r="C59" s="1" t="s">
        <v>47</v>
      </c>
      <c r="D59" s="1" t="s">
        <v>7</v>
      </c>
      <c r="E59" s="1">
        <v>41201.919999999998</v>
      </c>
      <c r="F59" s="1">
        <v>142461</v>
      </c>
      <c r="G59">
        <v>0.28921543439959008</v>
      </c>
    </row>
    <row r="60" spans="1:7" x14ac:dyDescent="0.35">
      <c r="A60">
        <v>2009</v>
      </c>
      <c r="B60" s="1" t="s">
        <v>46</v>
      </c>
      <c r="C60" s="1" t="s">
        <v>47</v>
      </c>
      <c r="D60" s="1" t="s">
        <v>8</v>
      </c>
      <c r="E60" s="1">
        <v>18706.05</v>
      </c>
      <c r="F60" s="1">
        <v>142461</v>
      </c>
      <c r="G60">
        <v>0.13130646282140374</v>
      </c>
    </row>
    <row r="61" spans="1:7" x14ac:dyDescent="0.35">
      <c r="A61">
        <v>2009</v>
      </c>
      <c r="B61" s="1" t="s">
        <v>46</v>
      </c>
      <c r="C61" s="1" t="s">
        <v>47</v>
      </c>
      <c r="D61" s="1" t="s">
        <v>9</v>
      </c>
      <c r="E61" s="1">
        <v>8866.7800000000007</v>
      </c>
      <c r="F61" s="1">
        <v>142461</v>
      </c>
      <c r="G61">
        <v>6.2240051663262227E-2</v>
      </c>
    </row>
    <row r="62" spans="1:7" x14ac:dyDescent="0.35">
      <c r="A62">
        <v>2009</v>
      </c>
      <c r="B62" s="1" t="s">
        <v>48</v>
      </c>
      <c r="C62" s="1" t="s">
        <v>49</v>
      </c>
      <c r="D62" s="1" t="s">
        <v>7</v>
      </c>
      <c r="E62" s="1">
        <v>158002.93</v>
      </c>
      <c r="F62" s="1">
        <v>587519</v>
      </c>
      <c r="G62">
        <v>0.26893246005661092</v>
      </c>
    </row>
    <row r="63" spans="1:7" x14ac:dyDescent="0.35">
      <c r="A63">
        <v>2009</v>
      </c>
      <c r="B63" s="1" t="s">
        <v>48</v>
      </c>
      <c r="C63" s="1" t="s">
        <v>49</v>
      </c>
      <c r="D63" s="1" t="s">
        <v>8</v>
      </c>
      <c r="E63" s="1">
        <v>56558.55</v>
      </c>
      <c r="F63" s="1">
        <v>587519</v>
      </c>
      <c r="G63">
        <v>9.626675903247385E-2</v>
      </c>
    </row>
    <row r="64" spans="1:7" x14ac:dyDescent="0.35">
      <c r="A64">
        <v>2009</v>
      </c>
      <c r="B64" s="1" t="s">
        <v>48</v>
      </c>
      <c r="C64" s="1" t="s">
        <v>49</v>
      </c>
      <c r="D64" s="1" t="s">
        <v>9</v>
      </c>
      <c r="E64" s="1">
        <v>152261.14000000001</v>
      </c>
      <c r="F64" s="1">
        <v>587519</v>
      </c>
      <c r="G64">
        <v>0.25915951654329478</v>
      </c>
    </row>
    <row r="65" spans="1:7" x14ac:dyDescent="0.35">
      <c r="A65">
        <v>2009</v>
      </c>
      <c r="B65" s="1" t="s">
        <v>50</v>
      </c>
      <c r="C65" s="1" t="s">
        <v>51</v>
      </c>
      <c r="D65" s="1" t="s">
        <v>7</v>
      </c>
      <c r="E65" s="1">
        <v>248509.99</v>
      </c>
      <c r="F65" s="1">
        <v>893914</v>
      </c>
      <c r="G65">
        <v>0.27800212324675527</v>
      </c>
    </row>
    <row r="66" spans="1:7" x14ac:dyDescent="0.35">
      <c r="A66">
        <v>2009</v>
      </c>
      <c r="B66" s="1" t="s">
        <v>50</v>
      </c>
      <c r="C66" s="1" t="s">
        <v>51</v>
      </c>
      <c r="D66" s="1" t="s">
        <v>8</v>
      </c>
      <c r="E66" s="1">
        <v>123439.53</v>
      </c>
      <c r="F66" s="1">
        <v>893914</v>
      </c>
      <c r="G66">
        <v>0.13808882062480282</v>
      </c>
    </row>
    <row r="67" spans="1:7" x14ac:dyDescent="0.35">
      <c r="A67">
        <v>2009</v>
      </c>
      <c r="B67" s="1" t="s">
        <v>50</v>
      </c>
      <c r="C67" s="1" t="s">
        <v>51</v>
      </c>
      <c r="D67" s="1" t="s">
        <v>9</v>
      </c>
      <c r="E67" s="1">
        <v>255235.19</v>
      </c>
      <c r="F67" s="1">
        <v>893914</v>
      </c>
      <c r="G67">
        <v>0.28552544204476044</v>
      </c>
    </row>
    <row r="68" spans="1:7" x14ac:dyDescent="0.35">
      <c r="A68">
        <v>2009</v>
      </c>
      <c r="B68" s="1" t="s">
        <v>52</v>
      </c>
      <c r="C68" s="1" t="s">
        <v>53</v>
      </c>
      <c r="D68" s="1" t="s">
        <v>7</v>
      </c>
      <c r="E68" s="1">
        <v>221068.38</v>
      </c>
      <c r="F68" s="1">
        <v>977449</v>
      </c>
      <c r="G68">
        <v>0.22616871059257312</v>
      </c>
    </row>
    <row r="69" spans="1:7" x14ac:dyDescent="0.35">
      <c r="A69">
        <v>2009</v>
      </c>
      <c r="B69" s="1" t="s">
        <v>52</v>
      </c>
      <c r="C69" s="1" t="s">
        <v>53</v>
      </c>
      <c r="D69" s="1" t="s">
        <v>8</v>
      </c>
      <c r="E69" s="1">
        <v>94941.32</v>
      </c>
      <c r="F69" s="1">
        <v>977449</v>
      </c>
      <c r="G69">
        <v>9.7131737819569117E-2</v>
      </c>
    </row>
    <row r="70" spans="1:7" x14ac:dyDescent="0.35">
      <c r="A70">
        <v>2009</v>
      </c>
      <c r="B70" s="1" t="s">
        <v>52</v>
      </c>
      <c r="C70" s="1" t="s">
        <v>53</v>
      </c>
      <c r="D70" s="1" t="s">
        <v>9</v>
      </c>
      <c r="E70" s="1">
        <v>169251.71</v>
      </c>
      <c r="F70" s="1">
        <v>977449</v>
      </c>
      <c r="G70">
        <v>0.17315656366726037</v>
      </c>
    </row>
    <row r="71" spans="1:7" x14ac:dyDescent="0.35">
      <c r="A71">
        <v>2009</v>
      </c>
      <c r="B71" s="1" t="s">
        <v>54</v>
      </c>
      <c r="C71" s="1" t="s">
        <v>55</v>
      </c>
      <c r="D71" s="1" t="s">
        <v>7</v>
      </c>
      <c r="E71" s="1">
        <v>181685.29</v>
      </c>
      <c r="F71" s="1">
        <v>716182</v>
      </c>
      <c r="G71">
        <v>0.25368592061794348</v>
      </c>
    </row>
    <row r="72" spans="1:7" x14ac:dyDescent="0.35">
      <c r="A72">
        <v>2009</v>
      </c>
      <c r="B72" s="1" t="s">
        <v>54</v>
      </c>
      <c r="C72" s="1" t="s">
        <v>55</v>
      </c>
      <c r="D72" s="1" t="s">
        <v>8</v>
      </c>
      <c r="E72" s="1">
        <v>83598.210000000006</v>
      </c>
      <c r="F72" s="1">
        <v>716182</v>
      </c>
      <c r="G72">
        <v>0.11672760555277849</v>
      </c>
    </row>
    <row r="73" spans="1:7" x14ac:dyDescent="0.35">
      <c r="A73">
        <v>2009</v>
      </c>
      <c r="B73" s="1" t="s">
        <v>54</v>
      </c>
      <c r="C73" s="1" t="s">
        <v>55</v>
      </c>
      <c r="D73" s="1" t="s">
        <v>9</v>
      </c>
      <c r="E73" s="1">
        <v>154724.39000000001</v>
      </c>
      <c r="F73" s="1">
        <v>716182</v>
      </c>
      <c r="G73">
        <v>0.2160406014113731</v>
      </c>
    </row>
    <row r="74" spans="1:7" x14ac:dyDescent="0.35">
      <c r="A74">
        <v>2009</v>
      </c>
      <c r="B74" s="1" t="s">
        <v>56</v>
      </c>
      <c r="C74" s="1" t="s">
        <v>57</v>
      </c>
      <c r="D74" s="1" t="s">
        <v>7</v>
      </c>
      <c r="E74" s="1">
        <v>81841.72</v>
      </c>
      <c r="F74" s="1">
        <v>311022</v>
      </c>
      <c r="G74">
        <v>0.26313804168193888</v>
      </c>
    </row>
    <row r="75" spans="1:7" x14ac:dyDescent="0.35">
      <c r="A75">
        <v>2009</v>
      </c>
      <c r="B75" s="1" t="s">
        <v>56</v>
      </c>
      <c r="C75" s="1" t="s">
        <v>57</v>
      </c>
      <c r="D75" s="1" t="s">
        <v>8</v>
      </c>
      <c r="E75" s="1">
        <v>33046.11</v>
      </c>
      <c r="F75" s="1">
        <v>311022</v>
      </c>
      <c r="G75">
        <v>0.10625007234214943</v>
      </c>
    </row>
    <row r="76" spans="1:7" x14ac:dyDescent="0.35">
      <c r="A76">
        <v>2009</v>
      </c>
      <c r="B76" s="1" t="s">
        <v>56</v>
      </c>
      <c r="C76" s="1" t="s">
        <v>57</v>
      </c>
      <c r="D76" s="1" t="s">
        <v>9</v>
      </c>
      <c r="E76" s="1">
        <v>49480.07</v>
      </c>
      <c r="F76" s="1">
        <v>311022</v>
      </c>
      <c r="G76">
        <v>0.15908864967751477</v>
      </c>
    </row>
    <row r="77" spans="1:7" x14ac:dyDescent="0.35">
      <c r="A77">
        <v>2009</v>
      </c>
      <c r="B77" s="1" t="s">
        <v>58</v>
      </c>
      <c r="C77" s="1" t="s">
        <v>59</v>
      </c>
      <c r="D77" s="1" t="s">
        <v>7</v>
      </c>
      <c r="E77" s="1">
        <v>117834.14</v>
      </c>
      <c r="F77" s="1">
        <v>425502</v>
      </c>
      <c r="G77">
        <v>0.27692969715771021</v>
      </c>
    </row>
    <row r="78" spans="1:7" x14ac:dyDescent="0.35">
      <c r="A78">
        <v>2009</v>
      </c>
      <c r="B78" s="1" t="s">
        <v>58</v>
      </c>
      <c r="C78" s="1" t="s">
        <v>59</v>
      </c>
      <c r="D78" s="1" t="s">
        <v>8</v>
      </c>
      <c r="E78" s="1">
        <v>41833.43</v>
      </c>
      <c r="F78" s="1">
        <v>425502</v>
      </c>
      <c r="G78">
        <v>9.8315472077687066E-2</v>
      </c>
    </row>
    <row r="79" spans="1:7" x14ac:dyDescent="0.35">
      <c r="A79">
        <v>2009</v>
      </c>
      <c r="B79" s="1" t="s">
        <v>58</v>
      </c>
      <c r="C79" s="1" t="s">
        <v>59</v>
      </c>
      <c r="D79" s="1" t="s">
        <v>9</v>
      </c>
      <c r="E79" s="1">
        <v>59597.49</v>
      </c>
      <c r="F79" s="1">
        <v>425502</v>
      </c>
      <c r="G79">
        <v>0.14006394799554409</v>
      </c>
    </row>
    <row r="80" spans="1:7" x14ac:dyDescent="0.35">
      <c r="A80">
        <v>2009</v>
      </c>
      <c r="B80" s="1" t="s">
        <v>60</v>
      </c>
      <c r="C80" s="1" t="s">
        <v>61</v>
      </c>
      <c r="D80" s="1" t="s">
        <v>7</v>
      </c>
      <c r="E80" s="1">
        <v>49930.65</v>
      </c>
      <c r="F80" s="1">
        <v>232268</v>
      </c>
      <c r="G80">
        <v>0.21496999156147209</v>
      </c>
    </row>
    <row r="81" spans="1:7" x14ac:dyDescent="0.35">
      <c r="A81">
        <v>2009</v>
      </c>
      <c r="B81" s="1" t="s">
        <v>60</v>
      </c>
      <c r="C81" s="1" t="s">
        <v>61</v>
      </c>
      <c r="D81" s="1" t="s">
        <v>8</v>
      </c>
      <c r="E81" s="1">
        <v>35980.93</v>
      </c>
      <c r="F81" s="1">
        <v>232268</v>
      </c>
      <c r="G81">
        <v>0.15491126629583069</v>
      </c>
    </row>
    <row r="82" spans="1:7" x14ac:dyDescent="0.35">
      <c r="A82">
        <v>2009</v>
      </c>
      <c r="B82" s="1" t="s">
        <v>60</v>
      </c>
      <c r="C82" s="1" t="s">
        <v>61</v>
      </c>
      <c r="D82" s="1" t="s">
        <v>9</v>
      </c>
      <c r="E82" s="1">
        <v>33913.96</v>
      </c>
      <c r="F82" s="1">
        <v>232268</v>
      </c>
      <c r="G82">
        <v>0.14601219281175193</v>
      </c>
    </row>
    <row r="83" spans="1:7" x14ac:dyDescent="0.35">
      <c r="A83">
        <v>2009</v>
      </c>
      <c r="B83" s="1" t="s">
        <v>62</v>
      </c>
      <c r="C83" s="1" t="s">
        <v>63</v>
      </c>
      <c r="D83" s="1" t="s">
        <v>7</v>
      </c>
      <c r="E83" s="1">
        <v>148239.23000000001</v>
      </c>
      <c r="F83" s="1">
        <v>588420</v>
      </c>
      <c r="G83">
        <v>0.25192758573807827</v>
      </c>
    </row>
    <row r="84" spans="1:7" x14ac:dyDescent="0.35">
      <c r="A84">
        <v>2009</v>
      </c>
      <c r="B84" s="1" t="s">
        <v>62</v>
      </c>
      <c r="C84" s="1" t="s">
        <v>63</v>
      </c>
      <c r="D84" s="1" t="s">
        <v>8</v>
      </c>
      <c r="E84" s="1">
        <v>69361.320000000007</v>
      </c>
      <c r="F84" s="1">
        <v>588420</v>
      </c>
      <c r="G84">
        <v>0.11787723054960743</v>
      </c>
    </row>
    <row r="85" spans="1:7" x14ac:dyDescent="0.35">
      <c r="A85">
        <v>2009</v>
      </c>
      <c r="B85" s="1" t="s">
        <v>62</v>
      </c>
      <c r="C85" s="1" t="s">
        <v>63</v>
      </c>
      <c r="D85" s="1" t="s">
        <v>9</v>
      </c>
      <c r="E85" s="1">
        <v>72086.570000000007</v>
      </c>
      <c r="F85" s="1">
        <v>588420</v>
      </c>
      <c r="G85">
        <v>0.12250870126780192</v>
      </c>
    </row>
    <row r="86" spans="1:7" x14ac:dyDescent="0.35">
      <c r="A86">
        <v>2009</v>
      </c>
      <c r="B86" s="1" t="s">
        <v>64</v>
      </c>
      <c r="C86" s="1" t="s">
        <v>65</v>
      </c>
      <c r="D86" s="1" t="s">
        <v>7</v>
      </c>
      <c r="E86" s="1">
        <v>82919.77</v>
      </c>
      <c r="F86" s="1">
        <v>327868</v>
      </c>
      <c r="G86">
        <v>0.25290595605548577</v>
      </c>
    </row>
    <row r="87" spans="1:7" x14ac:dyDescent="0.35">
      <c r="A87">
        <v>2009</v>
      </c>
      <c r="B87" s="1" t="s">
        <v>64</v>
      </c>
      <c r="C87" s="1" t="s">
        <v>65</v>
      </c>
      <c r="D87" s="1" t="s">
        <v>8</v>
      </c>
      <c r="E87" s="1">
        <v>26182.46</v>
      </c>
      <c r="F87" s="1">
        <v>327868</v>
      </c>
      <c r="G87">
        <v>7.9856710627447633E-2</v>
      </c>
    </row>
    <row r="88" spans="1:7" x14ac:dyDescent="0.35">
      <c r="A88">
        <v>2009</v>
      </c>
      <c r="B88" s="1" t="s">
        <v>64</v>
      </c>
      <c r="C88" s="1" t="s">
        <v>65</v>
      </c>
      <c r="D88" s="1" t="s">
        <v>9</v>
      </c>
      <c r="E88" s="1">
        <v>64207.4</v>
      </c>
      <c r="F88" s="1">
        <v>327868</v>
      </c>
      <c r="G88">
        <v>0.19583307916600584</v>
      </c>
    </row>
    <row r="89" spans="1:7" x14ac:dyDescent="0.35">
      <c r="A89">
        <v>2009</v>
      </c>
      <c r="B89" s="1" t="s">
        <v>66</v>
      </c>
      <c r="C89" s="1" t="s">
        <v>67</v>
      </c>
      <c r="D89" s="1" t="s">
        <v>7</v>
      </c>
      <c r="E89" s="1">
        <v>171335.1</v>
      </c>
      <c r="F89" s="1">
        <v>653510</v>
      </c>
      <c r="G89">
        <v>0.26217670731893927</v>
      </c>
    </row>
    <row r="90" spans="1:7" x14ac:dyDescent="0.35">
      <c r="A90">
        <v>2009</v>
      </c>
      <c r="B90" s="1" t="s">
        <v>66</v>
      </c>
      <c r="C90" s="1" t="s">
        <v>67</v>
      </c>
      <c r="D90" s="1" t="s">
        <v>8</v>
      </c>
      <c r="E90" s="1">
        <v>46182.7</v>
      </c>
      <c r="F90" s="1">
        <v>653510</v>
      </c>
      <c r="G90">
        <v>7.0668696729965869E-2</v>
      </c>
    </row>
    <row r="91" spans="1:7" x14ac:dyDescent="0.35">
      <c r="A91">
        <v>2009</v>
      </c>
      <c r="B91" s="1" t="s">
        <v>66</v>
      </c>
      <c r="C91" s="1" t="s">
        <v>67</v>
      </c>
      <c r="D91" s="1" t="s">
        <v>9</v>
      </c>
      <c r="E91" s="1">
        <v>120430.32</v>
      </c>
      <c r="F91" s="1">
        <v>653510</v>
      </c>
      <c r="G91">
        <v>0.18428229101314442</v>
      </c>
    </row>
    <row r="92" spans="1:7" x14ac:dyDescent="0.35">
      <c r="A92">
        <v>2009</v>
      </c>
      <c r="B92" s="1" t="s">
        <v>68</v>
      </c>
      <c r="C92" s="1" t="s">
        <v>69</v>
      </c>
      <c r="D92" s="1" t="s">
        <v>7</v>
      </c>
      <c r="E92" s="1">
        <v>72034.679999999993</v>
      </c>
      <c r="F92" s="1">
        <v>141330</v>
      </c>
      <c r="G92">
        <v>0.50969136064529819</v>
      </c>
    </row>
    <row r="93" spans="1:7" x14ac:dyDescent="0.35">
      <c r="A93">
        <v>2009</v>
      </c>
      <c r="B93" s="1" t="s">
        <v>68</v>
      </c>
      <c r="C93" s="1" t="s">
        <v>69</v>
      </c>
      <c r="D93" s="1" t="s">
        <v>8</v>
      </c>
      <c r="E93" s="1">
        <v>4319.51</v>
      </c>
      <c r="F93" s="1">
        <v>141330</v>
      </c>
      <c r="G93">
        <v>3.0563291587065736E-2</v>
      </c>
    </row>
    <row r="94" spans="1:7" x14ac:dyDescent="0.35">
      <c r="A94">
        <v>2009</v>
      </c>
      <c r="B94" s="1" t="s">
        <v>68</v>
      </c>
      <c r="C94" s="1" t="s">
        <v>69</v>
      </c>
      <c r="D94" s="1" t="s">
        <v>9</v>
      </c>
      <c r="E94" s="1">
        <v>9443.7800000000007</v>
      </c>
      <c r="F94" s="1">
        <v>141330</v>
      </c>
      <c r="G94">
        <v>6.6820774074860256E-2</v>
      </c>
    </row>
    <row r="95" spans="1:7" x14ac:dyDescent="0.35">
      <c r="A95">
        <v>2009</v>
      </c>
      <c r="B95" s="1" t="s">
        <v>70</v>
      </c>
      <c r="C95" s="1" t="s">
        <v>71</v>
      </c>
      <c r="D95" s="1" t="s">
        <v>7</v>
      </c>
      <c r="E95" s="1">
        <v>72086.759999999995</v>
      </c>
      <c r="F95" s="1">
        <v>164344</v>
      </c>
      <c r="G95">
        <v>0.43863335442729878</v>
      </c>
    </row>
    <row r="96" spans="1:7" x14ac:dyDescent="0.35">
      <c r="A96">
        <v>2009</v>
      </c>
      <c r="B96" s="1" t="s">
        <v>70</v>
      </c>
      <c r="C96" s="1" t="s">
        <v>71</v>
      </c>
      <c r="D96" s="1" t="s">
        <v>8</v>
      </c>
      <c r="E96" s="1">
        <v>5838.57</v>
      </c>
      <c r="F96" s="1">
        <v>164344</v>
      </c>
      <c r="G96">
        <v>3.5526517548556687E-2</v>
      </c>
    </row>
    <row r="97" spans="1:7" x14ac:dyDescent="0.35">
      <c r="A97">
        <v>2009</v>
      </c>
      <c r="B97" s="1" t="s">
        <v>70</v>
      </c>
      <c r="C97" s="1" t="s">
        <v>71</v>
      </c>
      <c r="D97" s="1" t="s">
        <v>9</v>
      </c>
      <c r="E97" s="1">
        <v>16045.05</v>
      </c>
      <c r="F97" s="1">
        <v>164344</v>
      </c>
      <c r="G97">
        <v>9.7630883999415857E-2</v>
      </c>
    </row>
    <row r="98" spans="1:7" x14ac:dyDescent="0.35">
      <c r="A98">
        <v>2009</v>
      </c>
      <c r="B98" s="1" t="s">
        <v>84</v>
      </c>
      <c r="C98" s="1" t="s">
        <v>85</v>
      </c>
      <c r="D98" s="1" t="s">
        <v>7</v>
      </c>
      <c r="E98" s="1">
        <v>82993.929999999993</v>
      </c>
      <c r="F98" s="1">
        <v>283296</v>
      </c>
      <c r="G98">
        <v>0.29295835451259455</v>
      </c>
    </row>
    <row r="99" spans="1:7" x14ac:dyDescent="0.35">
      <c r="A99">
        <v>2009</v>
      </c>
      <c r="B99" s="1" t="s">
        <v>84</v>
      </c>
      <c r="C99" s="1" t="s">
        <v>85</v>
      </c>
      <c r="D99" s="1" t="s">
        <v>8</v>
      </c>
      <c r="E99" s="1">
        <v>31289.9</v>
      </c>
      <c r="F99" s="1">
        <v>283296</v>
      </c>
      <c r="G99">
        <v>0.11044949452163109</v>
      </c>
    </row>
    <row r="100" spans="1:7" x14ac:dyDescent="0.35">
      <c r="A100">
        <v>2009</v>
      </c>
      <c r="B100" s="1" t="s">
        <v>84</v>
      </c>
      <c r="C100" s="1" t="s">
        <v>85</v>
      </c>
      <c r="D100" s="1" t="s">
        <v>9</v>
      </c>
      <c r="E100" s="1">
        <v>33099.56</v>
      </c>
      <c r="F100" s="1">
        <v>283296</v>
      </c>
      <c r="G100">
        <v>0.11683737151248164</v>
      </c>
    </row>
    <row r="101" spans="1:7" x14ac:dyDescent="0.35">
      <c r="A101">
        <v>2009</v>
      </c>
      <c r="B101" s="1" t="s">
        <v>86</v>
      </c>
      <c r="C101" s="1" t="s">
        <v>87</v>
      </c>
      <c r="D101" s="1" t="s">
        <v>7</v>
      </c>
      <c r="E101" s="1">
        <v>91337.88</v>
      </c>
      <c r="F101" s="1">
        <v>303298</v>
      </c>
      <c r="G101">
        <v>0.30114896900078475</v>
      </c>
    </row>
    <row r="102" spans="1:7" x14ac:dyDescent="0.35">
      <c r="A102">
        <v>2009</v>
      </c>
      <c r="B102" s="1" t="s">
        <v>86</v>
      </c>
      <c r="C102" s="1" t="s">
        <v>87</v>
      </c>
      <c r="D102" s="1" t="s">
        <v>8</v>
      </c>
      <c r="E102" s="1">
        <v>35995.120000000003</v>
      </c>
      <c r="F102" s="1">
        <v>303298</v>
      </c>
      <c r="G102">
        <v>0.11867905492288114</v>
      </c>
    </row>
    <row r="103" spans="1:7" x14ac:dyDescent="0.35">
      <c r="A103">
        <v>2009</v>
      </c>
      <c r="B103" s="1" t="s">
        <v>86</v>
      </c>
      <c r="C103" s="1" t="s">
        <v>87</v>
      </c>
      <c r="D103" s="1" t="s">
        <v>9</v>
      </c>
      <c r="E103" s="1">
        <v>32787.99</v>
      </c>
      <c r="F103" s="1">
        <v>303298</v>
      </c>
      <c r="G103">
        <v>0.10810486716035055</v>
      </c>
    </row>
    <row r="104" spans="1:7" x14ac:dyDescent="0.35">
      <c r="A104">
        <v>2009</v>
      </c>
      <c r="B104" s="1" t="s">
        <v>88</v>
      </c>
      <c r="C104" s="1" t="s">
        <v>89</v>
      </c>
      <c r="D104" s="1" t="s">
        <v>7</v>
      </c>
      <c r="E104" s="1">
        <v>150194.32</v>
      </c>
      <c r="F104" s="1">
        <v>566145</v>
      </c>
      <c r="G104">
        <v>0.2652930256383082</v>
      </c>
    </row>
    <row r="105" spans="1:7" x14ac:dyDescent="0.35">
      <c r="A105">
        <v>2009</v>
      </c>
      <c r="B105" s="1" t="s">
        <v>88</v>
      </c>
      <c r="C105" s="1" t="s">
        <v>89</v>
      </c>
      <c r="D105" s="1" t="s">
        <v>8</v>
      </c>
      <c r="E105" s="1">
        <v>65379.67</v>
      </c>
      <c r="F105" s="1">
        <v>566145</v>
      </c>
      <c r="G105">
        <v>0.11548219978980649</v>
      </c>
    </row>
    <row r="106" spans="1:7" x14ac:dyDescent="0.35">
      <c r="A106">
        <v>2009</v>
      </c>
      <c r="B106" s="1" t="s">
        <v>88</v>
      </c>
      <c r="C106" s="1" t="s">
        <v>89</v>
      </c>
      <c r="D106" s="1" t="s">
        <v>9</v>
      </c>
      <c r="E106" s="1">
        <v>70401.509999999995</v>
      </c>
      <c r="F106" s="1">
        <v>566145</v>
      </c>
      <c r="G106">
        <v>0.12435243621333757</v>
      </c>
    </row>
    <row r="107" spans="1:7" x14ac:dyDescent="0.35">
      <c r="A107">
        <v>2009</v>
      </c>
      <c r="B107" s="1" t="s">
        <v>90</v>
      </c>
      <c r="C107" s="1" t="s">
        <v>91</v>
      </c>
      <c r="D107" s="1" t="s">
        <v>7</v>
      </c>
      <c r="E107" s="1">
        <v>53191.17</v>
      </c>
      <c r="F107" s="1">
        <v>185214</v>
      </c>
      <c r="G107">
        <v>0.28718763160452232</v>
      </c>
    </row>
    <row r="108" spans="1:7" x14ac:dyDescent="0.35">
      <c r="A108">
        <v>2009</v>
      </c>
      <c r="B108" s="1" t="s">
        <v>90</v>
      </c>
      <c r="C108" s="1" t="s">
        <v>91</v>
      </c>
      <c r="D108" s="1" t="s">
        <v>8</v>
      </c>
      <c r="E108" s="1">
        <v>16364.05</v>
      </c>
      <c r="F108" s="1">
        <v>185214</v>
      </c>
      <c r="G108">
        <v>8.8352122409753042E-2</v>
      </c>
    </row>
    <row r="109" spans="1:7" x14ac:dyDescent="0.35">
      <c r="A109">
        <v>2009</v>
      </c>
      <c r="B109" s="1" t="s">
        <v>90</v>
      </c>
      <c r="C109" s="1" t="s">
        <v>91</v>
      </c>
      <c r="D109" s="1" t="s">
        <v>9</v>
      </c>
      <c r="E109" s="1">
        <v>21955.87</v>
      </c>
      <c r="F109" s="1">
        <v>185214</v>
      </c>
      <c r="G109">
        <v>0.11854325266988457</v>
      </c>
    </row>
    <row r="110" spans="1:7" x14ac:dyDescent="0.35">
      <c r="A110">
        <v>2009</v>
      </c>
      <c r="B110" s="1" t="s">
        <v>92</v>
      </c>
      <c r="C110" s="1" t="s">
        <v>93</v>
      </c>
      <c r="D110" s="1" t="s">
        <v>7</v>
      </c>
      <c r="E110" s="1">
        <v>215342.69</v>
      </c>
      <c r="F110" s="1">
        <v>731019</v>
      </c>
      <c r="G110">
        <v>0.29457878659788594</v>
      </c>
    </row>
    <row r="111" spans="1:7" x14ac:dyDescent="0.35">
      <c r="A111">
        <v>2009</v>
      </c>
      <c r="B111" s="1" t="s">
        <v>92</v>
      </c>
      <c r="C111" s="1" t="s">
        <v>93</v>
      </c>
      <c r="D111" s="1" t="s">
        <v>8</v>
      </c>
      <c r="E111" s="1">
        <v>75435.350000000006</v>
      </c>
      <c r="F111" s="1">
        <v>731019</v>
      </c>
      <c r="G111">
        <v>0.10319205109579915</v>
      </c>
    </row>
    <row r="112" spans="1:7" x14ac:dyDescent="0.35">
      <c r="A112">
        <v>2009</v>
      </c>
      <c r="B112" s="1" t="s">
        <v>92</v>
      </c>
      <c r="C112" s="1" t="s">
        <v>93</v>
      </c>
      <c r="D112" s="1" t="s">
        <v>9</v>
      </c>
      <c r="E112" s="1">
        <v>77714.12</v>
      </c>
      <c r="F112" s="1">
        <v>731019</v>
      </c>
      <c r="G112">
        <v>0.10630930249418961</v>
      </c>
    </row>
    <row r="113" spans="1:7" x14ac:dyDescent="0.35">
      <c r="A113">
        <v>2009</v>
      </c>
      <c r="B113" s="1" t="s">
        <v>94</v>
      </c>
      <c r="C113" s="1" t="s">
        <v>95</v>
      </c>
      <c r="D113" s="1" t="s">
        <v>7</v>
      </c>
      <c r="E113" s="1">
        <v>51569.32</v>
      </c>
      <c r="F113" s="1">
        <v>194003</v>
      </c>
      <c r="G113">
        <v>0.2658171265392803</v>
      </c>
    </row>
    <row r="114" spans="1:7" x14ac:dyDescent="0.35">
      <c r="A114">
        <v>2009</v>
      </c>
      <c r="B114" s="1" t="s">
        <v>94</v>
      </c>
      <c r="C114" s="1" t="s">
        <v>95</v>
      </c>
      <c r="D114" s="1" t="s">
        <v>8</v>
      </c>
      <c r="E114" s="1">
        <v>16206.73</v>
      </c>
      <c r="F114" s="1">
        <v>194003</v>
      </c>
      <c r="G114">
        <v>8.3538553527522763E-2</v>
      </c>
    </row>
    <row r="115" spans="1:7" x14ac:dyDescent="0.35">
      <c r="A115">
        <v>2009</v>
      </c>
      <c r="B115" s="1" t="s">
        <v>94</v>
      </c>
      <c r="C115" s="1" t="s">
        <v>95</v>
      </c>
      <c r="D115" s="1" t="s">
        <v>9</v>
      </c>
      <c r="E115" s="1">
        <v>20955.919999999998</v>
      </c>
      <c r="F115" s="1">
        <v>194003</v>
      </c>
      <c r="G115">
        <v>0.1080185357958382</v>
      </c>
    </row>
    <row r="116" spans="1:7" x14ac:dyDescent="0.35">
      <c r="A116">
        <v>2009</v>
      </c>
      <c r="B116" s="1" t="s">
        <v>96</v>
      </c>
      <c r="C116" s="1" t="s">
        <v>97</v>
      </c>
      <c r="D116" s="1" t="s">
        <v>7</v>
      </c>
      <c r="E116" s="1">
        <v>325123.13</v>
      </c>
      <c r="F116" s="1">
        <v>1044898</v>
      </c>
      <c r="G116">
        <v>0.31115298335339908</v>
      </c>
    </row>
    <row r="117" spans="1:7" x14ac:dyDescent="0.35">
      <c r="A117">
        <v>2009</v>
      </c>
      <c r="B117" s="1" t="s">
        <v>96</v>
      </c>
      <c r="C117" s="1" t="s">
        <v>97</v>
      </c>
      <c r="D117" s="1" t="s">
        <v>8</v>
      </c>
      <c r="E117" s="1">
        <v>98815.33</v>
      </c>
      <c r="F117" s="1">
        <v>1044898</v>
      </c>
      <c r="G117">
        <v>9.4569355094947072E-2</v>
      </c>
    </row>
    <row r="118" spans="1:7" x14ac:dyDescent="0.35">
      <c r="A118">
        <v>2009</v>
      </c>
      <c r="B118" s="1" t="s">
        <v>96</v>
      </c>
      <c r="C118" s="1" t="s">
        <v>97</v>
      </c>
      <c r="D118" s="1" t="s">
        <v>9</v>
      </c>
      <c r="E118" s="1">
        <v>130578.74</v>
      </c>
      <c r="F118" s="1">
        <v>1044898</v>
      </c>
      <c r="G118">
        <v>0.12496792988406524</v>
      </c>
    </row>
    <row r="119" spans="1:7" x14ac:dyDescent="0.35">
      <c r="A119">
        <v>2009</v>
      </c>
      <c r="B119" s="1" t="s">
        <v>98</v>
      </c>
      <c r="C119" s="1" t="s">
        <v>99</v>
      </c>
      <c r="D119" s="1" t="s">
        <v>7</v>
      </c>
      <c r="E119" s="1">
        <v>293269.03999999998</v>
      </c>
      <c r="F119" s="1">
        <v>1094439</v>
      </c>
      <c r="G119">
        <v>0.26796289240423632</v>
      </c>
    </row>
    <row r="120" spans="1:7" x14ac:dyDescent="0.35">
      <c r="A120">
        <v>2009</v>
      </c>
      <c r="B120" s="1" t="s">
        <v>98</v>
      </c>
      <c r="C120" s="1" t="s">
        <v>99</v>
      </c>
      <c r="D120" s="1" t="s">
        <v>8</v>
      </c>
      <c r="E120" s="1">
        <v>90949.05</v>
      </c>
      <c r="F120" s="1">
        <v>1094439</v>
      </c>
      <c r="G120">
        <v>8.3101068218511959E-2</v>
      </c>
    </row>
    <row r="121" spans="1:7" x14ac:dyDescent="0.35">
      <c r="A121">
        <v>2009</v>
      </c>
      <c r="B121" s="1" t="s">
        <v>98</v>
      </c>
      <c r="C121" s="1" t="s">
        <v>99</v>
      </c>
      <c r="D121" s="1" t="s">
        <v>9</v>
      </c>
      <c r="E121" s="1">
        <v>139883.78</v>
      </c>
      <c r="F121" s="1">
        <v>1094439</v>
      </c>
      <c r="G121">
        <v>0.12781322668508707</v>
      </c>
    </row>
    <row r="122" spans="1:7" x14ac:dyDescent="0.35">
      <c r="A122">
        <v>2009</v>
      </c>
      <c r="B122" s="1" t="s">
        <v>100</v>
      </c>
      <c r="C122" s="1" t="s">
        <v>101</v>
      </c>
      <c r="D122" s="1" t="s">
        <v>7</v>
      </c>
      <c r="E122" s="1">
        <v>191958.07</v>
      </c>
      <c r="F122" s="1">
        <v>748614</v>
      </c>
      <c r="G122">
        <v>0.25641795371179271</v>
      </c>
    </row>
    <row r="123" spans="1:7" x14ac:dyDescent="0.35">
      <c r="A123">
        <v>2009</v>
      </c>
      <c r="B123" s="1" t="s">
        <v>100</v>
      </c>
      <c r="C123" s="1" t="s">
        <v>101</v>
      </c>
      <c r="D123" s="1" t="s">
        <v>8</v>
      </c>
      <c r="E123" s="1">
        <v>87955.08</v>
      </c>
      <c r="F123" s="1">
        <v>748614</v>
      </c>
      <c r="G123">
        <v>0.11749056255961016</v>
      </c>
    </row>
    <row r="124" spans="1:7" x14ac:dyDescent="0.35">
      <c r="A124">
        <v>2009</v>
      </c>
      <c r="B124" s="1" t="s">
        <v>100</v>
      </c>
      <c r="C124" s="1" t="s">
        <v>101</v>
      </c>
      <c r="D124" s="1" t="s">
        <v>9</v>
      </c>
      <c r="E124" s="1">
        <v>97670.97</v>
      </c>
      <c r="F124" s="1">
        <v>748614</v>
      </c>
      <c r="G124">
        <v>0.13046906683551202</v>
      </c>
    </row>
    <row r="125" spans="1:7" x14ac:dyDescent="0.35">
      <c r="A125">
        <v>2009</v>
      </c>
      <c r="B125" s="1" t="s">
        <v>102</v>
      </c>
      <c r="C125" s="1" t="s">
        <v>103</v>
      </c>
      <c r="D125" s="1" t="s">
        <v>7</v>
      </c>
      <c r="E125" s="1">
        <v>104381.96</v>
      </c>
      <c r="F125" s="1">
        <v>380192</v>
      </c>
      <c r="G125">
        <v>0.27455064809359481</v>
      </c>
    </row>
    <row r="126" spans="1:7" x14ac:dyDescent="0.35">
      <c r="A126">
        <v>2009</v>
      </c>
      <c r="B126" s="1" t="s">
        <v>102</v>
      </c>
      <c r="C126" s="1" t="s">
        <v>103</v>
      </c>
      <c r="D126" s="1" t="s">
        <v>8</v>
      </c>
      <c r="E126" s="1">
        <v>30588.29</v>
      </c>
      <c r="F126" s="1">
        <v>380192</v>
      </c>
      <c r="G126">
        <v>8.0454849128861208E-2</v>
      </c>
    </row>
    <row r="127" spans="1:7" x14ac:dyDescent="0.35">
      <c r="A127">
        <v>2009</v>
      </c>
      <c r="B127" s="1" t="s">
        <v>102</v>
      </c>
      <c r="C127" s="1" t="s">
        <v>103</v>
      </c>
      <c r="D127" s="1" t="s">
        <v>9</v>
      </c>
      <c r="E127" s="1">
        <v>53632.5</v>
      </c>
      <c r="F127" s="1">
        <v>380192</v>
      </c>
      <c r="G127">
        <v>0.14106688199646494</v>
      </c>
    </row>
    <row r="128" spans="1:7" x14ac:dyDescent="0.35">
      <c r="A128">
        <v>2009</v>
      </c>
      <c r="B128" s="1" t="s">
        <v>104</v>
      </c>
      <c r="C128" s="1" t="s">
        <v>105</v>
      </c>
      <c r="D128" s="1" t="s">
        <v>7</v>
      </c>
      <c r="E128" s="1">
        <v>144809.76</v>
      </c>
      <c r="F128" s="1">
        <v>539870</v>
      </c>
      <c r="G128">
        <v>0.26823079630281366</v>
      </c>
    </row>
    <row r="129" spans="1:7" x14ac:dyDescent="0.35">
      <c r="A129">
        <v>2009</v>
      </c>
      <c r="B129" s="1" t="s">
        <v>104</v>
      </c>
      <c r="C129" s="1" t="s">
        <v>105</v>
      </c>
      <c r="D129" s="1" t="s">
        <v>8</v>
      </c>
      <c r="E129" s="1">
        <v>62162.400000000001</v>
      </c>
      <c r="F129" s="1">
        <v>539870</v>
      </c>
      <c r="G129">
        <v>0.11514327523292645</v>
      </c>
    </row>
    <row r="130" spans="1:7" x14ac:dyDescent="0.35">
      <c r="A130">
        <v>2009</v>
      </c>
      <c r="B130" s="1" t="s">
        <v>104</v>
      </c>
      <c r="C130" s="1" t="s">
        <v>105</v>
      </c>
      <c r="D130" s="1" t="s">
        <v>9</v>
      </c>
      <c r="E130" s="1">
        <v>67853.960000000006</v>
      </c>
      <c r="F130" s="1">
        <v>539870</v>
      </c>
      <c r="G130">
        <v>0.12568573915942727</v>
      </c>
    </row>
    <row r="131" spans="1:7" x14ac:dyDescent="0.35">
      <c r="A131">
        <v>2009</v>
      </c>
      <c r="B131" s="1" t="s">
        <v>106</v>
      </c>
      <c r="C131" s="1" t="s">
        <v>107</v>
      </c>
      <c r="D131" s="1" t="s">
        <v>7</v>
      </c>
      <c r="E131" s="1">
        <v>703943.78</v>
      </c>
      <c r="F131" s="1">
        <v>2571940</v>
      </c>
      <c r="G131">
        <v>0.27370147826154578</v>
      </c>
    </row>
    <row r="132" spans="1:7" x14ac:dyDescent="0.35">
      <c r="A132">
        <v>2009</v>
      </c>
      <c r="B132" s="1" t="s">
        <v>106</v>
      </c>
      <c r="C132" s="1" t="s">
        <v>107</v>
      </c>
      <c r="D132" s="1" t="s">
        <v>8</v>
      </c>
      <c r="E132" s="1">
        <v>522630.84</v>
      </c>
      <c r="F132" s="1">
        <v>2571940</v>
      </c>
      <c r="G132">
        <v>0.20320491146760811</v>
      </c>
    </row>
    <row r="133" spans="1:7" x14ac:dyDescent="0.35">
      <c r="A133">
        <v>2009</v>
      </c>
      <c r="B133" s="1" t="s">
        <v>106</v>
      </c>
      <c r="C133" s="1" t="s">
        <v>107</v>
      </c>
      <c r="D133" s="1" t="s">
        <v>9</v>
      </c>
      <c r="E133" s="1">
        <v>227473.35</v>
      </c>
      <c r="F133" s="1">
        <v>2571940</v>
      </c>
      <c r="G133">
        <v>8.8444267751191713E-2</v>
      </c>
    </row>
    <row r="134" spans="1:7" x14ac:dyDescent="0.35">
      <c r="A134">
        <v>2009</v>
      </c>
      <c r="B134" s="1" t="s">
        <v>108</v>
      </c>
      <c r="C134" s="1" t="s">
        <v>109</v>
      </c>
      <c r="D134" s="1" t="s">
        <v>7</v>
      </c>
      <c r="E134" s="1">
        <v>247999.08</v>
      </c>
      <c r="F134" s="1">
        <v>801512</v>
      </c>
      <c r="G134">
        <v>0.30941405743145456</v>
      </c>
    </row>
    <row r="135" spans="1:7" x14ac:dyDescent="0.35">
      <c r="A135">
        <v>2009</v>
      </c>
      <c r="B135" s="1" t="s">
        <v>108</v>
      </c>
      <c r="C135" s="1" t="s">
        <v>109</v>
      </c>
      <c r="D135" s="1" t="s">
        <v>8</v>
      </c>
      <c r="E135" s="1">
        <v>104879.3</v>
      </c>
      <c r="F135" s="1">
        <v>801512</v>
      </c>
      <c r="G135">
        <v>0.13085181506951862</v>
      </c>
    </row>
    <row r="136" spans="1:7" x14ac:dyDescent="0.35">
      <c r="A136">
        <v>2009</v>
      </c>
      <c r="B136" s="1" t="s">
        <v>108</v>
      </c>
      <c r="C136" s="1" t="s">
        <v>109</v>
      </c>
      <c r="D136" s="1" t="s">
        <v>9</v>
      </c>
      <c r="E136" s="1">
        <v>105907.67</v>
      </c>
      <c r="F136" s="1">
        <v>801512</v>
      </c>
      <c r="G136">
        <v>0.13213485262853208</v>
      </c>
    </row>
    <row r="137" spans="1:7" x14ac:dyDescent="0.35">
      <c r="A137">
        <v>2009</v>
      </c>
      <c r="B137" s="1" t="s">
        <v>110</v>
      </c>
      <c r="C137" s="1" t="s">
        <v>111</v>
      </c>
      <c r="D137" s="1" t="s">
        <v>7</v>
      </c>
      <c r="E137" s="1">
        <v>452536.48</v>
      </c>
      <c r="F137" s="1">
        <v>1461257</v>
      </c>
      <c r="G137">
        <v>0.30968986290570377</v>
      </c>
    </row>
    <row r="138" spans="1:7" x14ac:dyDescent="0.35">
      <c r="A138">
        <v>2009</v>
      </c>
      <c r="B138" s="1" t="s">
        <v>110</v>
      </c>
      <c r="C138" s="1" t="s">
        <v>111</v>
      </c>
      <c r="D138" s="1" t="s">
        <v>8</v>
      </c>
      <c r="E138" s="1">
        <v>276053.26</v>
      </c>
      <c r="F138" s="1">
        <v>1461257</v>
      </c>
      <c r="G138">
        <v>0.18891492735364143</v>
      </c>
    </row>
    <row r="139" spans="1:7" x14ac:dyDescent="0.35">
      <c r="A139">
        <v>2009</v>
      </c>
      <c r="B139" s="1" t="s">
        <v>110</v>
      </c>
      <c r="C139" s="1" t="s">
        <v>111</v>
      </c>
      <c r="D139" s="1" t="s">
        <v>9</v>
      </c>
      <c r="E139" s="1">
        <v>177242.55</v>
      </c>
      <c r="F139" s="1">
        <v>1461257</v>
      </c>
      <c r="G139">
        <v>0.12129457720305188</v>
      </c>
    </row>
    <row r="140" spans="1:7" x14ac:dyDescent="0.35">
      <c r="A140">
        <v>2009</v>
      </c>
      <c r="B140" s="1" t="s">
        <v>112</v>
      </c>
      <c r="C140" s="1" t="s">
        <v>113</v>
      </c>
      <c r="D140" s="1" t="s">
        <v>7</v>
      </c>
      <c r="E140" s="1">
        <v>178898.55</v>
      </c>
      <c r="F140" s="1">
        <v>569775</v>
      </c>
      <c r="G140">
        <v>0.31398104514940106</v>
      </c>
    </row>
    <row r="141" spans="1:7" x14ac:dyDescent="0.35">
      <c r="A141">
        <v>2009</v>
      </c>
      <c r="B141" s="1" t="s">
        <v>112</v>
      </c>
      <c r="C141" s="1" t="s">
        <v>113</v>
      </c>
      <c r="D141" s="1" t="s">
        <v>8</v>
      </c>
      <c r="E141" s="1">
        <v>68415.429999999993</v>
      </c>
      <c r="F141" s="1">
        <v>569775</v>
      </c>
      <c r="G141">
        <v>0.12007446799175112</v>
      </c>
    </row>
    <row r="142" spans="1:7" x14ac:dyDescent="0.35">
      <c r="A142">
        <v>2009</v>
      </c>
      <c r="B142" s="1" t="s">
        <v>112</v>
      </c>
      <c r="C142" s="1" t="s">
        <v>113</v>
      </c>
      <c r="D142" s="1" t="s">
        <v>9</v>
      </c>
      <c r="E142" s="1">
        <v>88908.18</v>
      </c>
      <c r="F142" s="1">
        <v>569775</v>
      </c>
      <c r="G142">
        <v>0.15604085823351321</v>
      </c>
    </row>
    <row r="143" spans="1:7" x14ac:dyDescent="0.35">
      <c r="A143">
        <v>2009</v>
      </c>
      <c r="B143" s="1" t="s">
        <v>114</v>
      </c>
      <c r="C143" s="1" t="s">
        <v>115</v>
      </c>
      <c r="D143" s="1" t="s">
        <v>7</v>
      </c>
      <c r="E143" s="1">
        <v>841716</v>
      </c>
      <c r="F143" s="1">
        <v>2234105</v>
      </c>
      <c r="G143">
        <v>0.37675758301422718</v>
      </c>
    </row>
    <row r="144" spans="1:7" x14ac:dyDescent="0.35">
      <c r="A144">
        <v>2009</v>
      </c>
      <c r="B144" s="1" t="s">
        <v>114</v>
      </c>
      <c r="C144" s="1" t="s">
        <v>115</v>
      </c>
      <c r="D144" s="1" t="s">
        <v>8</v>
      </c>
      <c r="E144" s="1">
        <v>232434.21</v>
      </c>
      <c r="F144" s="1">
        <v>2234105</v>
      </c>
      <c r="G144">
        <v>0.10403907157452313</v>
      </c>
    </row>
    <row r="145" spans="1:7" x14ac:dyDescent="0.35">
      <c r="A145">
        <v>2009</v>
      </c>
      <c r="B145" s="1" t="s">
        <v>114</v>
      </c>
      <c r="C145" s="1" t="s">
        <v>115</v>
      </c>
      <c r="D145" s="1" t="s">
        <v>9</v>
      </c>
      <c r="E145" s="1">
        <v>10799.08</v>
      </c>
      <c r="F145" s="1">
        <v>2234105</v>
      </c>
      <c r="G145">
        <v>4.8337387902538153E-3</v>
      </c>
    </row>
    <row r="146" spans="1:7" x14ac:dyDescent="0.35">
      <c r="A146">
        <v>2009</v>
      </c>
      <c r="B146" s="1" t="s">
        <v>116</v>
      </c>
      <c r="C146" s="1" t="s">
        <v>117</v>
      </c>
      <c r="D146" s="1" t="s">
        <v>7</v>
      </c>
      <c r="E146" s="1">
        <v>401748.36</v>
      </c>
      <c r="F146" s="1">
        <v>1313414</v>
      </c>
      <c r="G146">
        <v>0.30588097888403809</v>
      </c>
    </row>
    <row r="147" spans="1:7" x14ac:dyDescent="0.35">
      <c r="A147">
        <v>2009</v>
      </c>
      <c r="B147" s="1" t="s">
        <v>116</v>
      </c>
      <c r="C147" s="1" t="s">
        <v>117</v>
      </c>
      <c r="D147" s="1" t="s">
        <v>8</v>
      </c>
      <c r="E147" s="1">
        <v>156022.16</v>
      </c>
      <c r="F147" s="1">
        <v>1313414</v>
      </c>
      <c r="G147">
        <v>0.11879130266618142</v>
      </c>
    </row>
    <row r="148" spans="1:7" x14ac:dyDescent="0.35">
      <c r="A148">
        <v>2009</v>
      </c>
      <c r="B148" s="1" t="s">
        <v>116</v>
      </c>
      <c r="C148" s="1" t="s">
        <v>117</v>
      </c>
      <c r="D148" s="1" t="s">
        <v>9</v>
      </c>
      <c r="E148" s="1">
        <v>121483.39</v>
      </c>
      <c r="F148" s="1">
        <v>1313414</v>
      </c>
      <c r="G148">
        <v>9.2494362021418988E-2</v>
      </c>
    </row>
    <row r="149" spans="1:7" x14ac:dyDescent="0.35">
      <c r="A149">
        <v>2009</v>
      </c>
      <c r="B149" s="1" t="s">
        <v>118</v>
      </c>
      <c r="C149" s="1" t="s">
        <v>119</v>
      </c>
      <c r="D149" s="1" t="s">
        <v>7</v>
      </c>
      <c r="E149" s="1">
        <v>382877.98</v>
      </c>
      <c r="F149" s="1">
        <v>1407560</v>
      </c>
      <c r="G149">
        <v>0.2720153883315809</v>
      </c>
    </row>
    <row r="150" spans="1:7" x14ac:dyDescent="0.35">
      <c r="A150">
        <v>2009</v>
      </c>
      <c r="B150" s="1" t="s">
        <v>118</v>
      </c>
      <c r="C150" s="1" t="s">
        <v>119</v>
      </c>
      <c r="D150" s="1" t="s">
        <v>8</v>
      </c>
      <c r="E150" s="1">
        <v>188324.08</v>
      </c>
      <c r="F150" s="1">
        <v>1407560</v>
      </c>
      <c r="G150">
        <v>0.13379470857370199</v>
      </c>
    </row>
    <row r="151" spans="1:7" x14ac:dyDescent="0.35">
      <c r="A151">
        <v>2009</v>
      </c>
      <c r="B151" s="1" t="s">
        <v>118</v>
      </c>
      <c r="C151" s="1" t="s">
        <v>119</v>
      </c>
      <c r="D151" s="1" t="s">
        <v>9</v>
      </c>
      <c r="E151" s="1">
        <v>59356.07</v>
      </c>
      <c r="F151" s="1">
        <v>1407560</v>
      </c>
      <c r="G151">
        <v>4.2169477677683365E-2</v>
      </c>
    </row>
    <row r="152" spans="1:7" x14ac:dyDescent="0.35">
      <c r="A152">
        <v>2009</v>
      </c>
      <c r="B152" s="1" t="s">
        <v>120</v>
      </c>
      <c r="C152" s="1" t="s">
        <v>121</v>
      </c>
      <c r="D152" s="1" t="s">
        <v>7</v>
      </c>
      <c r="E152" s="1">
        <v>341958.91</v>
      </c>
      <c r="F152" s="1">
        <v>1208004</v>
      </c>
      <c r="G152">
        <v>0.28307763053764723</v>
      </c>
    </row>
    <row r="153" spans="1:7" x14ac:dyDescent="0.35">
      <c r="A153">
        <v>2009</v>
      </c>
      <c r="B153" s="1" t="s">
        <v>120</v>
      </c>
      <c r="C153" s="1" t="s">
        <v>121</v>
      </c>
      <c r="D153" s="1" t="s">
        <v>8</v>
      </c>
      <c r="E153" s="1">
        <v>181734.95</v>
      </c>
      <c r="F153" s="1">
        <v>1208004</v>
      </c>
      <c r="G153">
        <v>0.15044234125052566</v>
      </c>
    </row>
    <row r="154" spans="1:7" x14ac:dyDescent="0.35">
      <c r="A154">
        <v>2009</v>
      </c>
      <c r="B154" s="1" t="s">
        <v>120</v>
      </c>
      <c r="C154" s="1" t="s">
        <v>121</v>
      </c>
      <c r="D154" s="1" t="s">
        <v>9</v>
      </c>
      <c r="E154" s="1">
        <v>66673.37</v>
      </c>
      <c r="F154" s="1">
        <v>1208004</v>
      </c>
      <c r="G154">
        <v>5.5193004327800235E-2</v>
      </c>
    </row>
    <row r="155" spans="1:7" x14ac:dyDescent="0.35">
      <c r="A155">
        <v>2009</v>
      </c>
      <c r="B155" s="1" t="s">
        <v>122</v>
      </c>
      <c r="C155" s="1" t="s">
        <v>123</v>
      </c>
      <c r="D155" s="1" t="s">
        <v>7</v>
      </c>
      <c r="E155" s="1">
        <v>488118.44</v>
      </c>
      <c r="F155" s="1">
        <v>1561745</v>
      </c>
      <c r="G155">
        <v>0.31254682422546576</v>
      </c>
    </row>
    <row r="156" spans="1:7" x14ac:dyDescent="0.35">
      <c r="A156">
        <v>2009</v>
      </c>
      <c r="B156" s="1" t="s">
        <v>122</v>
      </c>
      <c r="C156" s="1" t="s">
        <v>123</v>
      </c>
      <c r="D156" s="1" t="s">
        <v>8</v>
      </c>
      <c r="E156" s="1">
        <v>130702.16</v>
      </c>
      <c r="F156" s="1">
        <v>1561745</v>
      </c>
      <c r="G156">
        <v>8.3689821321662625E-2</v>
      </c>
    </row>
    <row r="157" spans="1:7" x14ac:dyDescent="0.35">
      <c r="A157">
        <v>2009</v>
      </c>
      <c r="B157" s="1" t="s">
        <v>122</v>
      </c>
      <c r="C157" s="1" t="s">
        <v>123</v>
      </c>
      <c r="D157" s="1" t="s">
        <v>9</v>
      </c>
      <c r="E157" s="1">
        <v>13868.77</v>
      </c>
      <c r="F157" s="1">
        <v>1561745</v>
      </c>
      <c r="G157">
        <v>8.8803037627781748E-3</v>
      </c>
    </row>
    <row r="158" spans="1:7" x14ac:dyDescent="0.35">
      <c r="A158">
        <v>2009</v>
      </c>
      <c r="B158" s="1" t="s">
        <v>124</v>
      </c>
      <c r="C158" s="1" t="s">
        <v>125</v>
      </c>
      <c r="D158" s="1" t="s">
        <v>7</v>
      </c>
      <c r="E158" s="1">
        <v>491161.3</v>
      </c>
      <c r="F158" s="1">
        <v>1515983</v>
      </c>
      <c r="G158">
        <v>0.32398865950343769</v>
      </c>
    </row>
    <row r="159" spans="1:7" x14ac:dyDescent="0.35">
      <c r="A159">
        <v>2009</v>
      </c>
      <c r="B159" s="1" t="s">
        <v>124</v>
      </c>
      <c r="C159" s="1" t="s">
        <v>125</v>
      </c>
      <c r="D159" s="1" t="s">
        <v>8</v>
      </c>
      <c r="E159" s="1">
        <v>121130.39</v>
      </c>
      <c r="F159" s="1">
        <v>1515983</v>
      </c>
      <c r="G159">
        <v>7.9902208665928315E-2</v>
      </c>
    </row>
    <row r="160" spans="1:7" x14ac:dyDescent="0.35">
      <c r="A160">
        <v>2009</v>
      </c>
      <c r="B160" s="1" t="s">
        <v>124</v>
      </c>
      <c r="C160" s="1" t="s">
        <v>125</v>
      </c>
      <c r="D160" s="1" t="s">
        <v>9</v>
      </c>
      <c r="E160" s="1">
        <v>39059.46</v>
      </c>
      <c r="F160" s="1">
        <v>1515983</v>
      </c>
      <c r="G160">
        <v>2.57651042261028E-2</v>
      </c>
    </row>
    <row r="161" spans="1:7" x14ac:dyDescent="0.35">
      <c r="A161">
        <v>2009</v>
      </c>
      <c r="B161" s="1" t="s">
        <v>126</v>
      </c>
      <c r="C161" s="1" t="s">
        <v>127</v>
      </c>
      <c r="D161" s="1" t="s">
        <v>7</v>
      </c>
      <c r="E161" s="1">
        <v>387397.51</v>
      </c>
      <c r="F161" s="1">
        <v>1318537</v>
      </c>
      <c r="G161">
        <v>0.29380859998619685</v>
      </c>
    </row>
    <row r="162" spans="1:7" x14ac:dyDescent="0.35">
      <c r="A162">
        <v>2009</v>
      </c>
      <c r="B162" s="1" t="s">
        <v>126</v>
      </c>
      <c r="C162" s="1" t="s">
        <v>127</v>
      </c>
      <c r="D162" s="1" t="s">
        <v>8</v>
      </c>
      <c r="E162" s="1">
        <v>131157.97</v>
      </c>
      <c r="F162" s="1">
        <v>1318537</v>
      </c>
      <c r="G162">
        <v>9.9472347002776559E-2</v>
      </c>
    </row>
    <row r="163" spans="1:7" x14ac:dyDescent="0.35">
      <c r="A163">
        <v>2009</v>
      </c>
      <c r="B163" s="1" t="s">
        <v>126</v>
      </c>
      <c r="C163" s="1" t="s">
        <v>127</v>
      </c>
      <c r="D163" s="1" t="s">
        <v>9</v>
      </c>
      <c r="E163" s="1">
        <v>32096.55</v>
      </c>
      <c r="F163" s="1">
        <v>1318537</v>
      </c>
      <c r="G163">
        <v>2.4342547839006412E-2</v>
      </c>
    </row>
    <row r="164" spans="1:7" x14ac:dyDescent="0.35">
      <c r="A164">
        <v>2009</v>
      </c>
      <c r="B164" s="1" t="s">
        <v>128</v>
      </c>
      <c r="C164" s="1" t="s">
        <v>129</v>
      </c>
      <c r="D164" s="1" t="s">
        <v>7</v>
      </c>
      <c r="E164" s="1">
        <v>362908.32</v>
      </c>
      <c r="F164" s="1">
        <v>1168892</v>
      </c>
      <c r="G164">
        <v>0.31047207098688329</v>
      </c>
    </row>
    <row r="165" spans="1:7" x14ac:dyDescent="0.35">
      <c r="A165">
        <v>2009</v>
      </c>
      <c r="B165" s="1" t="s">
        <v>128</v>
      </c>
      <c r="C165" s="1" t="s">
        <v>129</v>
      </c>
      <c r="D165" s="1" t="s">
        <v>8</v>
      </c>
      <c r="E165" s="1">
        <v>117204.91</v>
      </c>
      <c r="F165" s="1">
        <v>1168892</v>
      </c>
      <c r="G165">
        <v>0.10027009338758414</v>
      </c>
    </row>
    <row r="166" spans="1:7" x14ac:dyDescent="0.35">
      <c r="A166">
        <v>2009</v>
      </c>
      <c r="B166" s="1" t="s">
        <v>128</v>
      </c>
      <c r="C166" s="1" t="s">
        <v>129</v>
      </c>
      <c r="D166" s="1" t="s">
        <v>9</v>
      </c>
      <c r="E166" s="1">
        <v>60990.54</v>
      </c>
      <c r="F166" s="1">
        <v>1168892</v>
      </c>
      <c r="G166">
        <v>5.2178079754160347E-2</v>
      </c>
    </row>
    <row r="167" spans="1:7" x14ac:dyDescent="0.35">
      <c r="A167">
        <v>2009</v>
      </c>
      <c r="B167" s="1" t="s">
        <v>130</v>
      </c>
      <c r="C167" s="1" t="s">
        <v>131</v>
      </c>
      <c r="D167" s="1" t="s">
        <v>7</v>
      </c>
      <c r="E167" s="1">
        <v>211650.49</v>
      </c>
      <c r="F167" s="1">
        <v>680908</v>
      </c>
      <c r="G167">
        <v>0.3108356635551352</v>
      </c>
    </row>
    <row r="168" spans="1:7" x14ac:dyDescent="0.35">
      <c r="A168">
        <v>2009</v>
      </c>
      <c r="B168" s="1" t="s">
        <v>130</v>
      </c>
      <c r="C168" s="1" t="s">
        <v>131</v>
      </c>
      <c r="D168" s="1" t="s">
        <v>8</v>
      </c>
      <c r="E168" s="1">
        <v>94997.03</v>
      </c>
      <c r="F168" s="1">
        <v>680908</v>
      </c>
      <c r="G168">
        <v>0.13951522085215623</v>
      </c>
    </row>
    <row r="169" spans="1:7" x14ac:dyDescent="0.35">
      <c r="A169">
        <v>2009</v>
      </c>
      <c r="B169" s="1" t="s">
        <v>130</v>
      </c>
      <c r="C169" s="1" t="s">
        <v>131</v>
      </c>
      <c r="D169" s="1" t="s">
        <v>9</v>
      </c>
      <c r="E169" s="1">
        <v>116859.01</v>
      </c>
      <c r="F169" s="1">
        <v>680908</v>
      </c>
      <c r="G169">
        <v>0.17162231902107186</v>
      </c>
    </row>
    <row r="170" spans="1:7" x14ac:dyDescent="0.35">
      <c r="A170">
        <v>2009</v>
      </c>
      <c r="B170" s="1" t="s">
        <v>132</v>
      </c>
      <c r="C170" s="1" t="s">
        <v>133</v>
      </c>
      <c r="D170" s="1" t="s">
        <v>7</v>
      </c>
      <c r="E170" s="1">
        <v>167151.82999999999</v>
      </c>
      <c r="F170" s="1">
        <v>582822</v>
      </c>
      <c r="G170">
        <v>0.28679739268593152</v>
      </c>
    </row>
    <row r="171" spans="1:7" x14ac:dyDescent="0.35">
      <c r="A171">
        <v>2009</v>
      </c>
      <c r="B171" s="1" t="s">
        <v>132</v>
      </c>
      <c r="C171" s="1" t="s">
        <v>133</v>
      </c>
      <c r="D171" s="1" t="s">
        <v>8</v>
      </c>
      <c r="E171" s="1">
        <v>52027.54</v>
      </c>
      <c r="F171" s="1">
        <v>582822</v>
      </c>
      <c r="G171">
        <v>8.9268318629015381E-2</v>
      </c>
    </row>
    <row r="172" spans="1:7" x14ac:dyDescent="0.35">
      <c r="A172">
        <v>2009</v>
      </c>
      <c r="B172" s="1" t="s">
        <v>132</v>
      </c>
      <c r="C172" s="1" t="s">
        <v>133</v>
      </c>
      <c r="D172" s="1" t="s">
        <v>9</v>
      </c>
      <c r="E172" s="1">
        <v>125644.84</v>
      </c>
      <c r="F172" s="1">
        <v>582822</v>
      </c>
      <c r="G172">
        <v>0.21558012566443957</v>
      </c>
    </row>
    <row r="173" spans="1:7" x14ac:dyDescent="0.35">
      <c r="A173">
        <v>2009</v>
      </c>
      <c r="B173" s="1" t="s">
        <v>134</v>
      </c>
      <c r="C173" s="1" t="s">
        <v>135</v>
      </c>
      <c r="D173" s="1" t="s">
        <v>7</v>
      </c>
      <c r="E173" s="1">
        <v>137505.18</v>
      </c>
      <c r="F173" s="1">
        <v>497762</v>
      </c>
      <c r="G173">
        <v>0.27624684085968793</v>
      </c>
    </row>
    <row r="174" spans="1:7" x14ac:dyDescent="0.35">
      <c r="A174">
        <v>2009</v>
      </c>
      <c r="B174" s="1" t="s">
        <v>134</v>
      </c>
      <c r="C174" s="1" t="s">
        <v>135</v>
      </c>
      <c r="D174" s="1" t="s">
        <v>8</v>
      </c>
      <c r="E174" s="1">
        <v>58134</v>
      </c>
      <c r="F174" s="1">
        <v>497762</v>
      </c>
      <c r="G174">
        <v>0.11679075542126559</v>
      </c>
    </row>
    <row r="175" spans="1:7" x14ac:dyDescent="0.35">
      <c r="A175">
        <v>2009</v>
      </c>
      <c r="B175" s="1" t="s">
        <v>134</v>
      </c>
      <c r="C175" s="1" t="s">
        <v>135</v>
      </c>
      <c r="D175" s="1" t="s">
        <v>9</v>
      </c>
      <c r="E175" s="1">
        <v>118144.94</v>
      </c>
      <c r="F175" s="1">
        <v>497762</v>
      </c>
      <c r="G175">
        <v>0.23735226875494714</v>
      </c>
    </row>
    <row r="176" spans="1:7" x14ac:dyDescent="0.35">
      <c r="A176">
        <v>2009</v>
      </c>
      <c r="B176" s="1" t="s">
        <v>136</v>
      </c>
      <c r="C176" s="1" t="s">
        <v>137</v>
      </c>
      <c r="D176" s="1" t="s">
        <v>7</v>
      </c>
      <c r="E176" s="1">
        <v>77695</v>
      </c>
      <c r="F176" s="1">
        <v>292210</v>
      </c>
      <c r="G176">
        <v>0.26588754662742548</v>
      </c>
    </row>
    <row r="177" spans="1:7" x14ac:dyDescent="0.35">
      <c r="A177">
        <v>2009</v>
      </c>
      <c r="B177" s="1" t="s">
        <v>136</v>
      </c>
      <c r="C177" s="1" t="s">
        <v>137</v>
      </c>
      <c r="D177" s="1" t="s">
        <v>8</v>
      </c>
      <c r="E177" s="1">
        <v>22138.6</v>
      </c>
      <c r="F177" s="1">
        <v>292210</v>
      </c>
      <c r="G177">
        <v>7.5762636460080079E-2</v>
      </c>
    </row>
    <row r="178" spans="1:7" x14ac:dyDescent="0.35">
      <c r="A178">
        <v>2009</v>
      </c>
      <c r="B178" s="1" t="s">
        <v>136</v>
      </c>
      <c r="C178" s="1" t="s">
        <v>137</v>
      </c>
      <c r="D178" s="1" t="s">
        <v>9</v>
      </c>
      <c r="E178" s="1">
        <v>58061.72</v>
      </c>
      <c r="F178" s="1">
        <v>292210</v>
      </c>
      <c r="G178">
        <v>0.19869860716607921</v>
      </c>
    </row>
    <row r="179" spans="1:7" x14ac:dyDescent="0.35">
      <c r="A179">
        <v>2009</v>
      </c>
      <c r="B179" s="1" t="s">
        <v>138</v>
      </c>
      <c r="C179" s="1" t="s">
        <v>139</v>
      </c>
      <c r="D179" s="1" t="s">
        <v>7</v>
      </c>
      <c r="E179" s="1">
        <v>392610.41</v>
      </c>
      <c r="F179" s="1">
        <v>1250120</v>
      </c>
      <c r="G179">
        <v>0.31405817841487216</v>
      </c>
    </row>
    <row r="180" spans="1:7" x14ac:dyDescent="0.35">
      <c r="A180">
        <v>2009</v>
      </c>
      <c r="B180" s="1" t="s">
        <v>138</v>
      </c>
      <c r="C180" s="1" t="s">
        <v>139</v>
      </c>
      <c r="D180" s="1" t="s">
        <v>8</v>
      </c>
      <c r="E180" s="1">
        <v>148926.99</v>
      </c>
      <c r="F180" s="1">
        <v>1250120</v>
      </c>
      <c r="G180">
        <v>0.1191301555050715</v>
      </c>
    </row>
    <row r="181" spans="1:7" x14ac:dyDescent="0.35">
      <c r="A181">
        <v>2009</v>
      </c>
      <c r="B181" s="1" t="s">
        <v>138</v>
      </c>
      <c r="C181" s="1" t="s">
        <v>139</v>
      </c>
      <c r="D181" s="1" t="s">
        <v>9</v>
      </c>
      <c r="E181" s="1">
        <v>207231.55</v>
      </c>
      <c r="F181" s="1">
        <v>1250120</v>
      </c>
      <c r="G181">
        <v>0.16576932614469009</v>
      </c>
    </row>
    <row r="182" spans="1:7" x14ac:dyDescent="0.35">
      <c r="A182">
        <v>2009</v>
      </c>
      <c r="B182" s="1" t="s">
        <v>140</v>
      </c>
      <c r="C182" s="1" t="s">
        <v>141</v>
      </c>
      <c r="D182" s="1" t="s">
        <v>7</v>
      </c>
      <c r="E182" s="1">
        <v>81491.899999999994</v>
      </c>
      <c r="F182" s="1">
        <v>351563</v>
      </c>
      <c r="G182">
        <v>0.23179885255274302</v>
      </c>
    </row>
    <row r="183" spans="1:7" x14ac:dyDescent="0.35">
      <c r="A183">
        <v>2009</v>
      </c>
      <c r="B183" s="1" t="s">
        <v>140</v>
      </c>
      <c r="C183" s="1" t="s">
        <v>141</v>
      </c>
      <c r="D183" s="1" t="s">
        <v>8</v>
      </c>
      <c r="E183" s="1">
        <v>33160.9</v>
      </c>
      <c r="F183" s="1">
        <v>351563</v>
      </c>
      <c r="G183">
        <v>9.4324203627799294E-2</v>
      </c>
    </row>
    <row r="184" spans="1:7" x14ac:dyDescent="0.35">
      <c r="A184">
        <v>2009</v>
      </c>
      <c r="B184" s="1" t="s">
        <v>140</v>
      </c>
      <c r="C184" s="1" t="s">
        <v>141</v>
      </c>
      <c r="D184" s="1" t="s">
        <v>9</v>
      </c>
      <c r="E184" s="1">
        <v>62838.79</v>
      </c>
      <c r="F184" s="1">
        <v>351563</v>
      </c>
      <c r="G184">
        <v>0.17874119290141455</v>
      </c>
    </row>
    <row r="185" spans="1:7" x14ac:dyDescent="0.35">
      <c r="A185">
        <v>2009</v>
      </c>
      <c r="B185" s="1" t="s">
        <v>142</v>
      </c>
      <c r="C185" s="1" t="s">
        <v>143</v>
      </c>
      <c r="D185" s="1" t="s">
        <v>7</v>
      </c>
      <c r="E185" s="1">
        <v>204587.63</v>
      </c>
      <c r="F185" s="1">
        <v>616607</v>
      </c>
      <c r="G185">
        <v>0.33179582781252892</v>
      </c>
    </row>
    <row r="186" spans="1:7" x14ac:dyDescent="0.35">
      <c r="A186">
        <v>2009</v>
      </c>
      <c r="B186" s="1" t="s">
        <v>142</v>
      </c>
      <c r="C186" s="1" t="s">
        <v>143</v>
      </c>
      <c r="D186" s="1" t="s">
        <v>8</v>
      </c>
      <c r="E186" s="1">
        <v>66068.94</v>
      </c>
      <c r="F186" s="1">
        <v>616607</v>
      </c>
      <c r="G186">
        <v>0.10714918902964125</v>
      </c>
    </row>
    <row r="187" spans="1:7" x14ac:dyDescent="0.35">
      <c r="A187">
        <v>2009</v>
      </c>
      <c r="B187" s="1" t="s">
        <v>142</v>
      </c>
      <c r="C187" s="1" t="s">
        <v>143</v>
      </c>
      <c r="D187" s="1" t="s">
        <v>9</v>
      </c>
      <c r="E187" s="1">
        <v>130805.44</v>
      </c>
      <c r="F187" s="1">
        <v>616607</v>
      </c>
      <c r="G187">
        <v>0.21213745546190685</v>
      </c>
    </row>
    <row r="188" spans="1:7" x14ac:dyDescent="0.35">
      <c r="A188">
        <v>2009</v>
      </c>
      <c r="B188" s="1" t="s">
        <v>144</v>
      </c>
      <c r="C188" s="1" t="s">
        <v>145</v>
      </c>
      <c r="D188" s="1" t="s">
        <v>7</v>
      </c>
      <c r="E188" s="1">
        <v>74748.88</v>
      </c>
      <c r="F188" s="1">
        <v>243352</v>
      </c>
      <c r="G188">
        <v>0.30716361484598442</v>
      </c>
    </row>
    <row r="189" spans="1:7" x14ac:dyDescent="0.35">
      <c r="A189">
        <v>2009</v>
      </c>
      <c r="B189" s="1" t="s">
        <v>144</v>
      </c>
      <c r="C189" s="1" t="s">
        <v>145</v>
      </c>
      <c r="D189" s="1" t="s">
        <v>8</v>
      </c>
      <c r="E189" s="1">
        <v>15002.38</v>
      </c>
      <c r="F189" s="1">
        <v>243352</v>
      </c>
      <c r="G189">
        <v>6.1648887208652484E-2</v>
      </c>
    </row>
    <row r="190" spans="1:7" x14ac:dyDescent="0.35">
      <c r="A190">
        <v>2009</v>
      </c>
      <c r="B190" s="1" t="s">
        <v>144</v>
      </c>
      <c r="C190" s="1" t="s">
        <v>145</v>
      </c>
      <c r="D190" s="1" t="s">
        <v>9</v>
      </c>
      <c r="E190" s="1">
        <v>35029.660000000003</v>
      </c>
      <c r="F190" s="1">
        <v>243352</v>
      </c>
      <c r="G190">
        <v>0.14394646438081463</v>
      </c>
    </row>
    <row r="191" spans="1:7" x14ac:dyDescent="0.35">
      <c r="A191">
        <v>2009</v>
      </c>
      <c r="B191" s="1" t="s">
        <v>146</v>
      </c>
      <c r="C191" s="1" t="s">
        <v>147</v>
      </c>
      <c r="D191" s="1" t="s">
        <v>7</v>
      </c>
      <c r="E191" s="1">
        <v>30897.74</v>
      </c>
      <c r="F191" s="1">
        <v>123584</v>
      </c>
      <c r="G191">
        <v>0.25001407949249094</v>
      </c>
    </row>
    <row r="192" spans="1:7" x14ac:dyDescent="0.35">
      <c r="A192">
        <v>2009</v>
      </c>
      <c r="B192" s="1" t="s">
        <v>146</v>
      </c>
      <c r="C192" s="1" t="s">
        <v>147</v>
      </c>
      <c r="D192" s="1" t="s">
        <v>8</v>
      </c>
      <c r="E192" s="1">
        <v>11221.12</v>
      </c>
      <c r="F192" s="1">
        <v>123584</v>
      </c>
      <c r="G192">
        <v>9.0797514241325747E-2</v>
      </c>
    </row>
    <row r="193" spans="1:7" x14ac:dyDescent="0.35">
      <c r="A193">
        <v>2009</v>
      </c>
      <c r="B193" s="1" t="s">
        <v>146</v>
      </c>
      <c r="C193" s="1" t="s">
        <v>147</v>
      </c>
      <c r="D193" s="1" t="s">
        <v>9</v>
      </c>
      <c r="E193" s="1">
        <v>14359.74</v>
      </c>
      <c r="F193" s="1">
        <v>123584</v>
      </c>
      <c r="G193">
        <v>0.11619416752977732</v>
      </c>
    </row>
    <row r="194" spans="1:7" x14ac:dyDescent="0.35">
      <c r="A194">
        <v>2009</v>
      </c>
      <c r="B194" s="1" t="s">
        <v>148</v>
      </c>
      <c r="C194" s="1" t="s">
        <v>149</v>
      </c>
      <c r="D194" s="1" t="s">
        <v>7</v>
      </c>
      <c r="E194" s="1">
        <v>117414.83</v>
      </c>
      <c r="F194" s="1">
        <v>412082</v>
      </c>
      <c r="G194">
        <v>0.28493074193971102</v>
      </c>
    </row>
    <row r="195" spans="1:7" x14ac:dyDescent="0.35">
      <c r="A195">
        <v>2009</v>
      </c>
      <c r="B195" s="1" t="s">
        <v>148</v>
      </c>
      <c r="C195" s="1" t="s">
        <v>149</v>
      </c>
      <c r="D195" s="1" t="s">
        <v>8</v>
      </c>
      <c r="E195" s="1">
        <v>34875.69</v>
      </c>
      <c r="F195" s="1">
        <v>412082</v>
      </c>
      <c r="G195">
        <v>8.4632888599841791E-2</v>
      </c>
    </row>
    <row r="196" spans="1:7" x14ac:dyDescent="0.35">
      <c r="A196">
        <v>2009</v>
      </c>
      <c r="B196" s="1" t="s">
        <v>148</v>
      </c>
      <c r="C196" s="1" t="s">
        <v>149</v>
      </c>
      <c r="D196" s="1" t="s">
        <v>9</v>
      </c>
      <c r="E196" s="1">
        <v>102321.97</v>
      </c>
      <c r="F196" s="1">
        <v>412082</v>
      </c>
      <c r="G196">
        <v>0.24830487621395742</v>
      </c>
    </row>
    <row r="197" spans="1:7" x14ac:dyDescent="0.35">
      <c r="A197">
        <v>2009</v>
      </c>
      <c r="B197" s="1" t="s">
        <v>150</v>
      </c>
      <c r="C197" s="1" t="s">
        <v>151</v>
      </c>
      <c r="D197" s="1" t="s">
        <v>7</v>
      </c>
      <c r="E197" s="1">
        <v>400971.77</v>
      </c>
      <c r="F197" s="1">
        <v>1434661</v>
      </c>
      <c r="G197">
        <v>0.27948886182868288</v>
      </c>
    </row>
    <row r="198" spans="1:7" x14ac:dyDescent="0.35">
      <c r="A198">
        <v>2009</v>
      </c>
      <c r="B198" s="1" t="s">
        <v>150</v>
      </c>
      <c r="C198" s="1" t="s">
        <v>151</v>
      </c>
      <c r="D198" s="1" t="s">
        <v>8</v>
      </c>
      <c r="E198" s="1">
        <v>135958.31</v>
      </c>
      <c r="F198" s="1">
        <v>1434661</v>
      </c>
      <c r="G198">
        <v>9.4766854330047307E-2</v>
      </c>
    </row>
    <row r="199" spans="1:7" x14ac:dyDescent="0.35">
      <c r="A199">
        <v>2009</v>
      </c>
      <c r="B199" s="1" t="s">
        <v>150</v>
      </c>
      <c r="C199" s="1" t="s">
        <v>151</v>
      </c>
      <c r="D199" s="1" t="s">
        <v>9</v>
      </c>
      <c r="E199" s="1">
        <v>260907.39</v>
      </c>
      <c r="F199" s="1">
        <v>1434661</v>
      </c>
      <c r="G199">
        <v>0.18185995855466902</v>
      </c>
    </row>
    <row r="200" spans="1:7" x14ac:dyDescent="0.35">
      <c r="A200">
        <v>2009</v>
      </c>
      <c r="B200" s="1" t="s">
        <v>152</v>
      </c>
      <c r="C200" s="1" t="s">
        <v>153</v>
      </c>
      <c r="D200" s="1" t="s">
        <v>7</v>
      </c>
      <c r="E200" s="1">
        <v>131554.13</v>
      </c>
      <c r="F200" s="1">
        <v>379341</v>
      </c>
      <c r="G200">
        <v>0.3467964970830994</v>
      </c>
    </row>
    <row r="201" spans="1:7" x14ac:dyDescent="0.35">
      <c r="A201">
        <v>2009</v>
      </c>
      <c r="B201" s="1" t="s">
        <v>152</v>
      </c>
      <c r="C201" s="1" t="s">
        <v>153</v>
      </c>
      <c r="D201" s="1" t="s">
        <v>8</v>
      </c>
      <c r="E201" s="1">
        <v>29267.29</v>
      </c>
      <c r="F201" s="1">
        <v>379341</v>
      </c>
      <c r="G201">
        <v>7.7152983727042421E-2</v>
      </c>
    </row>
    <row r="202" spans="1:7" x14ac:dyDescent="0.35">
      <c r="A202">
        <v>2009</v>
      </c>
      <c r="B202" s="1" t="s">
        <v>152</v>
      </c>
      <c r="C202" s="1" t="s">
        <v>153</v>
      </c>
      <c r="D202" s="1" t="s">
        <v>9</v>
      </c>
      <c r="E202" s="1">
        <v>149470.62</v>
      </c>
      <c r="F202" s="1">
        <v>379341</v>
      </c>
      <c r="G202">
        <v>0.39402706272193094</v>
      </c>
    </row>
    <row r="203" spans="1:7" x14ac:dyDescent="0.35">
      <c r="A203">
        <v>2009</v>
      </c>
      <c r="B203" s="1" t="s">
        <v>154</v>
      </c>
      <c r="C203" s="1" t="s">
        <v>155</v>
      </c>
      <c r="D203" s="1" t="s">
        <v>7</v>
      </c>
      <c r="E203" s="1">
        <v>95185.44</v>
      </c>
      <c r="F203" s="1">
        <v>329697</v>
      </c>
      <c r="G203">
        <v>0.2887058116998335</v>
      </c>
    </row>
    <row r="204" spans="1:7" x14ac:dyDescent="0.35">
      <c r="A204">
        <v>2009</v>
      </c>
      <c r="B204" s="1" t="s">
        <v>154</v>
      </c>
      <c r="C204" s="1" t="s">
        <v>155</v>
      </c>
      <c r="D204" s="1" t="s">
        <v>8</v>
      </c>
      <c r="E204" s="1">
        <v>33354.730000000003</v>
      </c>
      <c r="F204" s="1">
        <v>329697</v>
      </c>
      <c r="G204">
        <v>0.10116782985589801</v>
      </c>
    </row>
    <row r="205" spans="1:7" x14ac:dyDescent="0.35">
      <c r="A205">
        <v>2009</v>
      </c>
      <c r="B205" s="1" t="s">
        <v>154</v>
      </c>
      <c r="C205" s="1" t="s">
        <v>155</v>
      </c>
      <c r="D205" s="1" t="s">
        <v>9</v>
      </c>
      <c r="E205" s="1">
        <v>46446.07</v>
      </c>
      <c r="F205" s="1">
        <v>329697</v>
      </c>
      <c r="G205">
        <v>0.14087501554457577</v>
      </c>
    </row>
    <row r="206" spans="1:7" x14ac:dyDescent="0.35">
      <c r="A206">
        <v>2009</v>
      </c>
      <c r="B206" s="1" t="s">
        <v>156</v>
      </c>
      <c r="C206" s="1" t="s">
        <v>157</v>
      </c>
      <c r="D206" s="1" t="s">
        <v>7</v>
      </c>
      <c r="E206" s="1">
        <v>187179.87</v>
      </c>
      <c r="F206" s="1">
        <v>650356</v>
      </c>
      <c r="G206">
        <v>0.28781139868010752</v>
      </c>
    </row>
    <row r="207" spans="1:7" x14ac:dyDescent="0.35">
      <c r="A207">
        <v>2009</v>
      </c>
      <c r="B207" s="1" t="s">
        <v>156</v>
      </c>
      <c r="C207" s="1" t="s">
        <v>157</v>
      </c>
      <c r="D207" s="1" t="s">
        <v>8</v>
      </c>
      <c r="E207" s="1">
        <v>64965.82</v>
      </c>
      <c r="F207" s="1">
        <v>650356</v>
      </c>
      <c r="G207">
        <v>9.9892704918536926E-2</v>
      </c>
    </row>
    <row r="208" spans="1:7" x14ac:dyDescent="0.35">
      <c r="A208">
        <v>2009</v>
      </c>
      <c r="B208" s="1" t="s">
        <v>156</v>
      </c>
      <c r="C208" s="1" t="s">
        <v>157</v>
      </c>
      <c r="D208" s="1" t="s">
        <v>9</v>
      </c>
      <c r="E208" s="1">
        <v>101665.53</v>
      </c>
      <c r="F208" s="1">
        <v>650356</v>
      </c>
      <c r="G208">
        <v>0.15632289084747431</v>
      </c>
    </row>
    <row r="209" spans="1:7" x14ac:dyDescent="0.35">
      <c r="A209">
        <v>2009</v>
      </c>
      <c r="B209" s="1" t="s">
        <v>158</v>
      </c>
      <c r="C209" s="1" t="s">
        <v>159</v>
      </c>
      <c r="D209" s="1" t="s">
        <v>7</v>
      </c>
      <c r="E209" s="1">
        <v>77704.42</v>
      </c>
      <c r="F209" s="1">
        <v>366339</v>
      </c>
      <c r="G209">
        <v>0.21211069528496829</v>
      </c>
    </row>
    <row r="210" spans="1:7" x14ac:dyDescent="0.35">
      <c r="A210">
        <v>2009</v>
      </c>
      <c r="B210" s="1" t="s">
        <v>158</v>
      </c>
      <c r="C210" s="1" t="s">
        <v>159</v>
      </c>
      <c r="D210" s="1" t="s">
        <v>8</v>
      </c>
      <c r="E210" s="1">
        <v>38139.29</v>
      </c>
      <c r="F210" s="1">
        <v>366339</v>
      </c>
      <c r="G210">
        <v>0.10410928129410191</v>
      </c>
    </row>
    <row r="211" spans="1:7" x14ac:dyDescent="0.35">
      <c r="A211">
        <v>2009</v>
      </c>
      <c r="B211" s="1" t="s">
        <v>158</v>
      </c>
      <c r="C211" s="1" t="s">
        <v>159</v>
      </c>
      <c r="D211" s="1" t="s">
        <v>9</v>
      </c>
      <c r="E211" s="1">
        <v>72181.119999999995</v>
      </c>
      <c r="F211" s="1">
        <v>366339</v>
      </c>
      <c r="G211">
        <v>0.19703367645814396</v>
      </c>
    </row>
    <row r="212" spans="1:7" x14ac:dyDescent="0.35">
      <c r="A212">
        <v>2009</v>
      </c>
      <c r="B212" s="1" t="s">
        <v>160</v>
      </c>
      <c r="C212" s="1" t="s">
        <v>161</v>
      </c>
      <c r="D212" s="1" t="s">
        <v>7</v>
      </c>
      <c r="E212" s="1">
        <v>99488.28</v>
      </c>
      <c r="F212" s="1">
        <v>426066</v>
      </c>
      <c r="G212">
        <v>0.23350438664432271</v>
      </c>
    </row>
    <row r="213" spans="1:7" x14ac:dyDescent="0.35">
      <c r="A213">
        <v>2009</v>
      </c>
      <c r="B213" s="1" t="s">
        <v>160</v>
      </c>
      <c r="C213" s="1" t="s">
        <v>161</v>
      </c>
      <c r="D213" s="1" t="s">
        <v>8</v>
      </c>
      <c r="E213" s="1">
        <v>38646.050000000003</v>
      </c>
      <c r="F213" s="1">
        <v>426066</v>
      </c>
      <c r="G213">
        <v>9.0704374439640814E-2</v>
      </c>
    </row>
    <row r="214" spans="1:7" x14ac:dyDescent="0.35">
      <c r="A214">
        <v>2009</v>
      </c>
      <c r="B214" s="1" t="s">
        <v>160</v>
      </c>
      <c r="C214" s="1" t="s">
        <v>161</v>
      </c>
      <c r="D214" s="1" t="s">
        <v>9</v>
      </c>
      <c r="E214" s="1">
        <v>79150.11</v>
      </c>
      <c r="F214" s="1">
        <v>426066</v>
      </c>
      <c r="G214">
        <v>0.18576959907619947</v>
      </c>
    </row>
    <row r="215" spans="1:7" x14ac:dyDescent="0.35">
      <c r="A215">
        <v>2009</v>
      </c>
      <c r="B215" s="1" t="s">
        <v>162</v>
      </c>
      <c r="C215" s="1" t="s">
        <v>163</v>
      </c>
      <c r="D215" s="1" t="s">
        <v>7</v>
      </c>
      <c r="E215" s="1">
        <v>93524.67</v>
      </c>
      <c r="F215" s="1">
        <v>374849</v>
      </c>
      <c r="G215">
        <v>0.24949958516629361</v>
      </c>
    </row>
    <row r="216" spans="1:7" x14ac:dyDescent="0.35">
      <c r="A216">
        <v>2009</v>
      </c>
      <c r="B216" s="1" t="s">
        <v>162</v>
      </c>
      <c r="C216" s="1" t="s">
        <v>163</v>
      </c>
      <c r="D216" s="1" t="s">
        <v>8</v>
      </c>
      <c r="E216" s="1">
        <v>33146.68</v>
      </c>
      <c r="F216" s="1">
        <v>374849</v>
      </c>
      <c r="G216">
        <v>8.8426753172610839E-2</v>
      </c>
    </row>
    <row r="217" spans="1:7" x14ac:dyDescent="0.35">
      <c r="A217">
        <v>2009</v>
      </c>
      <c r="B217" s="1" t="s">
        <v>162</v>
      </c>
      <c r="C217" s="1" t="s">
        <v>163</v>
      </c>
      <c r="D217" s="1" t="s">
        <v>9</v>
      </c>
      <c r="E217" s="1">
        <v>53496.639999999999</v>
      </c>
      <c r="F217" s="1">
        <v>374849</v>
      </c>
      <c r="G217">
        <v>0.14271517330978606</v>
      </c>
    </row>
    <row r="218" spans="1:7" x14ac:dyDescent="0.35">
      <c r="A218">
        <v>2009</v>
      </c>
      <c r="B218" s="1" t="s">
        <v>164</v>
      </c>
      <c r="C218" s="1" t="s">
        <v>165</v>
      </c>
      <c r="D218" s="1" t="s">
        <v>7</v>
      </c>
      <c r="E218" s="1">
        <v>48291.87</v>
      </c>
      <c r="F218" s="1">
        <v>151117</v>
      </c>
      <c r="G218">
        <v>0.31956609779177725</v>
      </c>
    </row>
    <row r="219" spans="1:7" x14ac:dyDescent="0.35">
      <c r="A219">
        <v>2009</v>
      </c>
      <c r="B219" s="1" t="s">
        <v>164</v>
      </c>
      <c r="C219" s="1" t="s">
        <v>165</v>
      </c>
      <c r="D219" s="1" t="s">
        <v>8</v>
      </c>
      <c r="E219" s="1">
        <v>26100.85</v>
      </c>
      <c r="F219" s="1">
        <v>151117</v>
      </c>
      <c r="G219">
        <v>0.17271948225547093</v>
      </c>
    </row>
    <row r="220" spans="1:7" x14ac:dyDescent="0.35">
      <c r="A220">
        <v>2009</v>
      </c>
      <c r="B220" s="1" t="s">
        <v>164</v>
      </c>
      <c r="C220" s="1" t="s">
        <v>165</v>
      </c>
      <c r="D220" s="1" t="s">
        <v>9</v>
      </c>
      <c r="E220" s="1">
        <v>24781.040000000001</v>
      </c>
      <c r="F220" s="1">
        <v>151117</v>
      </c>
      <c r="G220">
        <v>0.16398578584805151</v>
      </c>
    </row>
    <row r="221" spans="1:7" x14ac:dyDescent="0.35">
      <c r="A221">
        <v>2009</v>
      </c>
      <c r="B221" s="1" t="s">
        <v>166</v>
      </c>
      <c r="C221" s="1" t="s">
        <v>167</v>
      </c>
      <c r="D221" s="1" t="s">
        <v>7</v>
      </c>
      <c r="E221" s="1">
        <v>128282.99</v>
      </c>
      <c r="F221" s="1">
        <v>353980</v>
      </c>
      <c r="G221">
        <v>0.36240180236171537</v>
      </c>
    </row>
    <row r="222" spans="1:7" x14ac:dyDescent="0.35">
      <c r="A222">
        <v>2009</v>
      </c>
      <c r="B222" s="1" t="s">
        <v>166</v>
      </c>
      <c r="C222" s="1" t="s">
        <v>167</v>
      </c>
      <c r="D222" s="1" t="s">
        <v>8</v>
      </c>
      <c r="E222" s="1">
        <v>25245.94</v>
      </c>
      <c r="F222" s="1">
        <v>353980</v>
      </c>
      <c r="G222">
        <v>7.132024408158652E-2</v>
      </c>
    </row>
    <row r="223" spans="1:7" x14ac:dyDescent="0.35">
      <c r="A223">
        <v>2009</v>
      </c>
      <c r="B223" s="1" t="s">
        <v>166</v>
      </c>
      <c r="C223" s="1" t="s">
        <v>167</v>
      </c>
      <c r="D223" s="1" t="s">
        <v>9</v>
      </c>
      <c r="E223" s="1">
        <v>64955.55</v>
      </c>
      <c r="F223" s="1">
        <v>353980</v>
      </c>
      <c r="G223">
        <v>0.18350062150403978</v>
      </c>
    </row>
    <row r="224" spans="1:7" x14ac:dyDescent="0.35">
      <c r="A224">
        <v>2009</v>
      </c>
      <c r="B224" s="1" t="s">
        <v>168</v>
      </c>
      <c r="C224" s="1" t="s">
        <v>169</v>
      </c>
      <c r="D224" s="1" t="s">
        <v>7</v>
      </c>
      <c r="E224" s="1">
        <v>67132.45</v>
      </c>
      <c r="F224" s="1">
        <v>277048</v>
      </c>
      <c r="G224">
        <v>0.24231342583234672</v>
      </c>
    </row>
    <row r="225" spans="1:7" x14ac:dyDescent="0.35">
      <c r="A225">
        <v>2009</v>
      </c>
      <c r="B225" s="1" t="s">
        <v>168</v>
      </c>
      <c r="C225" s="1" t="s">
        <v>169</v>
      </c>
      <c r="D225" s="1" t="s">
        <v>8</v>
      </c>
      <c r="E225" s="1">
        <v>29319.13</v>
      </c>
      <c r="F225" s="1">
        <v>277048</v>
      </c>
      <c r="G225">
        <v>0.10582689642228062</v>
      </c>
    </row>
    <row r="226" spans="1:7" x14ac:dyDescent="0.35">
      <c r="A226">
        <v>2009</v>
      </c>
      <c r="B226" s="1" t="s">
        <v>168</v>
      </c>
      <c r="C226" s="1" t="s">
        <v>169</v>
      </c>
      <c r="D226" s="1" t="s">
        <v>9</v>
      </c>
      <c r="E226" s="1">
        <v>36075.339999999997</v>
      </c>
      <c r="F226" s="1">
        <v>277048</v>
      </c>
      <c r="G226">
        <v>0.130213320435448</v>
      </c>
    </row>
    <row r="227" spans="1:7" x14ac:dyDescent="0.35">
      <c r="A227">
        <v>2009</v>
      </c>
      <c r="B227" s="1" t="s">
        <v>170</v>
      </c>
      <c r="C227" s="1" t="s">
        <v>171</v>
      </c>
      <c r="D227" s="1" t="s">
        <v>7</v>
      </c>
      <c r="E227" s="1">
        <v>213229.21</v>
      </c>
      <c r="F227" s="1">
        <v>701883</v>
      </c>
      <c r="G227">
        <v>0.30379594604798804</v>
      </c>
    </row>
    <row r="228" spans="1:7" x14ac:dyDescent="0.35">
      <c r="A228">
        <v>2009</v>
      </c>
      <c r="B228" s="1" t="s">
        <v>170</v>
      </c>
      <c r="C228" s="1" t="s">
        <v>171</v>
      </c>
      <c r="D228" s="1" t="s">
        <v>8</v>
      </c>
      <c r="E228" s="1">
        <v>58326.46</v>
      </c>
      <c r="F228" s="1">
        <v>701883</v>
      </c>
      <c r="G228">
        <v>8.3099975352017352E-2</v>
      </c>
    </row>
    <row r="229" spans="1:7" x14ac:dyDescent="0.35">
      <c r="A229">
        <v>2009</v>
      </c>
      <c r="B229" s="1" t="s">
        <v>170</v>
      </c>
      <c r="C229" s="1" t="s">
        <v>171</v>
      </c>
      <c r="D229" s="1" t="s">
        <v>9</v>
      </c>
      <c r="E229" s="1">
        <v>126546.71</v>
      </c>
      <c r="F229" s="1">
        <v>701883</v>
      </c>
      <c r="G229">
        <v>0.18029601799730155</v>
      </c>
    </row>
    <row r="230" spans="1:7" x14ac:dyDescent="0.35">
      <c r="A230">
        <v>2009</v>
      </c>
      <c r="B230" s="1" t="s">
        <v>172</v>
      </c>
      <c r="C230" s="1" t="s">
        <v>173</v>
      </c>
      <c r="D230" s="1" t="s">
        <v>7</v>
      </c>
      <c r="E230" s="1">
        <v>351304.41</v>
      </c>
      <c r="F230" s="1">
        <v>1230820</v>
      </c>
      <c r="G230">
        <v>0.28542305942379875</v>
      </c>
    </row>
    <row r="231" spans="1:7" x14ac:dyDescent="0.35">
      <c r="A231">
        <v>2009</v>
      </c>
      <c r="B231" s="1" t="s">
        <v>172</v>
      </c>
      <c r="C231" s="1" t="s">
        <v>173</v>
      </c>
      <c r="D231" s="1" t="s">
        <v>8</v>
      </c>
      <c r="E231" s="1">
        <v>139775.42000000001</v>
      </c>
      <c r="F231" s="1">
        <v>1230820</v>
      </c>
      <c r="G231">
        <v>0.11356284428267335</v>
      </c>
    </row>
    <row r="232" spans="1:7" x14ac:dyDescent="0.35">
      <c r="A232">
        <v>2009</v>
      </c>
      <c r="B232" s="1" t="s">
        <v>172</v>
      </c>
      <c r="C232" s="1" t="s">
        <v>173</v>
      </c>
      <c r="D232" s="1" t="s">
        <v>9</v>
      </c>
      <c r="E232" s="1">
        <v>108567.42</v>
      </c>
      <c r="F232" s="1">
        <v>1230820</v>
      </c>
      <c r="G232">
        <v>8.8207390195154445E-2</v>
      </c>
    </row>
    <row r="233" spans="1:7" x14ac:dyDescent="0.35">
      <c r="A233">
        <v>2009</v>
      </c>
      <c r="B233" s="1" t="s">
        <v>174</v>
      </c>
      <c r="C233" s="1" t="s">
        <v>175</v>
      </c>
      <c r="D233" s="1" t="s">
        <v>7</v>
      </c>
      <c r="E233" s="1">
        <v>48686.720000000001</v>
      </c>
      <c r="F233" s="1">
        <v>187181</v>
      </c>
      <c r="G233">
        <v>0.26010503202782337</v>
      </c>
    </row>
    <row r="234" spans="1:7" x14ac:dyDescent="0.35">
      <c r="A234">
        <v>2009</v>
      </c>
      <c r="B234" s="1" t="s">
        <v>174</v>
      </c>
      <c r="C234" s="1" t="s">
        <v>175</v>
      </c>
      <c r="D234" s="1" t="s">
        <v>8</v>
      </c>
      <c r="E234" s="1">
        <v>15833.88</v>
      </c>
      <c r="F234" s="1">
        <v>187181</v>
      </c>
      <c r="G234">
        <v>8.459127796090414E-2</v>
      </c>
    </row>
    <row r="235" spans="1:7" x14ac:dyDescent="0.35">
      <c r="A235">
        <v>2009</v>
      </c>
      <c r="B235" s="1" t="s">
        <v>174</v>
      </c>
      <c r="C235" s="1" t="s">
        <v>175</v>
      </c>
      <c r="D235" s="1" t="s">
        <v>9</v>
      </c>
      <c r="E235" s="1">
        <v>25027.06</v>
      </c>
      <c r="F235" s="1">
        <v>187181</v>
      </c>
      <c r="G235">
        <v>0.13370513032839873</v>
      </c>
    </row>
    <row r="236" spans="1:7" x14ac:dyDescent="0.35">
      <c r="A236">
        <v>2009</v>
      </c>
      <c r="B236" s="1" t="s">
        <v>176</v>
      </c>
      <c r="C236" s="1" t="s">
        <v>177</v>
      </c>
      <c r="D236" s="1" t="s">
        <v>7</v>
      </c>
      <c r="E236" s="1">
        <v>356205.55</v>
      </c>
      <c r="F236" s="1">
        <v>1031974</v>
      </c>
      <c r="G236">
        <v>0.34516911278772527</v>
      </c>
    </row>
    <row r="237" spans="1:7" x14ac:dyDescent="0.35">
      <c r="A237">
        <v>2009</v>
      </c>
      <c r="B237" s="1" t="s">
        <v>176</v>
      </c>
      <c r="C237" s="1" t="s">
        <v>177</v>
      </c>
      <c r="D237" s="1" t="s">
        <v>8</v>
      </c>
      <c r="E237" s="1">
        <v>99651.35</v>
      </c>
      <c r="F237" s="1">
        <v>1031974</v>
      </c>
      <c r="G237">
        <v>9.6563818468294746E-2</v>
      </c>
    </row>
    <row r="238" spans="1:7" x14ac:dyDescent="0.35">
      <c r="A238">
        <v>2009</v>
      </c>
      <c r="B238" s="1" t="s">
        <v>176</v>
      </c>
      <c r="C238" s="1" t="s">
        <v>177</v>
      </c>
      <c r="D238" s="1" t="s">
        <v>9</v>
      </c>
      <c r="E238" s="1">
        <v>202665.61</v>
      </c>
      <c r="F238" s="1">
        <v>1031974</v>
      </c>
      <c r="G238">
        <v>0.1963863527569493</v>
      </c>
    </row>
    <row r="239" spans="1:7" x14ac:dyDescent="0.35">
      <c r="A239">
        <v>2009</v>
      </c>
      <c r="B239" s="1" t="s">
        <v>178</v>
      </c>
      <c r="C239" s="1" t="s">
        <v>179</v>
      </c>
      <c r="D239" s="1" t="s">
        <v>7</v>
      </c>
      <c r="E239" s="1">
        <v>43547.199999999997</v>
      </c>
      <c r="F239" s="1">
        <v>173562</v>
      </c>
      <c r="G239">
        <v>0.25090284739747176</v>
      </c>
    </row>
    <row r="240" spans="1:7" x14ac:dyDescent="0.35">
      <c r="A240">
        <v>2009</v>
      </c>
      <c r="B240" s="1" t="s">
        <v>178</v>
      </c>
      <c r="C240" s="1" t="s">
        <v>179</v>
      </c>
      <c r="D240" s="1" t="s">
        <v>8</v>
      </c>
      <c r="E240" s="1">
        <v>21321.05</v>
      </c>
      <c r="F240" s="1">
        <v>173562</v>
      </c>
      <c r="G240">
        <v>0.1228439981101854</v>
      </c>
    </row>
    <row r="241" spans="1:7" x14ac:dyDescent="0.35">
      <c r="A241">
        <v>2009</v>
      </c>
      <c r="B241" s="1" t="s">
        <v>178</v>
      </c>
      <c r="C241" s="1" t="s">
        <v>179</v>
      </c>
      <c r="D241" s="1" t="s">
        <v>9</v>
      </c>
      <c r="E241" s="1">
        <v>26897</v>
      </c>
      <c r="F241" s="1">
        <v>173562</v>
      </c>
      <c r="G241">
        <v>0.15497055807146726</v>
      </c>
    </row>
    <row r="242" spans="1:7" x14ac:dyDescent="0.35">
      <c r="A242">
        <v>2009</v>
      </c>
      <c r="B242" s="1" t="s">
        <v>180</v>
      </c>
      <c r="C242" s="1" t="s">
        <v>181</v>
      </c>
      <c r="D242" s="1" t="s">
        <v>7</v>
      </c>
      <c r="E242" s="1">
        <v>22393.06</v>
      </c>
      <c r="F242" s="1">
        <v>77163</v>
      </c>
      <c r="G242">
        <v>0.29020463175356065</v>
      </c>
    </row>
    <row r="243" spans="1:7" x14ac:dyDescent="0.35">
      <c r="A243">
        <v>2009</v>
      </c>
      <c r="B243" s="1" t="s">
        <v>180</v>
      </c>
      <c r="C243" s="1" t="s">
        <v>181</v>
      </c>
      <c r="D243" s="1" t="s">
        <v>8</v>
      </c>
      <c r="E243" s="1">
        <v>5857.55</v>
      </c>
      <c r="F243" s="1">
        <v>77163</v>
      </c>
      <c r="G243">
        <v>7.5911382398299712E-2</v>
      </c>
    </row>
    <row r="244" spans="1:7" x14ac:dyDescent="0.35">
      <c r="A244">
        <v>2009</v>
      </c>
      <c r="B244" s="1" t="s">
        <v>180</v>
      </c>
      <c r="C244" s="1" t="s">
        <v>181</v>
      </c>
      <c r="D244" s="1" t="s">
        <v>9</v>
      </c>
      <c r="E244" s="1">
        <v>11576</v>
      </c>
      <c r="F244" s="1">
        <v>77163</v>
      </c>
      <c r="G244">
        <v>0.15002008734756295</v>
      </c>
    </row>
    <row r="245" spans="1:7" x14ac:dyDescent="0.35">
      <c r="A245">
        <v>2009</v>
      </c>
      <c r="B245" s="1" t="s">
        <v>182</v>
      </c>
      <c r="C245" s="1" t="s">
        <v>183</v>
      </c>
      <c r="D245" s="1" t="s">
        <v>7</v>
      </c>
      <c r="E245" s="1">
        <v>74224.490000000005</v>
      </c>
      <c r="F245" s="1">
        <v>229670</v>
      </c>
      <c r="G245">
        <v>0.32317886532851486</v>
      </c>
    </row>
    <row r="246" spans="1:7" x14ac:dyDescent="0.35">
      <c r="A246">
        <v>2009</v>
      </c>
      <c r="B246" s="1" t="s">
        <v>182</v>
      </c>
      <c r="C246" s="1" t="s">
        <v>183</v>
      </c>
      <c r="D246" s="1" t="s">
        <v>8</v>
      </c>
      <c r="E246" s="1">
        <v>22653.43</v>
      </c>
      <c r="F246" s="1">
        <v>229670</v>
      </c>
      <c r="G246">
        <v>9.8634693255540556E-2</v>
      </c>
    </row>
    <row r="247" spans="1:7" x14ac:dyDescent="0.35">
      <c r="A247">
        <v>2009</v>
      </c>
      <c r="B247" s="1" t="s">
        <v>182</v>
      </c>
      <c r="C247" s="1" t="s">
        <v>183</v>
      </c>
      <c r="D247" s="1" t="s">
        <v>9</v>
      </c>
      <c r="E247" s="1">
        <v>42518.400000000001</v>
      </c>
      <c r="F247" s="1">
        <v>229670</v>
      </c>
      <c r="G247">
        <v>0.18512822745678584</v>
      </c>
    </row>
    <row r="248" spans="1:7" x14ac:dyDescent="0.35">
      <c r="A248">
        <v>2009</v>
      </c>
      <c r="B248" s="1" t="s">
        <v>184</v>
      </c>
      <c r="C248" s="1" t="s">
        <v>185</v>
      </c>
      <c r="D248" s="1" t="s">
        <v>7</v>
      </c>
      <c r="E248" s="1">
        <v>171142.63</v>
      </c>
      <c r="F248" s="1">
        <v>445890</v>
      </c>
      <c r="G248">
        <v>0.38382253470586919</v>
      </c>
    </row>
    <row r="249" spans="1:7" x14ac:dyDescent="0.35">
      <c r="A249">
        <v>2009</v>
      </c>
      <c r="B249" s="1" t="s">
        <v>184</v>
      </c>
      <c r="C249" s="1" t="s">
        <v>185</v>
      </c>
      <c r="D249" s="1" t="s">
        <v>8</v>
      </c>
      <c r="E249" s="1">
        <v>42805.22</v>
      </c>
      <c r="F249" s="1">
        <v>445890</v>
      </c>
      <c r="G249">
        <v>9.5999506604767998E-2</v>
      </c>
    </row>
    <row r="250" spans="1:7" x14ac:dyDescent="0.35">
      <c r="A250">
        <v>2009</v>
      </c>
      <c r="B250" s="1" t="s">
        <v>184</v>
      </c>
      <c r="C250" s="1" t="s">
        <v>185</v>
      </c>
      <c r="D250" s="1" t="s">
        <v>9</v>
      </c>
      <c r="E250" s="1">
        <v>61538.25</v>
      </c>
      <c r="F250" s="1">
        <v>445890</v>
      </c>
      <c r="G250">
        <v>0.13801217789140818</v>
      </c>
    </row>
    <row r="251" spans="1:7" x14ac:dyDescent="0.35">
      <c r="A251">
        <v>2009</v>
      </c>
      <c r="B251" s="1" t="s">
        <v>186</v>
      </c>
      <c r="C251" s="1" t="s">
        <v>187</v>
      </c>
      <c r="D251" s="1" t="s">
        <v>7</v>
      </c>
      <c r="E251" s="1">
        <v>99683.91</v>
      </c>
      <c r="F251" s="1">
        <v>374018</v>
      </c>
      <c r="G251">
        <v>0.26652169146939453</v>
      </c>
    </row>
    <row r="252" spans="1:7" x14ac:dyDescent="0.35">
      <c r="A252">
        <v>2009</v>
      </c>
      <c r="B252" s="1" t="s">
        <v>186</v>
      </c>
      <c r="C252" s="1" t="s">
        <v>187</v>
      </c>
      <c r="D252" s="1" t="s">
        <v>8</v>
      </c>
      <c r="E252" s="1">
        <v>31987.52</v>
      </c>
      <c r="F252" s="1">
        <v>374018</v>
      </c>
      <c r="G252">
        <v>8.5524012213315945E-2</v>
      </c>
    </row>
    <row r="253" spans="1:7" x14ac:dyDescent="0.35">
      <c r="A253">
        <v>2009</v>
      </c>
      <c r="B253" s="1" t="s">
        <v>186</v>
      </c>
      <c r="C253" s="1" t="s">
        <v>187</v>
      </c>
      <c r="D253" s="1" t="s">
        <v>9</v>
      </c>
      <c r="E253" s="1">
        <v>48489.65</v>
      </c>
      <c r="F253" s="1">
        <v>374018</v>
      </c>
      <c r="G253">
        <v>0.12964523097818823</v>
      </c>
    </row>
    <row r="254" spans="1:7" x14ac:dyDescent="0.35">
      <c r="A254">
        <v>2009</v>
      </c>
      <c r="B254" s="1" t="s">
        <v>188</v>
      </c>
      <c r="C254" s="1" t="s">
        <v>189</v>
      </c>
      <c r="D254" s="1" t="s">
        <v>7</v>
      </c>
      <c r="E254" s="1">
        <v>66988.41</v>
      </c>
      <c r="F254" s="1">
        <v>239291</v>
      </c>
      <c r="G254">
        <v>0.27994538031100208</v>
      </c>
    </row>
    <row r="255" spans="1:7" x14ac:dyDescent="0.35">
      <c r="A255">
        <v>2009</v>
      </c>
      <c r="B255" s="1" t="s">
        <v>188</v>
      </c>
      <c r="C255" s="1" t="s">
        <v>189</v>
      </c>
      <c r="D255" s="1" t="s">
        <v>8</v>
      </c>
      <c r="E255" s="1">
        <v>23160.69</v>
      </c>
      <c r="F255" s="1">
        <v>239291</v>
      </c>
      <c r="G255">
        <v>9.6788805262212119E-2</v>
      </c>
    </row>
    <row r="256" spans="1:7" x14ac:dyDescent="0.35">
      <c r="A256">
        <v>2009</v>
      </c>
      <c r="B256" s="1" t="s">
        <v>188</v>
      </c>
      <c r="C256" s="1" t="s">
        <v>189</v>
      </c>
      <c r="D256" s="1" t="s">
        <v>9</v>
      </c>
      <c r="E256" s="1">
        <v>24737.49</v>
      </c>
      <c r="F256" s="1">
        <v>239291</v>
      </c>
      <c r="G256">
        <v>0.10337827164414876</v>
      </c>
    </row>
    <row r="257" spans="1:7" x14ac:dyDescent="0.35">
      <c r="A257">
        <v>2009</v>
      </c>
      <c r="B257" s="1" t="s">
        <v>190</v>
      </c>
      <c r="C257" s="1" t="s">
        <v>191</v>
      </c>
      <c r="D257" s="1" t="s">
        <v>7</v>
      </c>
      <c r="E257" s="1">
        <v>313925.5</v>
      </c>
      <c r="F257" s="1">
        <v>1266358</v>
      </c>
      <c r="G257">
        <v>0.2478963294739718</v>
      </c>
    </row>
    <row r="258" spans="1:7" x14ac:dyDescent="0.35">
      <c r="A258">
        <v>2009</v>
      </c>
      <c r="B258" s="1" t="s">
        <v>190</v>
      </c>
      <c r="C258" s="1" t="s">
        <v>191</v>
      </c>
      <c r="D258" s="1" t="s">
        <v>8</v>
      </c>
      <c r="E258" s="1">
        <v>118739.67</v>
      </c>
      <c r="F258" s="1">
        <v>1266358</v>
      </c>
      <c r="G258">
        <v>9.3764693712204611E-2</v>
      </c>
    </row>
    <row r="259" spans="1:7" x14ac:dyDescent="0.35">
      <c r="A259">
        <v>2009</v>
      </c>
      <c r="B259" s="1" t="s">
        <v>190</v>
      </c>
      <c r="C259" s="1" t="s">
        <v>191</v>
      </c>
      <c r="D259" s="1" t="s">
        <v>9</v>
      </c>
      <c r="E259" s="1">
        <v>233458.46</v>
      </c>
      <c r="F259" s="1">
        <v>1266358</v>
      </c>
      <c r="G259">
        <v>0.18435423474246618</v>
      </c>
    </row>
    <row r="260" spans="1:7" x14ac:dyDescent="0.35">
      <c r="A260">
        <v>2009</v>
      </c>
      <c r="B260" s="1" t="s">
        <v>192</v>
      </c>
      <c r="C260" s="1" t="s">
        <v>193</v>
      </c>
      <c r="D260" s="1" t="s">
        <v>7</v>
      </c>
      <c r="E260" s="1">
        <v>155963.97</v>
      </c>
      <c r="F260" s="1">
        <v>780082</v>
      </c>
      <c r="G260">
        <v>0.19993278911704154</v>
      </c>
    </row>
    <row r="261" spans="1:7" x14ac:dyDescent="0.35">
      <c r="A261">
        <v>2009</v>
      </c>
      <c r="B261" s="1" t="s">
        <v>192</v>
      </c>
      <c r="C261" s="1" t="s">
        <v>193</v>
      </c>
      <c r="D261" s="1" t="s">
        <v>8</v>
      </c>
      <c r="E261" s="1">
        <v>76899.94</v>
      </c>
      <c r="F261" s="1">
        <v>780082</v>
      </c>
      <c r="G261">
        <v>9.8579303201458315E-2</v>
      </c>
    </row>
    <row r="262" spans="1:7" x14ac:dyDescent="0.35">
      <c r="A262">
        <v>2009</v>
      </c>
      <c r="B262" s="1" t="s">
        <v>192</v>
      </c>
      <c r="C262" s="1" t="s">
        <v>193</v>
      </c>
      <c r="D262" s="1" t="s">
        <v>9</v>
      </c>
      <c r="E262" s="1">
        <v>125924.72</v>
      </c>
      <c r="F262" s="1">
        <v>780082</v>
      </c>
      <c r="G262">
        <v>0.16142497839970671</v>
      </c>
    </row>
    <row r="263" spans="1:7" x14ac:dyDescent="0.35">
      <c r="A263">
        <v>2009</v>
      </c>
      <c r="B263" s="1" t="s">
        <v>194</v>
      </c>
      <c r="C263" s="1" t="s">
        <v>195</v>
      </c>
      <c r="D263" s="1" t="s">
        <v>7</v>
      </c>
      <c r="E263" s="1">
        <v>71384.66</v>
      </c>
      <c r="F263" s="1">
        <v>305147</v>
      </c>
      <c r="G263">
        <v>0.23393531642126583</v>
      </c>
    </row>
    <row r="264" spans="1:7" x14ac:dyDescent="0.35">
      <c r="A264">
        <v>2009</v>
      </c>
      <c r="B264" s="1" t="s">
        <v>194</v>
      </c>
      <c r="C264" s="1" t="s">
        <v>195</v>
      </c>
      <c r="D264" s="1" t="s">
        <v>8</v>
      </c>
      <c r="E264" s="1">
        <v>27597.91</v>
      </c>
      <c r="F264" s="1">
        <v>305147</v>
      </c>
      <c r="G264">
        <v>9.0441361048937075E-2</v>
      </c>
    </row>
    <row r="265" spans="1:7" x14ac:dyDescent="0.35">
      <c r="A265">
        <v>2009</v>
      </c>
      <c r="B265" s="1" t="s">
        <v>194</v>
      </c>
      <c r="C265" s="1" t="s">
        <v>195</v>
      </c>
      <c r="D265" s="1" t="s">
        <v>9</v>
      </c>
      <c r="E265" s="1">
        <v>53001.67</v>
      </c>
      <c r="F265" s="1">
        <v>305147</v>
      </c>
      <c r="G265">
        <v>0.17369225324188015</v>
      </c>
    </row>
    <row r="266" spans="1:7" x14ac:dyDescent="0.35">
      <c r="A266">
        <v>2009</v>
      </c>
      <c r="B266" s="1" t="s">
        <v>196</v>
      </c>
      <c r="C266" s="1" t="s">
        <v>197</v>
      </c>
      <c r="D266" s="1" t="s">
        <v>7</v>
      </c>
      <c r="E266" s="1">
        <v>133077.31</v>
      </c>
      <c r="F266" s="1">
        <v>561050</v>
      </c>
      <c r="G266">
        <v>0.23719331610373406</v>
      </c>
    </row>
    <row r="267" spans="1:7" x14ac:dyDescent="0.35">
      <c r="A267">
        <v>2009</v>
      </c>
      <c r="B267" s="1" t="s">
        <v>196</v>
      </c>
      <c r="C267" s="1" t="s">
        <v>197</v>
      </c>
      <c r="D267" s="1" t="s">
        <v>8</v>
      </c>
      <c r="E267" s="1">
        <v>58710.05</v>
      </c>
      <c r="F267" s="1">
        <v>561050</v>
      </c>
      <c r="G267">
        <v>0.10464316905801622</v>
      </c>
    </row>
    <row r="268" spans="1:7" x14ac:dyDescent="0.35">
      <c r="A268">
        <v>2009</v>
      </c>
      <c r="B268" s="1" t="s">
        <v>196</v>
      </c>
      <c r="C268" s="1" t="s">
        <v>197</v>
      </c>
      <c r="D268" s="1" t="s">
        <v>9</v>
      </c>
      <c r="E268" s="1">
        <v>77098.509999999995</v>
      </c>
      <c r="F268" s="1">
        <v>561050</v>
      </c>
      <c r="G268">
        <v>0.13741825149273681</v>
      </c>
    </row>
    <row r="269" spans="1:7" x14ac:dyDescent="0.35">
      <c r="A269">
        <v>2009</v>
      </c>
      <c r="B269" s="1" t="s">
        <v>198</v>
      </c>
      <c r="C269" s="1" t="s">
        <v>199</v>
      </c>
      <c r="D269" s="1" t="s">
        <v>7</v>
      </c>
      <c r="E269" s="1">
        <v>150046.42000000001</v>
      </c>
      <c r="F269" s="1">
        <v>626411</v>
      </c>
      <c r="G269">
        <v>0.23953350116776367</v>
      </c>
    </row>
    <row r="270" spans="1:7" x14ac:dyDescent="0.35">
      <c r="A270">
        <v>2009</v>
      </c>
      <c r="B270" s="1" t="s">
        <v>198</v>
      </c>
      <c r="C270" s="1" t="s">
        <v>199</v>
      </c>
      <c r="D270" s="1" t="s">
        <v>8</v>
      </c>
      <c r="E270" s="1">
        <v>71470.03</v>
      </c>
      <c r="F270" s="1">
        <v>626411</v>
      </c>
      <c r="G270">
        <v>0.11409446832830203</v>
      </c>
    </row>
    <row r="271" spans="1:7" x14ac:dyDescent="0.35">
      <c r="A271">
        <v>2009</v>
      </c>
      <c r="B271" s="1" t="s">
        <v>198</v>
      </c>
      <c r="C271" s="1" t="s">
        <v>199</v>
      </c>
      <c r="D271" s="1" t="s">
        <v>9</v>
      </c>
      <c r="E271" s="1">
        <v>151104.87</v>
      </c>
      <c r="F271" s="1">
        <v>626411</v>
      </c>
      <c r="G271">
        <v>0.24122320648903037</v>
      </c>
    </row>
    <row r="272" spans="1:7" x14ac:dyDescent="0.35">
      <c r="A272">
        <v>2009</v>
      </c>
      <c r="B272" s="1" t="s">
        <v>200</v>
      </c>
      <c r="C272" s="1" t="s">
        <v>201</v>
      </c>
      <c r="D272" s="1" t="s">
        <v>7</v>
      </c>
      <c r="E272" s="1">
        <v>61807.96</v>
      </c>
      <c r="F272" s="1">
        <v>159450</v>
      </c>
      <c r="G272">
        <v>0.38763223581059891</v>
      </c>
    </row>
    <row r="273" spans="1:7" x14ac:dyDescent="0.35">
      <c r="A273">
        <v>2009</v>
      </c>
      <c r="B273" s="1" t="s">
        <v>200</v>
      </c>
      <c r="C273" s="1" t="s">
        <v>201</v>
      </c>
      <c r="D273" s="1" t="s">
        <v>8</v>
      </c>
      <c r="E273" s="1">
        <v>11970.17</v>
      </c>
      <c r="F273" s="1">
        <v>159450</v>
      </c>
      <c r="G273">
        <v>7.5071621197867672E-2</v>
      </c>
    </row>
    <row r="274" spans="1:7" x14ac:dyDescent="0.35">
      <c r="A274">
        <v>2009</v>
      </c>
      <c r="B274" s="1" t="s">
        <v>200</v>
      </c>
      <c r="C274" s="1" t="s">
        <v>201</v>
      </c>
      <c r="D274" s="1" t="s">
        <v>9</v>
      </c>
      <c r="E274" s="1">
        <v>25414.95</v>
      </c>
      <c r="F274" s="1">
        <v>159450</v>
      </c>
      <c r="G274">
        <v>0.15939134524929446</v>
      </c>
    </row>
    <row r="275" spans="1:7" x14ac:dyDescent="0.35">
      <c r="A275">
        <v>2009</v>
      </c>
      <c r="B275" s="1" t="s">
        <v>202</v>
      </c>
      <c r="C275" s="1" t="s">
        <v>203</v>
      </c>
      <c r="D275" s="1" t="s">
        <v>7</v>
      </c>
      <c r="E275" s="1">
        <v>52641.09</v>
      </c>
      <c r="F275" s="1">
        <v>135836</v>
      </c>
      <c r="G275">
        <v>0.38753415883859949</v>
      </c>
    </row>
    <row r="276" spans="1:7" x14ac:dyDescent="0.35">
      <c r="A276">
        <v>2009</v>
      </c>
      <c r="B276" s="1" t="s">
        <v>202</v>
      </c>
      <c r="C276" s="1" t="s">
        <v>203</v>
      </c>
      <c r="D276" s="1" t="s">
        <v>8</v>
      </c>
      <c r="E276" s="1">
        <v>11947.99</v>
      </c>
      <c r="F276" s="1">
        <v>135836</v>
      </c>
      <c r="G276">
        <v>8.7958935775493977E-2</v>
      </c>
    </row>
    <row r="277" spans="1:7" x14ac:dyDescent="0.35">
      <c r="A277">
        <v>2009</v>
      </c>
      <c r="B277" s="1" t="s">
        <v>202</v>
      </c>
      <c r="C277" s="1" t="s">
        <v>203</v>
      </c>
      <c r="D277" s="1" t="s">
        <v>9</v>
      </c>
      <c r="E277" s="1">
        <v>25450.93</v>
      </c>
      <c r="F277" s="1">
        <v>135836</v>
      </c>
      <c r="G277">
        <v>0.18736513148208134</v>
      </c>
    </row>
    <row r="278" spans="1:7" x14ac:dyDescent="0.35">
      <c r="A278">
        <v>2009</v>
      </c>
      <c r="B278" s="1" t="s">
        <v>204</v>
      </c>
      <c r="C278" s="1" t="s">
        <v>205</v>
      </c>
      <c r="D278" s="1" t="s">
        <v>7</v>
      </c>
      <c r="E278" s="1">
        <v>487684</v>
      </c>
      <c r="F278" s="1">
        <v>1079100</v>
      </c>
      <c r="G278">
        <v>0.45193587248633121</v>
      </c>
    </row>
    <row r="279" spans="1:7" x14ac:dyDescent="0.35">
      <c r="A279">
        <v>2009</v>
      </c>
      <c r="B279" s="1" t="s">
        <v>204</v>
      </c>
      <c r="C279" s="1" t="s">
        <v>205</v>
      </c>
      <c r="D279" s="1" t="s">
        <v>8</v>
      </c>
      <c r="E279" s="1">
        <v>107160.31</v>
      </c>
      <c r="F279" s="1">
        <v>1079100</v>
      </c>
      <c r="G279">
        <v>9.9305263645630609E-2</v>
      </c>
    </row>
    <row r="280" spans="1:7" x14ac:dyDescent="0.35">
      <c r="A280">
        <v>2009</v>
      </c>
      <c r="B280" s="1" t="s">
        <v>204</v>
      </c>
      <c r="C280" s="1" t="s">
        <v>205</v>
      </c>
      <c r="D280" s="1" t="s">
        <v>9</v>
      </c>
      <c r="E280" s="1">
        <v>132378.97</v>
      </c>
      <c r="F280" s="1">
        <v>1079100</v>
      </c>
      <c r="G280">
        <v>0.12267534982856083</v>
      </c>
    </row>
    <row r="281" spans="1:7" x14ac:dyDescent="0.35">
      <c r="A281">
        <v>2009</v>
      </c>
      <c r="B281" s="1" t="s">
        <v>206</v>
      </c>
      <c r="C281" s="1" t="s">
        <v>207</v>
      </c>
      <c r="D281" s="1" t="s">
        <v>7</v>
      </c>
      <c r="E281" s="1">
        <v>797275.97</v>
      </c>
      <c r="F281" s="1">
        <v>1967299</v>
      </c>
      <c r="G281">
        <v>0.40526425825459167</v>
      </c>
    </row>
    <row r="282" spans="1:7" x14ac:dyDescent="0.35">
      <c r="A282">
        <v>2009</v>
      </c>
      <c r="B282" s="1" t="s">
        <v>206</v>
      </c>
      <c r="C282" s="1" t="s">
        <v>207</v>
      </c>
      <c r="D282" s="1" t="s">
        <v>8</v>
      </c>
      <c r="E282" s="1">
        <v>120182.97</v>
      </c>
      <c r="F282" s="1">
        <v>1967299</v>
      </c>
      <c r="G282">
        <v>6.1090342647457253E-2</v>
      </c>
    </row>
    <row r="283" spans="1:7" x14ac:dyDescent="0.35">
      <c r="A283">
        <v>2009</v>
      </c>
      <c r="B283" s="1" t="s">
        <v>206</v>
      </c>
      <c r="C283" s="1" t="s">
        <v>207</v>
      </c>
      <c r="D283" s="1" t="s">
        <v>9</v>
      </c>
      <c r="E283" s="1">
        <v>265506.34000000003</v>
      </c>
      <c r="F283" s="1">
        <v>1967299</v>
      </c>
      <c r="G283">
        <v>0.1349598307120575</v>
      </c>
    </row>
    <row r="284" spans="1:7" x14ac:dyDescent="0.35">
      <c r="A284">
        <v>2009</v>
      </c>
      <c r="B284" s="1" t="s">
        <v>208</v>
      </c>
      <c r="C284" s="1" t="s">
        <v>209</v>
      </c>
      <c r="D284" s="1" t="s">
        <v>7</v>
      </c>
      <c r="E284" s="1">
        <v>482363.44</v>
      </c>
      <c r="F284" s="1">
        <v>1007303</v>
      </c>
      <c r="G284">
        <v>0.47886627956037059</v>
      </c>
    </row>
    <row r="285" spans="1:7" x14ac:dyDescent="0.35">
      <c r="A285">
        <v>2009</v>
      </c>
      <c r="B285" s="1" t="s">
        <v>208</v>
      </c>
      <c r="C285" s="1" t="s">
        <v>209</v>
      </c>
      <c r="D285" s="1" t="s">
        <v>8</v>
      </c>
      <c r="E285" s="1">
        <v>88390.16</v>
      </c>
      <c r="F285" s="1">
        <v>1007303</v>
      </c>
      <c r="G285">
        <v>8.774932666734836E-2</v>
      </c>
    </row>
    <row r="286" spans="1:7" x14ac:dyDescent="0.35">
      <c r="A286">
        <v>2009</v>
      </c>
      <c r="B286" s="1" t="s">
        <v>208</v>
      </c>
      <c r="C286" s="1" t="s">
        <v>209</v>
      </c>
      <c r="D286" s="1" t="s">
        <v>9</v>
      </c>
      <c r="E286" s="1">
        <v>154242.93</v>
      </c>
      <c r="F286" s="1">
        <v>1007303</v>
      </c>
      <c r="G286">
        <v>0.15312466060361182</v>
      </c>
    </row>
    <row r="287" spans="1:7" x14ac:dyDescent="0.35">
      <c r="A287">
        <v>2009</v>
      </c>
      <c r="B287" s="1" t="s">
        <v>210</v>
      </c>
      <c r="C287" s="1" t="s">
        <v>211</v>
      </c>
      <c r="D287" s="1" t="s">
        <v>7</v>
      </c>
      <c r="E287" s="1">
        <v>202492.62</v>
      </c>
      <c r="F287" s="1">
        <v>540065</v>
      </c>
      <c r="G287">
        <v>0.37494120152203902</v>
      </c>
    </row>
    <row r="288" spans="1:7" x14ac:dyDescent="0.35">
      <c r="A288">
        <v>2009</v>
      </c>
      <c r="B288" s="1" t="s">
        <v>210</v>
      </c>
      <c r="C288" s="1" t="s">
        <v>211</v>
      </c>
      <c r="D288" s="1" t="s">
        <v>8</v>
      </c>
      <c r="E288" s="1">
        <v>33456.81</v>
      </c>
      <c r="F288" s="1">
        <v>540065</v>
      </c>
      <c r="G288">
        <v>6.1949598659420624E-2</v>
      </c>
    </row>
    <row r="289" spans="1:7" x14ac:dyDescent="0.35">
      <c r="A289">
        <v>2009</v>
      </c>
      <c r="B289" s="1" t="s">
        <v>210</v>
      </c>
      <c r="C289" s="1" t="s">
        <v>211</v>
      </c>
      <c r="D289" s="1" t="s">
        <v>9</v>
      </c>
      <c r="E289" s="1">
        <v>84577.63</v>
      </c>
      <c r="F289" s="1">
        <v>540065</v>
      </c>
      <c r="G289">
        <v>0.1566063899715775</v>
      </c>
    </row>
    <row r="290" spans="1:7" x14ac:dyDescent="0.35">
      <c r="A290">
        <v>2011</v>
      </c>
      <c r="B290" s="1" t="s">
        <v>5</v>
      </c>
      <c r="C290" s="1" t="s">
        <v>6</v>
      </c>
      <c r="D290" s="1" t="s">
        <v>7</v>
      </c>
      <c r="E290" s="1">
        <v>133143.66</v>
      </c>
      <c r="F290" s="1">
        <v>603827</v>
      </c>
      <c r="G290">
        <v>0.22049967954397534</v>
      </c>
    </row>
    <row r="291" spans="1:7" x14ac:dyDescent="0.35">
      <c r="A291">
        <v>2011</v>
      </c>
      <c r="B291" s="1" t="s">
        <v>5</v>
      </c>
      <c r="C291" s="1" t="s">
        <v>6</v>
      </c>
      <c r="D291" s="1" t="s">
        <v>8</v>
      </c>
      <c r="E291" s="1">
        <v>44981.54</v>
      </c>
      <c r="F291" s="1">
        <v>603827</v>
      </c>
      <c r="G291">
        <v>7.4494085226397624E-2</v>
      </c>
    </row>
    <row r="292" spans="1:7" x14ac:dyDescent="0.35">
      <c r="A292">
        <v>2011</v>
      </c>
      <c r="B292" s="1" t="s">
        <v>5</v>
      </c>
      <c r="C292" s="1" t="s">
        <v>6</v>
      </c>
      <c r="D292" s="1" t="s">
        <v>9</v>
      </c>
      <c r="E292" s="1">
        <v>118248.82</v>
      </c>
      <c r="F292" s="1">
        <v>603827</v>
      </c>
      <c r="G292">
        <v>0.19583228308770559</v>
      </c>
    </row>
    <row r="293" spans="1:7" x14ac:dyDescent="0.35">
      <c r="A293">
        <v>2011</v>
      </c>
      <c r="B293" s="1" t="s">
        <v>10</v>
      </c>
      <c r="C293" s="1" t="s">
        <v>11</v>
      </c>
      <c r="D293" s="1" t="s">
        <v>7</v>
      </c>
      <c r="E293" s="1">
        <v>100069.65</v>
      </c>
      <c r="F293" s="1">
        <v>342729</v>
      </c>
      <c r="G293">
        <v>0.29197893962868621</v>
      </c>
    </row>
    <row r="294" spans="1:7" x14ac:dyDescent="0.35">
      <c r="A294">
        <v>2011</v>
      </c>
      <c r="B294" s="1" t="s">
        <v>10</v>
      </c>
      <c r="C294" s="1" t="s">
        <v>11</v>
      </c>
      <c r="D294" s="1" t="s">
        <v>8</v>
      </c>
      <c r="E294" s="1">
        <v>28309.87</v>
      </c>
      <c r="F294" s="1">
        <v>342729</v>
      </c>
      <c r="G294">
        <v>8.2601326412413301E-2</v>
      </c>
    </row>
    <row r="295" spans="1:7" x14ac:dyDescent="0.35">
      <c r="A295">
        <v>2011</v>
      </c>
      <c r="B295" s="1" t="s">
        <v>10</v>
      </c>
      <c r="C295" s="1" t="s">
        <v>11</v>
      </c>
      <c r="D295" s="1" t="s">
        <v>9</v>
      </c>
      <c r="E295" s="1">
        <v>44269.89</v>
      </c>
      <c r="F295" s="1">
        <v>342729</v>
      </c>
      <c r="G295">
        <v>0.12916878933501397</v>
      </c>
    </row>
    <row r="296" spans="1:7" x14ac:dyDescent="0.35">
      <c r="A296">
        <v>2011</v>
      </c>
      <c r="B296" s="1" t="s">
        <v>12</v>
      </c>
      <c r="C296" s="1" t="s">
        <v>13</v>
      </c>
      <c r="D296" s="1" t="s">
        <v>7</v>
      </c>
      <c r="E296" s="1">
        <v>85587.86</v>
      </c>
      <c r="F296" s="1">
        <v>317277</v>
      </c>
      <c r="G296">
        <v>0.26975753048597911</v>
      </c>
    </row>
    <row r="297" spans="1:7" x14ac:dyDescent="0.35">
      <c r="A297">
        <v>2011</v>
      </c>
      <c r="B297" s="1" t="s">
        <v>12</v>
      </c>
      <c r="C297" s="1" t="s">
        <v>13</v>
      </c>
      <c r="D297" s="1" t="s">
        <v>8</v>
      </c>
      <c r="E297" s="1">
        <v>24031.29</v>
      </c>
      <c r="F297" s="1">
        <v>317277</v>
      </c>
      <c r="G297">
        <v>7.5742300891649891E-2</v>
      </c>
    </row>
    <row r="298" spans="1:7" x14ac:dyDescent="0.35">
      <c r="A298">
        <v>2011</v>
      </c>
      <c r="B298" s="1" t="s">
        <v>12</v>
      </c>
      <c r="C298" s="1" t="s">
        <v>13</v>
      </c>
      <c r="D298" s="1" t="s">
        <v>9</v>
      </c>
      <c r="E298" s="1">
        <v>42843.12</v>
      </c>
      <c r="F298" s="1">
        <v>317277</v>
      </c>
      <c r="G298">
        <v>0.1350338032696981</v>
      </c>
    </row>
    <row r="299" spans="1:7" x14ac:dyDescent="0.35">
      <c r="A299">
        <v>2011</v>
      </c>
      <c r="B299" s="1" t="s">
        <v>14</v>
      </c>
      <c r="C299" s="1" t="s">
        <v>15</v>
      </c>
      <c r="D299" s="1" t="s">
        <v>7</v>
      </c>
      <c r="E299" s="1">
        <v>55762.07</v>
      </c>
      <c r="F299" s="1">
        <v>147577</v>
      </c>
      <c r="G299">
        <v>0.37785068133923305</v>
      </c>
    </row>
    <row r="300" spans="1:7" x14ac:dyDescent="0.35">
      <c r="A300">
        <v>2011</v>
      </c>
      <c r="B300" s="1" t="s">
        <v>14</v>
      </c>
      <c r="C300" s="1" t="s">
        <v>15</v>
      </c>
      <c r="D300" s="1" t="s">
        <v>8</v>
      </c>
      <c r="E300" s="1">
        <v>10695.43</v>
      </c>
      <c r="F300" s="1">
        <v>147577</v>
      </c>
      <c r="G300">
        <v>7.247355617745313E-2</v>
      </c>
    </row>
    <row r="301" spans="1:7" x14ac:dyDescent="0.35">
      <c r="A301">
        <v>2011</v>
      </c>
      <c r="B301" s="1" t="s">
        <v>14</v>
      </c>
      <c r="C301" s="1" t="s">
        <v>15</v>
      </c>
      <c r="D301" s="1" t="s">
        <v>9</v>
      </c>
      <c r="E301" s="1">
        <v>18563.810000000001</v>
      </c>
      <c r="F301" s="1">
        <v>147577</v>
      </c>
      <c r="G301">
        <v>0.12579067198818245</v>
      </c>
    </row>
    <row r="302" spans="1:7" x14ac:dyDescent="0.35">
      <c r="A302">
        <v>2011</v>
      </c>
      <c r="B302" s="1" t="s">
        <v>16</v>
      </c>
      <c r="C302" s="1" t="s">
        <v>17</v>
      </c>
      <c r="D302" s="1" t="s">
        <v>7</v>
      </c>
      <c r="E302" s="1">
        <v>129488.86</v>
      </c>
      <c r="F302" s="1">
        <v>487993</v>
      </c>
      <c r="G302">
        <v>0.26534983083773744</v>
      </c>
    </row>
    <row r="303" spans="1:7" x14ac:dyDescent="0.35">
      <c r="A303">
        <v>2011</v>
      </c>
      <c r="B303" s="1" t="s">
        <v>16</v>
      </c>
      <c r="C303" s="1" t="s">
        <v>17</v>
      </c>
      <c r="D303" s="1" t="s">
        <v>8</v>
      </c>
      <c r="E303" s="1">
        <v>34889.769999999997</v>
      </c>
      <c r="F303" s="1">
        <v>487993</v>
      </c>
      <c r="G303">
        <v>7.1496455891785327E-2</v>
      </c>
    </row>
    <row r="304" spans="1:7" x14ac:dyDescent="0.35">
      <c r="A304">
        <v>2011</v>
      </c>
      <c r="B304" s="1" t="s">
        <v>16</v>
      </c>
      <c r="C304" s="1" t="s">
        <v>17</v>
      </c>
      <c r="D304" s="1" t="s">
        <v>9</v>
      </c>
      <c r="E304" s="1">
        <v>83014</v>
      </c>
      <c r="F304" s="1">
        <v>487993</v>
      </c>
      <c r="G304">
        <v>0.1701130958845721</v>
      </c>
    </row>
    <row r="305" spans="1:7" x14ac:dyDescent="0.35">
      <c r="A305">
        <v>2011</v>
      </c>
      <c r="B305" s="1" t="s">
        <v>18</v>
      </c>
      <c r="C305" s="1" t="s">
        <v>19</v>
      </c>
      <c r="D305" s="1" t="s">
        <v>7</v>
      </c>
      <c r="E305" s="1">
        <v>287665.56</v>
      </c>
      <c r="F305" s="1">
        <v>1215212</v>
      </c>
      <c r="G305">
        <v>0.23672047346471234</v>
      </c>
    </row>
    <row r="306" spans="1:7" x14ac:dyDescent="0.35">
      <c r="A306">
        <v>2011</v>
      </c>
      <c r="B306" s="1" t="s">
        <v>18</v>
      </c>
      <c r="C306" s="1" t="s">
        <v>19</v>
      </c>
      <c r="D306" s="1" t="s">
        <v>8</v>
      </c>
      <c r="E306" s="1">
        <v>103598.56</v>
      </c>
      <c r="F306" s="1">
        <v>1215212</v>
      </c>
      <c r="G306">
        <v>8.525142938022337E-2</v>
      </c>
    </row>
    <row r="307" spans="1:7" x14ac:dyDescent="0.35">
      <c r="A307">
        <v>2011</v>
      </c>
      <c r="B307" s="1" t="s">
        <v>18</v>
      </c>
      <c r="C307" s="1" t="s">
        <v>19</v>
      </c>
      <c r="D307" s="1" t="s">
        <v>9</v>
      </c>
      <c r="E307" s="1">
        <v>248587.57</v>
      </c>
      <c r="F307" s="1">
        <v>1215212</v>
      </c>
      <c r="G307">
        <v>0.20456312972551291</v>
      </c>
    </row>
    <row r="308" spans="1:7" x14ac:dyDescent="0.35">
      <c r="A308">
        <v>2011</v>
      </c>
      <c r="B308" s="1" t="s">
        <v>20</v>
      </c>
      <c r="C308" s="1" t="s">
        <v>21</v>
      </c>
      <c r="D308" s="1" t="s">
        <v>7</v>
      </c>
      <c r="E308" s="1">
        <v>192043.84</v>
      </c>
      <c r="F308" s="1">
        <v>749053</v>
      </c>
      <c r="G308">
        <v>0.25638217856413364</v>
      </c>
    </row>
    <row r="309" spans="1:7" x14ac:dyDescent="0.35">
      <c r="A309">
        <v>2011</v>
      </c>
      <c r="B309" s="1" t="s">
        <v>20</v>
      </c>
      <c r="C309" s="1" t="s">
        <v>21</v>
      </c>
      <c r="D309" s="1" t="s">
        <v>8</v>
      </c>
      <c r="E309" s="1">
        <v>58041.31</v>
      </c>
      <c r="F309" s="1">
        <v>749053</v>
      </c>
      <c r="G309">
        <v>7.7486252641668876E-2</v>
      </c>
    </row>
    <row r="310" spans="1:7" x14ac:dyDescent="0.35">
      <c r="A310">
        <v>2011</v>
      </c>
      <c r="B310" s="1" t="s">
        <v>20</v>
      </c>
      <c r="C310" s="1" t="s">
        <v>21</v>
      </c>
      <c r="D310" s="1" t="s">
        <v>9</v>
      </c>
      <c r="E310" s="1">
        <v>106248.73</v>
      </c>
      <c r="F310" s="1">
        <v>749053</v>
      </c>
      <c r="G310">
        <v>0.14184407511885005</v>
      </c>
    </row>
    <row r="311" spans="1:7" x14ac:dyDescent="0.35">
      <c r="A311">
        <v>2011</v>
      </c>
      <c r="B311" s="1" t="s">
        <v>22</v>
      </c>
      <c r="C311" s="1" t="s">
        <v>23</v>
      </c>
      <c r="D311" s="1" t="s">
        <v>7</v>
      </c>
      <c r="E311" s="1">
        <v>54363.22</v>
      </c>
      <c r="F311" s="1">
        <v>224907</v>
      </c>
      <c r="G311">
        <v>0.24171421965523529</v>
      </c>
    </row>
    <row r="312" spans="1:7" x14ac:dyDescent="0.35">
      <c r="A312">
        <v>2011</v>
      </c>
      <c r="B312" s="1" t="s">
        <v>22</v>
      </c>
      <c r="C312" s="1" t="s">
        <v>23</v>
      </c>
      <c r="D312" s="1" t="s">
        <v>8</v>
      </c>
      <c r="E312" s="1">
        <v>17610.43</v>
      </c>
      <c r="F312" s="1">
        <v>224907</v>
      </c>
      <c r="G312">
        <v>7.8300942167206886E-2</v>
      </c>
    </row>
    <row r="313" spans="1:7" x14ac:dyDescent="0.35">
      <c r="A313">
        <v>2011</v>
      </c>
      <c r="B313" s="1" t="s">
        <v>22</v>
      </c>
      <c r="C313" s="1" t="s">
        <v>23</v>
      </c>
      <c r="D313" s="1" t="s">
        <v>9</v>
      </c>
      <c r="E313" s="1">
        <v>29088.37</v>
      </c>
      <c r="F313" s="1">
        <v>224907</v>
      </c>
      <c r="G313">
        <v>0.12933510295366529</v>
      </c>
    </row>
    <row r="314" spans="1:7" x14ac:dyDescent="0.35">
      <c r="A314">
        <v>2011</v>
      </c>
      <c r="B314" s="1" t="s">
        <v>24</v>
      </c>
      <c r="C314" s="1" t="s">
        <v>25</v>
      </c>
      <c r="D314" s="1" t="s">
        <v>7</v>
      </c>
      <c r="E314" s="1">
        <v>154252.67000000001</v>
      </c>
      <c r="F314" s="1">
        <v>635469</v>
      </c>
      <c r="G314">
        <v>0.24273830824162942</v>
      </c>
    </row>
    <row r="315" spans="1:7" x14ac:dyDescent="0.35">
      <c r="A315">
        <v>2011</v>
      </c>
      <c r="B315" s="1" t="s">
        <v>24</v>
      </c>
      <c r="C315" s="1" t="s">
        <v>25</v>
      </c>
      <c r="D315" s="1" t="s">
        <v>8</v>
      </c>
      <c r="E315" s="1">
        <v>80773.100000000006</v>
      </c>
      <c r="F315" s="1">
        <v>635469</v>
      </c>
      <c r="G315">
        <v>0.12710785262538379</v>
      </c>
    </row>
    <row r="316" spans="1:7" x14ac:dyDescent="0.35">
      <c r="A316">
        <v>2011</v>
      </c>
      <c r="B316" s="1" t="s">
        <v>24</v>
      </c>
      <c r="C316" s="1" t="s">
        <v>25</v>
      </c>
      <c r="D316" s="1" t="s">
        <v>9</v>
      </c>
      <c r="E316" s="1">
        <v>95824.75</v>
      </c>
      <c r="F316" s="1">
        <v>635469</v>
      </c>
      <c r="G316">
        <v>0.15079374446275112</v>
      </c>
    </row>
    <row r="317" spans="1:7" x14ac:dyDescent="0.35">
      <c r="A317">
        <v>2011</v>
      </c>
      <c r="B317" s="1" t="s">
        <v>26</v>
      </c>
      <c r="C317" s="1" t="s">
        <v>27</v>
      </c>
      <c r="D317" s="1" t="s">
        <v>7</v>
      </c>
      <c r="E317" s="1">
        <v>412392.14</v>
      </c>
      <c r="F317" s="1">
        <v>1744236</v>
      </c>
      <c r="G317">
        <v>0.23643138887168938</v>
      </c>
    </row>
    <row r="318" spans="1:7" x14ac:dyDescent="0.35">
      <c r="A318">
        <v>2011</v>
      </c>
      <c r="B318" s="1" t="s">
        <v>26</v>
      </c>
      <c r="C318" s="1" t="s">
        <v>27</v>
      </c>
      <c r="D318" s="1" t="s">
        <v>8</v>
      </c>
      <c r="E318" s="1">
        <v>123937.78</v>
      </c>
      <c r="F318" s="1">
        <v>1744236</v>
      </c>
      <c r="G318">
        <v>7.1055625500219002E-2</v>
      </c>
    </row>
    <row r="319" spans="1:7" x14ac:dyDescent="0.35">
      <c r="A319">
        <v>2011</v>
      </c>
      <c r="B319" s="1" t="s">
        <v>26</v>
      </c>
      <c r="C319" s="1" t="s">
        <v>27</v>
      </c>
      <c r="D319" s="1" t="s">
        <v>9</v>
      </c>
      <c r="E319" s="1">
        <v>176040.62</v>
      </c>
      <c r="F319" s="1">
        <v>1744236</v>
      </c>
      <c r="G319">
        <v>0.10092706491552748</v>
      </c>
    </row>
    <row r="320" spans="1:7" x14ac:dyDescent="0.35">
      <c r="A320">
        <v>2011</v>
      </c>
      <c r="B320" s="1" t="s">
        <v>28</v>
      </c>
      <c r="C320" s="1" t="s">
        <v>29</v>
      </c>
      <c r="D320" s="1" t="s">
        <v>7</v>
      </c>
      <c r="E320" s="1">
        <v>133910.16</v>
      </c>
      <c r="F320" s="1">
        <v>418949</v>
      </c>
      <c r="G320">
        <v>0.31963355921603825</v>
      </c>
    </row>
    <row r="321" spans="1:7" x14ac:dyDescent="0.35">
      <c r="A321">
        <v>2011</v>
      </c>
      <c r="B321" s="1" t="s">
        <v>28</v>
      </c>
      <c r="C321" s="1" t="s">
        <v>29</v>
      </c>
      <c r="D321" s="1" t="s">
        <v>8</v>
      </c>
      <c r="E321" s="1">
        <v>44334.14</v>
      </c>
      <c r="F321" s="1">
        <v>418949</v>
      </c>
      <c r="G321">
        <v>0.10582228385793975</v>
      </c>
    </row>
    <row r="322" spans="1:7" x14ac:dyDescent="0.35">
      <c r="A322">
        <v>2011</v>
      </c>
      <c r="B322" s="1" t="s">
        <v>28</v>
      </c>
      <c r="C322" s="1" t="s">
        <v>29</v>
      </c>
      <c r="D322" s="1" t="s">
        <v>9</v>
      </c>
      <c r="E322" s="1">
        <v>92414.12</v>
      </c>
      <c r="F322" s="1">
        <v>418949</v>
      </c>
      <c r="G322">
        <v>0.22058560827212859</v>
      </c>
    </row>
    <row r="323" spans="1:7" x14ac:dyDescent="0.35">
      <c r="A323">
        <v>2011</v>
      </c>
      <c r="B323" s="1" t="s">
        <v>30</v>
      </c>
      <c r="C323" s="1" t="s">
        <v>31</v>
      </c>
      <c r="D323" s="1" t="s">
        <v>7</v>
      </c>
      <c r="E323" s="1">
        <v>232239.7</v>
      </c>
      <c r="F323" s="1">
        <v>746994</v>
      </c>
      <c r="G323">
        <v>0.31089901659183344</v>
      </c>
    </row>
    <row r="324" spans="1:7" x14ac:dyDescent="0.35">
      <c r="A324">
        <v>2011</v>
      </c>
      <c r="B324" s="1" t="s">
        <v>30</v>
      </c>
      <c r="C324" s="1" t="s">
        <v>31</v>
      </c>
      <c r="D324" s="1" t="s">
        <v>8</v>
      </c>
      <c r="E324" s="1">
        <v>64315.27</v>
      </c>
      <c r="F324" s="1">
        <v>746994</v>
      </c>
      <c r="G324">
        <v>8.6098777232481119E-2</v>
      </c>
    </row>
    <row r="325" spans="1:7" x14ac:dyDescent="0.35">
      <c r="A325">
        <v>2011</v>
      </c>
      <c r="B325" s="1" t="s">
        <v>30</v>
      </c>
      <c r="C325" s="1" t="s">
        <v>31</v>
      </c>
      <c r="D325" s="1" t="s">
        <v>9</v>
      </c>
      <c r="E325" s="1">
        <v>152904.24</v>
      </c>
      <c r="F325" s="1">
        <v>746994</v>
      </c>
      <c r="G325">
        <v>0.20469272845565023</v>
      </c>
    </row>
    <row r="326" spans="1:7" x14ac:dyDescent="0.35">
      <c r="A326">
        <v>2011</v>
      </c>
      <c r="B326" s="1" t="s">
        <v>32</v>
      </c>
      <c r="C326" s="1" t="s">
        <v>33</v>
      </c>
      <c r="D326" s="1" t="s">
        <v>7</v>
      </c>
      <c r="E326" s="1">
        <v>133321.85999999999</v>
      </c>
      <c r="F326" s="1">
        <v>525931</v>
      </c>
      <c r="G326">
        <v>0.25349686555840972</v>
      </c>
    </row>
    <row r="327" spans="1:7" x14ac:dyDescent="0.35">
      <c r="A327">
        <v>2011</v>
      </c>
      <c r="B327" s="1" t="s">
        <v>32</v>
      </c>
      <c r="C327" s="1" t="s">
        <v>33</v>
      </c>
      <c r="D327" s="1" t="s">
        <v>8</v>
      </c>
      <c r="E327" s="1">
        <v>52655.02</v>
      </c>
      <c r="F327" s="1">
        <v>525931</v>
      </c>
      <c r="G327">
        <v>0.10011773407538251</v>
      </c>
    </row>
    <row r="328" spans="1:7" x14ac:dyDescent="0.35">
      <c r="A328">
        <v>2011</v>
      </c>
      <c r="B328" s="1" t="s">
        <v>32</v>
      </c>
      <c r="C328" s="1" t="s">
        <v>33</v>
      </c>
      <c r="D328" s="1" t="s">
        <v>9</v>
      </c>
      <c r="E328" s="1">
        <v>82007.539999999994</v>
      </c>
      <c r="F328" s="1">
        <v>525931</v>
      </c>
      <c r="G328">
        <v>0.15592832519855265</v>
      </c>
    </row>
    <row r="329" spans="1:7" x14ac:dyDescent="0.35">
      <c r="A329">
        <v>2011</v>
      </c>
      <c r="B329" s="1" t="s">
        <v>34</v>
      </c>
      <c r="C329" s="1" t="s">
        <v>35</v>
      </c>
      <c r="D329" s="1" t="s">
        <v>7</v>
      </c>
      <c r="E329" s="1">
        <v>120625.18</v>
      </c>
      <c r="F329" s="1">
        <v>529103</v>
      </c>
      <c r="G329">
        <v>0.22798052553094575</v>
      </c>
    </row>
    <row r="330" spans="1:7" x14ac:dyDescent="0.35">
      <c r="A330">
        <v>2011</v>
      </c>
      <c r="B330" s="1" t="s">
        <v>34</v>
      </c>
      <c r="C330" s="1" t="s">
        <v>35</v>
      </c>
      <c r="D330" s="1" t="s">
        <v>8</v>
      </c>
      <c r="E330" s="1">
        <v>63541.05</v>
      </c>
      <c r="F330" s="1">
        <v>529103</v>
      </c>
      <c r="G330">
        <v>0.12009202367024946</v>
      </c>
    </row>
    <row r="331" spans="1:7" x14ac:dyDescent="0.35">
      <c r="A331">
        <v>2011</v>
      </c>
      <c r="B331" s="1" t="s">
        <v>34</v>
      </c>
      <c r="C331" s="1" t="s">
        <v>35</v>
      </c>
      <c r="D331" s="1" t="s">
        <v>9</v>
      </c>
      <c r="E331" s="1">
        <v>83945.88</v>
      </c>
      <c r="F331" s="1">
        <v>529103</v>
      </c>
      <c r="G331">
        <v>0.15865697227193951</v>
      </c>
    </row>
    <row r="332" spans="1:7" x14ac:dyDescent="0.35">
      <c r="A332">
        <v>2011</v>
      </c>
      <c r="B332" s="1" t="s">
        <v>36</v>
      </c>
      <c r="C332" s="1" t="s">
        <v>37</v>
      </c>
      <c r="D332" s="1" t="s">
        <v>7</v>
      </c>
      <c r="E332" s="1">
        <v>52357.27</v>
      </c>
      <c r="F332" s="1">
        <v>261294</v>
      </c>
      <c r="G332">
        <v>0.20037685518993928</v>
      </c>
    </row>
    <row r="333" spans="1:7" x14ac:dyDescent="0.35">
      <c r="A333">
        <v>2011</v>
      </c>
      <c r="B333" s="1" t="s">
        <v>36</v>
      </c>
      <c r="C333" s="1" t="s">
        <v>37</v>
      </c>
      <c r="D333" s="1" t="s">
        <v>8</v>
      </c>
      <c r="E333" s="1">
        <v>35824.93</v>
      </c>
      <c r="F333" s="1">
        <v>261294</v>
      </c>
      <c r="G333">
        <v>0.13710582715255612</v>
      </c>
    </row>
    <row r="334" spans="1:7" x14ac:dyDescent="0.35">
      <c r="A334">
        <v>2011</v>
      </c>
      <c r="B334" s="1" t="s">
        <v>36</v>
      </c>
      <c r="C334" s="1" t="s">
        <v>37</v>
      </c>
      <c r="D334" s="1" t="s">
        <v>9</v>
      </c>
      <c r="E334" s="1">
        <v>40240.370000000003</v>
      </c>
      <c r="F334" s="1">
        <v>261294</v>
      </c>
      <c r="G334">
        <v>0.15400418685465417</v>
      </c>
    </row>
    <row r="335" spans="1:7" x14ac:dyDescent="0.35">
      <c r="A335">
        <v>2011</v>
      </c>
      <c r="B335" s="1" t="s">
        <v>38</v>
      </c>
      <c r="C335" s="1" t="s">
        <v>39</v>
      </c>
      <c r="D335" s="1" t="s">
        <v>7</v>
      </c>
      <c r="E335" s="1">
        <v>46139.22</v>
      </c>
      <c r="F335" s="1">
        <v>218341</v>
      </c>
      <c r="G335">
        <v>0.21131725145529243</v>
      </c>
    </row>
    <row r="336" spans="1:7" x14ac:dyDescent="0.35">
      <c r="A336">
        <v>2011</v>
      </c>
      <c r="B336" s="1" t="s">
        <v>38</v>
      </c>
      <c r="C336" s="1" t="s">
        <v>39</v>
      </c>
      <c r="D336" s="1" t="s">
        <v>8</v>
      </c>
      <c r="E336" s="1">
        <v>26344.1</v>
      </c>
      <c r="F336" s="1">
        <v>218341</v>
      </c>
      <c r="G336">
        <v>0.12065576323274144</v>
      </c>
    </row>
    <row r="337" spans="1:7" x14ac:dyDescent="0.35">
      <c r="A337">
        <v>2011</v>
      </c>
      <c r="B337" s="1" t="s">
        <v>38</v>
      </c>
      <c r="C337" s="1" t="s">
        <v>39</v>
      </c>
      <c r="D337" s="1" t="s">
        <v>9</v>
      </c>
      <c r="E337" s="1">
        <v>41124.01</v>
      </c>
      <c r="F337" s="1">
        <v>218341</v>
      </c>
      <c r="G337">
        <v>0.18834763054121764</v>
      </c>
    </row>
    <row r="338" spans="1:7" x14ac:dyDescent="0.35">
      <c r="A338">
        <v>2011</v>
      </c>
      <c r="B338" s="1" t="s">
        <v>40</v>
      </c>
      <c r="C338" s="1" t="s">
        <v>41</v>
      </c>
      <c r="D338" s="1" t="s">
        <v>7</v>
      </c>
      <c r="E338" s="1">
        <v>44955.16</v>
      </c>
      <c r="F338" s="1">
        <v>239695</v>
      </c>
      <c r="G338">
        <v>0.18755151338158912</v>
      </c>
    </row>
    <row r="339" spans="1:7" x14ac:dyDescent="0.35">
      <c r="A339">
        <v>2011</v>
      </c>
      <c r="B339" s="1" t="s">
        <v>40</v>
      </c>
      <c r="C339" s="1" t="s">
        <v>41</v>
      </c>
      <c r="D339" s="1" t="s">
        <v>8</v>
      </c>
      <c r="E339" s="1">
        <v>23484.47</v>
      </c>
      <c r="F339" s="1">
        <v>239695</v>
      </c>
      <c r="G339">
        <v>9.7976470097415475E-2</v>
      </c>
    </row>
    <row r="340" spans="1:7" x14ac:dyDescent="0.35">
      <c r="A340">
        <v>2011</v>
      </c>
      <c r="B340" s="1" t="s">
        <v>40</v>
      </c>
      <c r="C340" s="1" t="s">
        <v>41</v>
      </c>
      <c r="D340" s="1" t="s">
        <v>9</v>
      </c>
      <c r="E340" s="1">
        <v>50626.8</v>
      </c>
      <c r="F340" s="1">
        <v>239695</v>
      </c>
      <c r="G340">
        <v>0.21121341705083546</v>
      </c>
    </row>
    <row r="341" spans="1:7" x14ac:dyDescent="0.35">
      <c r="A341">
        <v>2011</v>
      </c>
      <c r="B341" s="1" t="s">
        <v>42</v>
      </c>
      <c r="C341" s="1" t="s">
        <v>43</v>
      </c>
      <c r="D341" s="1" t="s">
        <v>7</v>
      </c>
      <c r="E341" s="1">
        <v>127745.92</v>
      </c>
      <c r="F341" s="1">
        <v>555999</v>
      </c>
      <c r="G341">
        <v>0.22975926215694631</v>
      </c>
    </row>
    <row r="342" spans="1:7" x14ac:dyDescent="0.35">
      <c r="A342">
        <v>2011</v>
      </c>
      <c r="B342" s="1" t="s">
        <v>42</v>
      </c>
      <c r="C342" s="1" t="s">
        <v>43</v>
      </c>
      <c r="D342" s="1" t="s">
        <v>8</v>
      </c>
      <c r="E342" s="1">
        <v>60284.69</v>
      </c>
      <c r="F342" s="1">
        <v>555999</v>
      </c>
      <c r="G342">
        <v>0.10842589644945405</v>
      </c>
    </row>
    <row r="343" spans="1:7" x14ac:dyDescent="0.35">
      <c r="A343">
        <v>2011</v>
      </c>
      <c r="B343" s="1" t="s">
        <v>42</v>
      </c>
      <c r="C343" s="1" t="s">
        <v>43</v>
      </c>
      <c r="D343" s="1" t="s">
        <v>9</v>
      </c>
      <c r="E343" s="1">
        <v>108815.91</v>
      </c>
      <c r="F343" s="1">
        <v>555999</v>
      </c>
      <c r="G343">
        <v>0.19571242034607977</v>
      </c>
    </row>
    <row r="344" spans="1:7" x14ac:dyDescent="0.35">
      <c r="A344">
        <v>2011</v>
      </c>
      <c r="B344" s="1" t="s">
        <v>44</v>
      </c>
      <c r="C344" s="1" t="s">
        <v>45</v>
      </c>
      <c r="D344" s="1" t="s">
        <v>7</v>
      </c>
      <c r="E344" s="1">
        <v>97730.64</v>
      </c>
      <c r="F344" s="1">
        <v>342463</v>
      </c>
      <c r="G344">
        <v>0.28537576322113628</v>
      </c>
    </row>
    <row r="345" spans="1:7" x14ac:dyDescent="0.35">
      <c r="A345">
        <v>2011</v>
      </c>
      <c r="B345" s="1" t="s">
        <v>44</v>
      </c>
      <c r="C345" s="1" t="s">
        <v>45</v>
      </c>
      <c r="D345" s="1" t="s">
        <v>8</v>
      </c>
      <c r="E345" s="1">
        <v>29894.34</v>
      </c>
      <c r="F345" s="1">
        <v>342463</v>
      </c>
      <c r="G345">
        <v>8.7292174629084021E-2</v>
      </c>
    </row>
    <row r="346" spans="1:7" x14ac:dyDescent="0.35">
      <c r="A346">
        <v>2011</v>
      </c>
      <c r="B346" s="1" t="s">
        <v>44</v>
      </c>
      <c r="C346" s="1" t="s">
        <v>45</v>
      </c>
      <c r="D346" s="1" t="s">
        <v>9</v>
      </c>
      <c r="E346" s="1">
        <v>53468.61</v>
      </c>
      <c r="F346" s="1">
        <v>342463</v>
      </c>
      <c r="G346">
        <v>0.15612959648195571</v>
      </c>
    </row>
    <row r="347" spans="1:7" x14ac:dyDescent="0.35">
      <c r="A347">
        <v>2011</v>
      </c>
      <c r="B347" s="1" t="s">
        <v>46</v>
      </c>
      <c r="C347" s="1" t="s">
        <v>47</v>
      </c>
      <c r="D347" s="1" t="s">
        <v>7</v>
      </c>
      <c r="E347" s="1">
        <v>40247.699999999997</v>
      </c>
      <c r="F347" s="1">
        <v>143348</v>
      </c>
      <c r="G347">
        <v>0.28076917710745875</v>
      </c>
    </row>
    <row r="348" spans="1:7" x14ac:dyDescent="0.35">
      <c r="A348">
        <v>2011</v>
      </c>
      <c r="B348" s="1" t="s">
        <v>46</v>
      </c>
      <c r="C348" s="1" t="s">
        <v>47</v>
      </c>
      <c r="D348" s="1" t="s">
        <v>8</v>
      </c>
      <c r="E348" s="1">
        <v>21426.720000000001</v>
      </c>
      <c r="F348" s="1">
        <v>143348</v>
      </c>
      <c r="G348">
        <v>0.14947344922845104</v>
      </c>
    </row>
    <row r="349" spans="1:7" x14ac:dyDescent="0.35">
      <c r="A349">
        <v>2011</v>
      </c>
      <c r="B349" s="1" t="s">
        <v>46</v>
      </c>
      <c r="C349" s="1" t="s">
        <v>47</v>
      </c>
      <c r="D349" s="1" t="s">
        <v>9</v>
      </c>
      <c r="E349" s="1">
        <v>11911.31</v>
      </c>
      <c r="F349" s="1">
        <v>143348</v>
      </c>
      <c r="G349">
        <v>8.3093660183609114E-2</v>
      </c>
    </row>
    <row r="350" spans="1:7" x14ac:dyDescent="0.35">
      <c r="A350">
        <v>2011</v>
      </c>
      <c r="B350" s="1" t="s">
        <v>48</v>
      </c>
      <c r="C350" s="1" t="s">
        <v>49</v>
      </c>
      <c r="D350" s="1" t="s">
        <v>7</v>
      </c>
      <c r="E350" s="1">
        <v>149990.85</v>
      </c>
      <c r="F350" s="1">
        <v>594375</v>
      </c>
      <c r="G350">
        <v>0.25235053627760251</v>
      </c>
    </row>
    <row r="351" spans="1:7" x14ac:dyDescent="0.35">
      <c r="A351">
        <v>2011</v>
      </c>
      <c r="B351" s="1" t="s">
        <v>48</v>
      </c>
      <c r="C351" s="1" t="s">
        <v>49</v>
      </c>
      <c r="D351" s="1" t="s">
        <v>8</v>
      </c>
      <c r="E351" s="1">
        <v>59828.08</v>
      </c>
      <c r="F351" s="1">
        <v>594375</v>
      </c>
      <c r="G351">
        <v>0.10065712723449001</v>
      </c>
    </row>
    <row r="352" spans="1:7" x14ac:dyDescent="0.35">
      <c r="A352">
        <v>2011</v>
      </c>
      <c r="B352" s="1" t="s">
        <v>48</v>
      </c>
      <c r="C352" s="1" t="s">
        <v>49</v>
      </c>
      <c r="D352" s="1" t="s">
        <v>9</v>
      </c>
      <c r="E352" s="1">
        <v>159345.46</v>
      </c>
      <c r="F352" s="1">
        <v>594375</v>
      </c>
      <c r="G352">
        <v>0.26808910199789693</v>
      </c>
    </row>
    <row r="353" spans="1:7" x14ac:dyDescent="0.35">
      <c r="A353">
        <v>2011</v>
      </c>
      <c r="B353" s="1" t="s">
        <v>50</v>
      </c>
      <c r="C353" s="1" t="s">
        <v>51</v>
      </c>
      <c r="D353" s="1" t="s">
        <v>7</v>
      </c>
      <c r="E353" s="1">
        <v>239257.77</v>
      </c>
      <c r="F353" s="1">
        <v>899870</v>
      </c>
      <c r="G353">
        <v>0.26588037160923245</v>
      </c>
    </row>
    <row r="354" spans="1:7" x14ac:dyDescent="0.35">
      <c r="A354">
        <v>2011</v>
      </c>
      <c r="B354" s="1" t="s">
        <v>50</v>
      </c>
      <c r="C354" s="1" t="s">
        <v>51</v>
      </c>
      <c r="D354" s="1" t="s">
        <v>8</v>
      </c>
      <c r="E354" s="1">
        <v>127041.81</v>
      </c>
      <c r="F354" s="1">
        <v>899870</v>
      </c>
      <c r="G354">
        <v>0.14117795903852778</v>
      </c>
    </row>
    <row r="355" spans="1:7" x14ac:dyDescent="0.35">
      <c r="A355">
        <v>2011</v>
      </c>
      <c r="B355" s="1" t="s">
        <v>50</v>
      </c>
      <c r="C355" s="1" t="s">
        <v>51</v>
      </c>
      <c r="D355" s="1" t="s">
        <v>9</v>
      </c>
      <c r="E355" s="1">
        <v>246281.14</v>
      </c>
      <c r="F355" s="1">
        <v>899870</v>
      </c>
      <c r="G355">
        <v>0.27368524342405015</v>
      </c>
    </row>
    <row r="356" spans="1:7" x14ac:dyDescent="0.35">
      <c r="A356">
        <v>2011</v>
      </c>
      <c r="B356" s="1" t="s">
        <v>52</v>
      </c>
      <c r="C356" s="1" t="s">
        <v>53</v>
      </c>
      <c r="D356" s="1" t="s">
        <v>7</v>
      </c>
      <c r="E356" s="1">
        <v>213232.9</v>
      </c>
      <c r="F356" s="1">
        <v>996439</v>
      </c>
      <c r="G356">
        <v>0.21399493596697841</v>
      </c>
    </row>
    <row r="357" spans="1:7" x14ac:dyDescent="0.35">
      <c r="A357">
        <v>2011</v>
      </c>
      <c r="B357" s="1" t="s">
        <v>52</v>
      </c>
      <c r="C357" s="1" t="s">
        <v>53</v>
      </c>
      <c r="D357" s="1" t="s">
        <v>8</v>
      </c>
      <c r="E357" s="1">
        <v>103320.33</v>
      </c>
      <c r="F357" s="1">
        <v>996439</v>
      </c>
      <c r="G357">
        <v>0.10368956855361944</v>
      </c>
    </row>
    <row r="358" spans="1:7" x14ac:dyDescent="0.35">
      <c r="A358">
        <v>2011</v>
      </c>
      <c r="B358" s="1" t="s">
        <v>52</v>
      </c>
      <c r="C358" s="1" t="s">
        <v>53</v>
      </c>
      <c r="D358" s="1" t="s">
        <v>9</v>
      </c>
      <c r="E358" s="1">
        <v>160076.94</v>
      </c>
      <c r="F358" s="1">
        <v>996439</v>
      </c>
      <c r="G358">
        <v>0.16064901112862906</v>
      </c>
    </row>
    <row r="359" spans="1:7" x14ac:dyDescent="0.35">
      <c r="A359">
        <v>2011</v>
      </c>
      <c r="B359" s="1" t="s">
        <v>54</v>
      </c>
      <c r="C359" s="1" t="s">
        <v>55</v>
      </c>
      <c r="D359" s="1" t="s">
        <v>7</v>
      </c>
      <c r="E359" s="1">
        <v>170938.72</v>
      </c>
      <c r="F359" s="1">
        <v>727083</v>
      </c>
      <c r="G359">
        <v>0.23510207225309904</v>
      </c>
    </row>
    <row r="360" spans="1:7" x14ac:dyDescent="0.35">
      <c r="A360">
        <v>2011</v>
      </c>
      <c r="B360" s="1" t="s">
        <v>54</v>
      </c>
      <c r="C360" s="1" t="s">
        <v>55</v>
      </c>
      <c r="D360" s="1" t="s">
        <v>8</v>
      </c>
      <c r="E360" s="1">
        <v>87803.74</v>
      </c>
      <c r="F360" s="1">
        <v>727083</v>
      </c>
      <c r="G360">
        <v>0.12076164619445098</v>
      </c>
    </row>
    <row r="361" spans="1:7" x14ac:dyDescent="0.35">
      <c r="A361">
        <v>2011</v>
      </c>
      <c r="B361" s="1" t="s">
        <v>54</v>
      </c>
      <c r="C361" s="1" t="s">
        <v>55</v>
      </c>
      <c r="D361" s="1" t="s">
        <v>9</v>
      </c>
      <c r="E361" s="1">
        <v>159285.01999999999</v>
      </c>
      <c r="F361" s="1">
        <v>727083</v>
      </c>
      <c r="G361">
        <v>0.2190740534436921</v>
      </c>
    </row>
    <row r="362" spans="1:7" x14ac:dyDescent="0.35">
      <c r="A362">
        <v>2011</v>
      </c>
      <c r="B362" s="1" t="s">
        <v>56</v>
      </c>
      <c r="C362" s="1" t="s">
        <v>57</v>
      </c>
      <c r="D362" s="1" t="s">
        <v>7</v>
      </c>
      <c r="E362" s="1">
        <v>71088.77</v>
      </c>
      <c r="F362" s="1">
        <v>311694</v>
      </c>
      <c r="G362">
        <v>0.2280723080970439</v>
      </c>
    </row>
    <row r="363" spans="1:7" x14ac:dyDescent="0.35">
      <c r="A363">
        <v>2011</v>
      </c>
      <c r="B363" s="1" t="s">
        <v>56</v>
      </c>
      <c r="C363" s="1" t="s">
        <v>57</v>
      </c>
      <c r="D363" s="1" t="s">
        <v>8</v>
      </c>
      <c r="E363" s="1">
        <v>35029.730000000003</v>
      </c>
      <c r="F363" s="1">
        <v>311694</v>
      </c>
      <c r="G363">
        <v>0.1123849993904278</v>
      </c>
    </row>
    <row r="364" spans="1:7" x14ac:dyDescent="0.35">
      <c r="A364">
        <v>2011</v>
      </c>
      <c r="B364" s="1" t="s">
        <v>56</v>
      </c>
      <c r="C364" s="1" t="s">
        <v>57</v>
      </c>
      <c r="D364" s="1" t="s">
        <v>9</v>
      </c>
      <c r="E364" s="1">
        <v>50418.09</v>
      </c>
      <c r="F364" s="1">
        <v>311694</v>
      </c>
      <c r="G364">
        <v>0.16175508671966735</v>
      </c>
    </row>
    <row r="365" spans="1:7" x14ac:dyDescent="0.35">
      <c r="A365">
        <v>2011</v>
      </c>
      <c r="B365" s="1" t="s">
        <v>58</v>
      </c>
      <c r="C365" s="1" t="s">
        <v>59</v>
      </c>
      <c r="D365" s="1" t="s">
        <v>7</v>
      </c>
      <c r="E365" s="1">
        <v>118872.79</v>
      </c>
      <c r="F365" s="1">
        <v>430416</v>
      </c>
      <c r="G365">
        <v>0.27618115962231887</v>
      </c>
    </row>
    <row r="366" spans="1:7" x14ac:dyDescent="0.35">
      <c r="A366">
        <v>2011</v>
      </c>
      <c r="B366" s="1" t="s">
        <v>58</v>
      </c>
      <c r="C366" s="1" t="s">
        <v>59</v>
      </c>
      <c r="D366" s="1" t="s">
        <v>8</v>
      </c>
      <c r="E366" s="1">
        <v>45257.01</v>
      </c>
      <c r="F366" s="1">
        <v>430416</v>
      </c>
      <c r="G366">
        <v>0.10514713672354188</v>
      </c>
    </row>
    <row r="367" spans="1:7" x14ac:dyDescent="0.35">
      <c r="A367">
        <v>2011</v>
      </c>
      <c r="B367" s="1" t="s">
        <v>58</v>
      </c>
      <c r="C367" s="1" t="s">
        <v>59</v>
      </c>
      <c r="D367" s="1" t="s">
        <v>9</v>
      </c>
      <c r="E367" s="1">
        <v>80409.94</v>
      </c>
      <c r="F367" s="1">
        <v>430416</v>
      </c>
      <c r="G367">
        <v>0.18681912382439314</v>
      </c>
    </row>
    <row r="368" spans="1:7" x14ac:dyDescent="0.35">
      <c r="A368">
        <v>2011</v>
      </c>
      <c r="B368" s="1" t="s">
        <v>60</v>
      </c>
      <c r="C368" s="1" t="s">
        <v>61</v>
      </c>
      <c r="D368" s="1" t="s">
        <v>7</v>
      </c>
      <c r="E368" s="1">
        <v>62044.08</v>
      </c>
      <c r="F368" s="1">
        <v>230175</v>
      </c>
      <c r="G368">
        <v>0.26955177582274359</v>
      </c>
    </row>
    <row r="369" spans="1:7" x14ac:dyDescent="0.35">
      <c r="A369">
        <v>2011</v>
      </c>
      <c r="B369" s="1" t="s">
        <v>60</v>
      </c>
      <c r="C369" s="1" t="s">
        <v>61</v>
      </c>
      <c r="D369" s="1" t="s">
        <v>8</v>
      </c>
      <c r="E369" s="1">
        <v>18493.37</v>
      </c>
      <c r="F369" s="1">
        <v>230175</v>
      </c>
      <c r="G369">
        <v>8.0344824589985875E-2</v>
      </c>
    </row>
    <row r="370" spans="1:7" x14ac:dyDescent="0.35">
      <c r="A370">
        <v>2011</v>
      </c>
      <c r="B370" s="1" t="s">
        <v>60</v>
      </c>
      <c r="C370" s="1" t="s">
        <v>61</v>
      </c>
      <c r="D370" s="1" t="s">
        <v>9</v>
      </c>
      <c r="E370" s="1">
        <v>37898.980000000003</v>
      </c>
      <c r="F370" s="1">
        <v>230175</v>
      </c>
      <c r="G370">
        <v>0.16465289453676552</v>
      </c>
    </row>
    <row r="371" spans="1:7" x14ac:dyDescent="0.35">
      <c r="A371">
        <v>2011</v>
      </c>
      <c r="B371" s="1" t="s">
        <v>62</v>
      </c>
      <c r="C371" s="1" t="s">
        <v>63</v>
      </c>
      <c r="D371" s="1" t="s">
        <v>7</v>
      </c>
      <c r="E371" s="1">
        <v>137783.32999999999</v>
      </c>
      <c r="F371" s="1">
        <v>593683</v>
      </c>
      <c r="G371">
        <v>0.23208232339480833</v>
      </c>
    </row>
    <row r="372" spans="1:7" x14ac:dyDescent="0.35">
      <c r="A372">
        <v>2011</v>
      </c>
      <c r="B372" s="1" t="s">
        <v>62</v>
      </c>
      <c r="C372" s="1" t="s">
        <v>63</v>
      </c>
      <c r="D372" s="1" t="s">
        <v>8</v>
      </c>
      <c r="E372" s="1">
        <v>74173.179999999993</v>
      </c>
      <c r="F372" s="1">
        <v>593683</v>
      </c>
      <c r="G372">
        <v>0.12493734871977132</v>
      </c>
    </row>
    <row r="373" spans="1:7" x14ac:dyDescent="0.35">
      <c r="A373">
        <v>2011</v>
      </c>
      <c r="B373" s="1" t="s">
        <v>62</v>
      </c>
      <c r="C373" s="1" t="s">
        <v>63</v>
      </c>
      <c r="D373" s="1" t="s">
        <v>9</v>
      </c>
      <c r="E373" s="1">
        <v>79273.05</v>
      </c>
      <c r="F373" s="1">
        <v>593683</v>
      </c>
      <c r="G373">
        <v>0.13352757279558283</v>
      </c>
    </row>
    <row r="374" spans="1:7" x14ac:dyDescent="0.35">
      <c r="A374">
        <v>2011</v>
      </c>
      <c r="B374" s="1" t="s">
        <v>64</v>
      </c>
      <c r="C374" s="1" t="s">
        <v>65</v>
      </c>
      <c r="D374" s="1" t="s">
        <v>7</v>
      </c>
      <c r="E374" s="1">
        <v>80535.929999999993</v>
      </c>
      <c r="F374" s="1">
        <v>331280</v>
      </c>
      <c r="G374">
        <v>0.24310531876358366</v>
      </c>
    </row>
    <row r="375" spans="1:7" x14ac:dyDescent="0.35">
      <c r="A375">
        <v>2011</v>
      </c>
      <c r="B375" s="1" t="s">
        <v>64</v>
      </c>
      <c r="C375" s="1" t="s">
        <v>65</v>
      </c>
      <c r="D375" s="1" t="s">
        <v>8</v>
      </c>
      <c r="E375" s="1">
        <v>27129.26</v>
      </c>
      <c r="F375" s="1">
        <v>331280</v>
      </c>
      <c r="G375">
        <v>8.1892236174836985E-2</v>
      </c>
    </row>
    <row r="376" spans="1:7" x14ac:dyDescent="0.35">
      <c r="A376">
        <v>2011</v>
      </c>
      <c r="B376" s="1" t="s">
        <v>64</v>
      </c>
      <c r="C376" s="1" t="s">
        <v>65</v>
      </c>
      <c r="D376" s="1" t="s">
        <v>9</v>
      </c>
      <c r="E376" s="1">
        <v>63911.98</v>
      </c>
      <c r="F376" s="1">
        <v>331280</v>
      </c>
      <c r="G376">
        <v>0.19292435402076794</v>
      </c>
    </row>
    <row r="377" spans="1:7" x14ac:dyDescent="0.35">
      <c r="A377">
        <v>2011</v>
      </c>
      <c r="B377" s="1" t="s">
        <v>66</v>
      </c>
      <c r="C377" s="1" t="s">
        <v>67</v>
      </c>
      <c r="D377" s="1" t="s">
        <v>7</v>
      </c>
      <c r="E377" s="1">
        <v>164281.28</v>
      </c>
      <c r="F377" s="1">
        <v>659587</v>
      </c>
      <c r="G377">
        <v>0.24906688579368605</v>
      </c>
    </row>
    <row r="378" spans="1:7" x14ac:dyDescent="0.35">
      <c r="A378">
        <v>2011</v>
      </c>
      <c r="B378" s="1" t="s">
        <v>66</v>
      </c>
      <c r="C378" s="1" t="s">
        <v>67</v>
      </c>
      <c r="D378" s="1" t="s">
        <v>8</v>
      </c>
      <c r="E378" s="1">
        <v>48877.35</v>
      </c>
      <c r="F378" s="1">
        <v>659587</v>
      </c>
      <c r="G378">
        <v>7.4102961398572129E-2</v>
      </c>
    </row>
    <row r="379" spans="1:7" x14ac:dyDescent="0.35">
      <c r="A379">
        <v>2011</v>
      </c>
      <c r="B379" s="1" t="s">
        <v>66</v>
      </c>
      <c r="C379" s="1" t="s">
        <v>67</v>
      </c>
      <c r="D379" s="1" t="s">
        <v>9</v>
      </c>
      <c r="E379" s="1">
        <v>119471.41</v>
      </c>
      <c r="F379" s="1">
        <v>659587</v>
      </c>
      <c r="G379">
        <v>0.18113063174380331</v>
      </c>
    </row>
    <row r="380" spans="1:7" x14ac:dyDescent="0.35">
      <c r="A380">
        <v>2011</v>
      </c>
      <c r="B380" s="1" t="s">
        <v>68</v>
      </c>
      <c r="C380" s="1" t="s">
        <v>69</v>
      </c>
      <c r="D380" s="1" t="s">
        <v>7</v>
      </c>
      <c r="E380" s="1">
        <v>69796.429999999993</v>
      </c>
      <c r="F380" s="1">
        <v>145846</v>
      </c>
      <c r="G380">
        <v>0.47856252485498396</v>
      </c>
    </row>
    <row r="381" spans="1:7" x14ac:dyDescent="0.35">
      <c r="A381">
        <v>2011</v>
      </c>
      <c r="B381" s="1" t="s">
        <v>68</v>
      </c>
      <c r="C381" s="1" t="s">
        <v>69</v>
      </c>
      <c r="D381" s="1" t="s">
        <v>8</v>
      </c>
      <c r="E381" s="1">
        <v>5815.6</v>
      </c>
      <c r="F381" s="1">
        <v>145846</v>
      </c>
      <c r="G381">
        <v>3.9874936576937317E-2</v>
      </c>
    </row>
    <row r="382" spans="1:7" x14ac:dyDescent="0.35">
      <c r="A382">
        <v>2011</v>
      </c>
      <c r="B382" s="1" t="s">
        <v>68</v>
      </c>
      <c r="C382" s="1" t="s">
        <v>69</v>
      </c>
      <c r="D382" s="1" t="s">
        <v>9</v>
      </c>
      <c r="E382" s="1">
        <v>11448.49</v>
      </c>
      <c r="F382" s="1">
        <v>145846</v>
      </c>
      <c r="G382">
        <v>7.8497113393579523E-2</v>
      </c>
    </row>
    <row r="383" spans="1:7" x14ac:dyDescent="0.35">
      <c r="A383">
        <v>2011</v>
      </c>
      <c r="B383" s="1" t="s">
        <v>70</v>
      </c>
      <c r="C383" s="1" t="s">
        <v>71</v>
      </c>
      <c r="D383" s="1" t="s">
        <v>7</v>
      </c>
      <c r="E383" s="1">
        <v>84837.92</v>
      </c>
      <c r="F383" s="1">
        <v>168640</v>
      </c>
      <c r="G383">
        <v>0.5030711574952561</v>
      </c>
    </row>
    <row r="384" spans="1:7" x14ac:dyDescent="0.35">
      <c r="A384">
        <v>2011</v>
      </c>
      <c r="B384" s="1" t="s">
        <v>70</v>
      </c>
      <c r="C384" s="1" t="s">
        <v>71</v>
      </c>
      <c r="D384" s="1" t="s">
        <v>8</v>
      </c>
      <c r="E384" s="1">
        <v>11035.81</v>
      </c>
      <c r="F384" s="1">
        <v>168640</v>
      </c>
      <c r="G384">
        <v>6.5440049810246675E-2</v>
      </c>
    </row>
    <row r="385" spans="1:7" x14ac:dyDescent="0.35">
      <c r="A385">
        <v>2011</v>
      </c>
      <c r="B385" s="1" t="s">
        <v>70</v>
      </c>
      <c r="C385" s="1" t="s">
        <v>71</v>
      </c>
      <c r="D385" s="1" t="s">
        <v>9</v>
      </c>
      <c r="E385" s="1">
        <v>19933.099999999999</v>
      </c>
      <c r="F385" s="1">
        <v>168640</v>
      </c>
      <c r="G385">
        <v>0.11819912239089184</v>
      </c>
    </row>
    <row r="386" spans="1:7" x14ac:dyDescent="0.35">
      <c r="A386">
        <v>2011</v>
      </c>
      <c r="B386" s="1" t="s">
        <v>84</v>
      </c>
      <c r="C386" s="1" t="s">
        <v>85</v>
      </c>
      <c r="D386" s="1" t="s">
        <v>7</v>
      </c>
      <c r="E386" s="1">
        <v>77925.789999999994</v>
      </c>
      <c r="F386" s="1">
        <v>283110</v>
      </c>
      <c r="G386">
        <v>0.27524916110345798</v>
      </c>
    </row>
    <row r="387" spans="1:7" x14ac:dyDescent="0.35">
      <c r="A387">
        <v>2011</v>
      </c>
      <c r="B387" s="1" t="s">
        <v>84</v>
      </c>
      <c r="C387" s="1" t="s">
        <v>85</v>
      </c>
      <c r="D387" s="1" t="s">
        <v>8</v>
      </c>
      <c r="E387" s="1">
        <v>30391.77</v>
      </c>
      <c r="F387" s="1">
        <v>283110</v>
      </c>
      <c r="G387">
        <v>0.10734968740065699</v>
      </c>
    </row>
    <row r="388" spans="1:7" x14ac:dyDescent="0.35">
      <c r="A388">
        <v>2011</v>
      </c>
      <c r="B388" s="1" t="s">
        <v>84</v>
      </c>
      <c r="C388" s="1" t="s">
        <v>85</v>
      </c>
      <c r="D388" s="1" t="s">
        <v>9</v>
      </c>
      <c r="E388" s="1">
        <v>39184.33</v>
      </c>
      <c r="F388" s="1">
        <v>283110</v>
      </c>
      <c r="G388">
        <v>0.13840673236551165</v>
      </c>
    </row>
    <row r="389" spans="1:7" x14ac:dyDescent="0.35">
      <c r="A389">
        <v>2011</v>
      </c>
      <c r="B389" s="1" t="s">
        <v>86</v>
      </c>
      <c r="C389" s="1" t="s">
        <v>87</v>
      </c>
      <c r="D389" s="1" t="s">
        <v>7</v>
      </c>
      <c r="E389" s="1">
        <v>86635.22</v>
      </c>
      <c r="F389" s="1">
        <v>303997</v>
      </c>
      <c r="G389">
        <v>0.28498708868837525</v>
      </c>
    </row>
    <row r="390" spans="1:7" x14ac:dyDescent="0.35">
      <c r="A390">
        <v>2011</v>
      </c>
      <c r="B390" s="1" t="s">
        <v>86</v>
      </c>
      <c r="C390" s="1" t="s">
        <v>87</v>
      </c>
      <c r="D390" s="1" t="s">
        <v>8</v>
      </c>
      <c r="E390" s="1">
        <v>37550.870000000003</v>
      </c>
      <c r="F390" s="1">
        <v>303997</v>
      </c>
      <c r="G390">
        <v>0.12352381766925333</v>
      </c>
    </row>
    <row r="391" spans="1:7" x14ac:dyDescent="0.35">
      <c r="A391">
        <v>2011</v>
      </c>
      <c r="B391" s="1" t="s">
        <v>86</v>
      </c>
      <c r="C391" s="1" t="s">
        <v>87</v>
      </c>
      <c r="D391" s="1" t="s">
        <v>9</v>
      </c>
      <c r="E391" s="1">
        <v>39399.75</v>
      </c>
      <c r="F391" s="1">
        <v>303997</v>
      </c>
      <c r="G391">
        <v>0.12960571979328744</v>
      </c>
    </row>
    <row r="392" spans="1:7" x14ac:dyDescent="0.35">
      <c r="A392">
        <v>2011</v>
      </c>
      <c r="B392" s="1" t="s">
        <v>88</v>
      </c>
      <c r="C392" s="1" t="s">
        <v>89</v>
      </c>
      <c r="D392" s="1" t="s">
        <v>7</v>
      </c>
      <c r="E392" s="1">
        <v>145632.03</v>
      </c>
      <c r="F392" s="1">
        <v>566571</v>
      </c>
      <c r="G392">
        <v>0.25704109458479169</v>
      </c>
    </row>
    <row r="393" spans="1:7" x14ac:dyDescent="0.35">
      <c r="A393">
        <v>2011</v>
      </c>
      <c r="B393" s="1" t="s">
        <v>88</v>
      </c>
      <c r="C393" s="1" t="s">
        <v>89</v>
      </c>
      <c r="D393" s="1" t="s">
        <v>8</v>
      </c>
      <c r="E393" s="1">
        <v>60470.67</v>
      </c>
      <c r="F393" s="1">
        <v>566571</v>
      </c>
      <c r="G393">
        <v>0.10673096575716018</v>
      </c>
    </row>
    <row r="394" spans="1:7" x14ac:dyDescent="0.35">
      <c r="A394">
        <v>2011</v>
      </c>
      <c r="B394" s="1" t="s">
        <v>88</v>
      </c>
      <c r="C394" s="1" t="s">
        <v>89</v>
      </c>
      <c r="D394" s="1" t="s">
        <v>9</v>
      </c>
      <c r="E394" s="1">
        <v>74117.990000000005</v>
      </c>
      <c r="F394" s="1">
        <v>566571</v>
      </c>
      <c r="G394">
        <v>0.13081853818850595</v>
      </c>
    </row>
    <row r="395" spans="1:7" x14ac:dyDescent="0.35">
      <c r="A395">
        <v>2011</v>
      </c>
      <c r="B395" s="1" t="s">
        <v>90</v>
      </c>
      <c r="C395" s="1" t="s">
        <v>91</v>
      </c>
      <c r="D395" s="1" t="s">
        <v>7</v>
      </c>
      <c r="E395" s="1">
        <v>48031.65</v>
      </c>
      <c r="F395" s="1">
        <v>182375</v>
      </c>
      <c r="G395">
        <v>0.2633675119945168</v>
      </c>
    </row>
    <row r="396" spans="1:7" x14ac:dyDescent="0.35">
      <c r="A396">
        <v>2011</v>
      </c>
      <c r="B396" s="1" t="s">
        <v>90</v>
      </c>
      <c r="C396" s="1" t="s">
        <v>91</v>
      </c>
      <c r="D396" s="1" t="s">
        <v>8</v>
      </c>
      <c r="E396" s="1">
        <v>13973.71</v>
      </c>
      <c r="F396" s="1">
        <v>182375</v>
      </c>
      <c r="G396">
        <v>7.6620753941055511E-2</v>
      </c>
    </row>
    <row r="397" spans="1:7" x14ac:dyDescent="0.35">
      <c r="A397">
        <v>2011</v>
      </c>
      <c r="B397" s="1" t="s">
        <v>90</v>
      </c>
      <c r="C397" s="1" t="s">
        <v>91</v>
      </c>
      <c r="D397" s="1" t="s">
        <v>9</v>
      </c>
      <c r="E397" s="1">
        <v>21721.26</v>
      </c>
      <c r="F397" s="1">
        <v>182375</v>
      </c>
      <c r="G397">
        <v>0.1191021795750514</v>
      </c>
    </row>
    <row r="398" spans="1:7" x14ac:dyDescent="0.35">
      <c r="A398">
        <v>2011</v>
      </c>
      <c r="B398" s="1" t="s">
        <v>92</v>
      </c>
      <c r="C398" s="1" t="s">
        <v>93</v>
      </c>
      <c r="D398" s="1" t="s">
        <v>7</v>
      </c>
      <c r="E398" s="1">
        <v>203616.53</v>
      </c>
      <c r="F398" s="1">
        <v>733124</v>
      </c>
      <c r="G398">
        <v>0.27773818617314394</v>
      </c>
    </row>
    <row r="399" spans="1:7" x14ac:dyDescent="0.35">
      <c r="A399">
        <v>2011</v>
      </c>
      <c r="B399" s="1" t="s">
        <v>92</v>
      </c>
      <c r="C399" s="1" t="s">
        <v>93</v>
      </c>
      <c r="D399" s="1" t="s">
        <v>8</v>
      </c>
      <c r="E399" s="1">
        <v>78151.94</v>
      </c>
      <c r="F399" s="1">
        <v>733124</v>
      </c>
      <c r="G399">
        <v>0.10660125708611368</v>
      </c>
    </row>
    <row r="400" spans="1:7" x14ac:dyDescent="0.35">
      <c r="A400">
        <v>2011</v>
      </c>
      <c r="B400" s="1" t="s">
        <v>92</v>
      </c>
      <c r="C400" s="1" t="s">
        <v>93</v>
      </c>
      <c r="D400" s="1" t="s">
        <v>9</v>
      </c>
      <c r="E400" s="1">
        <v>85222.83</v>
      </c>
      <c r="F400" s="1">
        <v>733124</v>
      </c>
      <c r="G400">
        <v>0.11624613298705266</v>
      </c>
    </row>
    <row r="401" spans="1:7" x14ac:dyDescent="0.35">
      <c r="A401">
        <v>2011</v>
      </c>
      <c r="B401" s="1" t="s">
        <v>94</v>
      </c>
      <c r="C401" s="1" t="s">
        <v>95</v>
      </c>
      <c r="D401" s="1" t="s">
        <v>7</v>
      </c>
      <c r="E401" s="1">
        <v>48945.94</v>
      </c>
      <c r="F401" s="1">
        <v>193557</v>
      </c>
      <c r="G401">
        <v>0.25287610368005292</v>
      </c>
    </row>
    <row r="402" spans="1:7" x14ac:dyDescent="0.35">
      <c r="A402">
        <v>2011</v>
      </c>
      <c r="B402" s="1" t="s">
        <v>94</v>
      </c>
      <c r="C402" s="1" t="s">
        <v>95</v>
      </c>
      <c r="D402" s="1" t="s">
        <v>8</v>
      </c>
      <c r="E402" s="1">
        <v>15497.71</v>
      </c>
      <c r="F402" s="1">
        <v>193557</v>
      </c>
      <c r="G402">
        <v>8.0067938643397035E-2</v>
      </c>
    </row>
    <row r="403" spans="1:7" x14ac:dyDescent="0.35">
      <c r="A403">
        <v>2011</v>
      </c>
      <c r="B403" s="1" t="s">
        <v>94</v>
      </c>
      <c r="C403" s="1" t="s">
        <v>95</v>
      </c>
      <c r="D403" s="1" t="s">
        <v>9</v>
      </c>
      <c r="E403" s="1">
        <v>24623.17</v>
      </c>
      <c r="F403" s="1">
        <v>193557</v>
      </c>
      <c r="G403">
        <v>0.12721405064141311</v>
      </c>
    </row>
    <row r="404" spans="1:7" x14ac:dyDescent="0.35">
      <c r="A404">
        <v>2011</v>
      </c>
      <c r="B404" s="1" t="s">
        <v>96</v>
      </c>
      <c r="C404" s="1" t="s">
        <v>97</v>
      </c>
      <c r="D404" s="1" t="s">
        <v>7</v>
      </c>
      <c r="E404" s="1">
        <v>293176.21999999997</v>
      </c>
      <c r="F404" s="1">
        <v>1045146</v>
      </c>
      <c r="G404">
        <v>0.28051221551821465</v>
      </c>
    </row>
    <row r="405" spans="1:7" x14ac:dyDescent="0.35">
      <c r="A405">
        <v>2011</v>
      </c>
      <c r="B405" s="1" t="s">
        <v>96</v>
      </c>
      <c r="C405" s="1" t="s">
        <v>97</v>
      </c>
      <c r="D405" s="1" t="s">
        <v>8</v>
      </c>
      <c r="E405" s="1">
        <v>109203.39</v>
      </c>
      <c r="F405" s="1">
        <v>1045146</v>
      </c>
      <c r="G405">
        <v>0.10448625359519148</v>
      </c>
    </row>
    <row r="406" spans="1:7" x14ac:dyDescent="0.35">
      <c r="A406">
        <v>2011</v>
      </c>
      <c r="B406" s="1" t="s">
        <v>96</v>
      </c>
      <c r="C406" s="1" t="s">
        <v>97</v>
      </c>
      <c r="D406" s="1" t="s">
        <v>9</v>
      </c>
      <c r="E406" s="1">
        <v>147301.01999999999</v>
      </c>
      <c r="F406" s="1">
        <v>1045146</v>
      </c>
      <c r="G406">
        <v>0.14093822298511402</v>
      </c>
    </row>
    <row r="407" spans="1:7" x14ac:dyDescent="0.35">
      <c r="A407">
        <v>2011</v>
      </c>
      <c r="B407" s="1" t="s">
        <v>98</v>
      </c>
      <c r="C407" s="1" t="s">
        <v>99</v>
      </c>
      <c r="D407" s="1" t="s">
        <v>7</v>
      </c>
      <c r="E407" s="1">
        <v>276653.99</v>
      </c>
      <c r="F407" s="1">
        <v>1099269</v>
      </c>
      <c r="G407">
        <v>0.25167087400809085</v>
      </c>
    </row>
    <row r="408" spans="1:7" x14ac:dyDescent="0.35">
      <c r="A408">
        <v>2011</v>
      </c>
      <c r="B408" s="1" t="s">
        <v>98</v>
      </c>
      <c r="C408" s="1" t="s">
        <v>99</v>
      </c>
      <c r="D408" s="1" t="s">
        <v>8</v>
      </c>
      <c r="E408" s="1">
        <v>97064.54</v>
      </c>
      <c r="F408" s="1">
        <v>1099269</v>
      </c>
      <c r="G408">
        <v>8.8299169720969115E-2</v>
      </c>
    </row>
    <row r="409" spans="1:7" x14ac:dyDescent="0.35">
      <c r="A409">
        <v>2011</v>
      </c>
      <c r="B409" s="1" t="s">
        <v>98</v>
      </c>
      <c r="C409" s="1" t="s">
        <v>99</v>
      </c>
      <c r="D409" s="1" t="s">
        <v>9</v>
      </c>
      <c r="E409" s="1">
        <v>158788.6</v>
      </c>
      <c r="F409" s="1">
        <v>1099269</v>
      </c>
      <c r="G409">
        <v>0.14444926583029269</v>
      </c>
    </row>
    <row r="410" spans="1:7" x14ac:dyDescent="0.35">
      <c r="A410">
        <v>2011</v>
      </c>
      <c r="B410" s="1" t="s">
        <v>100</v>
      </c>
      <c r="C410" s="1" t="s">
        <v>101</v>
      </c>
      <c r="D410" s="1" t="s">
        <v>7</v>
      </c>
      <c r="E410" s="1">
        <v>176887.93</v>
      </c>
      <c r="F410" s="1">
        <v>753056</v>
      </c>
      <c r="G410">
        <v>0.23489346077848128</v>
      </c>
    </row>
    <row r="411" spans="1:7" x14ac:dyDescent="0.35">
      <c r="A411">
        <v>2011</v>
      </c>
      <c r="B411" s="1" t="s">
        <v>100</v>
      </c>
      <c r="C411" s="1" t="s">
        <v>101</v>
      </c>
      <c r="D411" s="1" t="s">
        <v>8</v>
      </c>
      <c r="E411" s="1">
        <v>103028.86</v>
      </c>
      <c r="F411" s="1">
        <v>753056</v>
      </c>
      <c r="G411">
        <v>0.13681434050057367</v>
      </c>
    </row>
    <row r="412" spans="1:7" x14ac:dyDescent="0.35">
      <c r="A412">
        <v>2011</v>
      </c>
      <c r="B412" s="1" t="s">
        <v>100</v>
      </c>
      <c r="C412" s="1" t="s">
        <v>101</v>
      </c>
      <c r="D412" s="1" t="s">
        <v>9</v>
      </c>
      <c r="E412" s="1">
        <v>119802.55</v>
      </c>
      <c r="F412" s="1">
        <v>753056</v>
      </c>
      <c r="G412">
        <v>0.15908850072238984</v>
      </c>
    </row>
    <row r="413" spans="1:7" x14ac:dyDescent="0.35">
      <c r="A413">
        <v>2011</v>
      </c>
      <c r="B413" s="1" t="s">
        <v>102</v>
      </c>
      <c r="C413" s="1" t="s">
        <v>103</v>
      </c>
      <c r="D413" s="1" t="s">
        <v>7</v>
      </c>
      <c r="E413" s="1">
        <v>99566.48</v>
      </c>
      <c r="F413" s="1">
        <v>378830</v>
      </c>
      <c r="G413">
        <v>0.26282628091756194</v>
      </c>
    </row>
    <row r="414" spans="1:7" x14ac:dyDescent="0.35">
      <c r="A414">
        <v>2011</v>
      </c>
      <c r="B414" s="1" t="s">
        <v>102</v>
      </c>
      <c r="C414" s="1" t="s">
        <v>103</v>
      </c>
      <c r="D414" s="1" t="s">
        <v>8</v>
      </c>
      <c r="E414" s="1">
        <v>31930.11</v>
      </c>
      <c r="F414" s="1">
        <v>378830</v>
      </c>
      <c r="G414">
        <v>8.4286117783702458E-2</v>
      </c>
    </row>
    <row r="415" spans="1:7" x14ac:dyDescent="0.35">
      <c r="A415">
        <v>2011</v>
      </c>
      <c r="B415" s="1" t="s">
        <v>102</v>
      </c>
      <c r="C415" s="1" t="s">
        <v>103</v>
      </c>
      <c r="D415" s="1" t="s">
        <v>9</v>
      </c>
      <c r="E415" s="1">
        <v>59089.91</v>
      </c>
      <c r="F415" s="1">
        <v>378830</v>
      </c>
      <c r="G415">
        <v>0.15598001742206269</v>
      </c>
    </row>
    <row r="416" spans="1:7" x14ac:dyDescent="0.35">
      <c r="A416">
        <v>2011</v>
      </c>
      <c r="B416" s="1" t="s">
        <v>104</v>
      </c>
      <c r="C416" s="1" t="s">
        <v>105</v>
      </c>
      <c r="D416" s="1" t="s">
        <v>7</v>
      </c>
      <c r="E416" s="1">
        <v>136441.35</v>
      </c>
      <c r="F416" s="1">
        <v>541302</v>
      </c>
      <c r="G416">
        <v>0.25206141857964687</v>
      </c>
    </row>
    <row r="417" spans="1:7" x14ac:dyDescent="0.35">
      <c r="A417">
        <v>2011</v>
      </c>
      <c r="B417" s="1" t="s">
        <v>104</v>
      </c>
      <c r="C417" s="1" t="s">
        <v>105</v>
      </c>
      <c r="D417" s="1" t="s">
        <v>8</v>
      </c>
      <c r="E417" s="1">
        <v>65975.360000000001</v>
      </c>
      <c r="F417" s="1">
        <v>541302</v>
      </c>
      <c r="G417">
        <v>0.12188271981259999</v>
      </c>
    </row>
    <row r="418" spans="1:7" x14ac:dyDescent="0.35">
      <c r="A418">
        <v>2011</v>
      </c>
      <c r="B418" s="1" t="s">
        <v>104</v>
      </c>
      <c r="C418" s="1" t="s">
        <v>105</v>
      </c>
      <c r="D418" s="1" t="s">
        <v>9</v>
      </c>
      <c r="E418" s="1">
        <v>78050.929999999993</v>
      </c>
      <c r="F418" s="1">
        <v>541302</v>
      </c>
      <c r="G418">
        <v>0.14419109849954367</v>
      </c>
    </row>
    <row r="419" spans="1:7" x14ac:dyDescent="0.35">
      <c r="A419">
        <v>2021</v>
      </c>
      <c r="B419" s="1" t="s">
        <v>5</v>
      </c>
      <c r="C419" s="1" t="s">
        <v>6</v>
      </c>
      <c r="D419" s="1" t="s">
        <v>7</v>
      </c>
      <c r="E419" s="1">
        <v>124554.16</v>
      </c>
      <c r="F419" s="1">
        <v>663202</v>
      </c>
      <c r="G419">
        <v>0.18780727440508321</v>
      </c>
    </row>
    <row r="420" spans="1:7" x14ac:dyDescent="0.35">
      <c r="A420">
        <v>2021</v>
      </c>
      <c r="B420" s="1" t="s">
        <v>5</v>
      </c>
      <c r="C420" s="1" t="s">
        <v>6</v>
      </c>
      <c r="D420" s="1" t="s">
        <v>8</v>
      </c>
      <c r="E420" s="1">
        <v>56469.61</v>
      </c>
      <c r="F420" s="1">
        <v>663202</v>
      </c>
      <c r="G420">
        <v>8.5146923561750423E-2</v>
      </c>
    </row>
    <row r="421" spans="1:7" x14ac:dyDescent="0.35">
      <c r="A421">
        <v>2021</v>
      </c>
      <c r="B421" s="1" t="s">
        <v>5</v>
      </c>
      <c r="C421" s="1" t="s">
        <v>6</v>
      </c>
      <c r="D421" s="1" t="s">
        <v>9</v>
      </c>
      <c r="E421" s="1">
        <v>152999.14000000001</v>
      </c>
      <c r="F421" s="1">
        <v>663202</v>
      </c>
      <c r="G421">
        <v>0.23069764566451853</v>
      </c>
    </row>
    <row r="422" spans="1:7" x14ac:dyDescent="0.35">
      <c r="A422">
        <v>2021</v>
      </c>
      <c r="B422" s="1" t="s">
        <v>104</v>
      </c>
      <c r="C422" s="1" t="s">
        <v>105</v>
      </c>
      <c r="D422" s="1" t="s">
        <v>7</v>
      </c>
      <c r="E422" s="1">
        <v>115633.51</v>
      </c>
      <c r="F422" s="1">
        <v>527468</v>
      </c>
      <c r="G422">
        <v>0.2192237443788059</v>
      </c>
    </row>
    <row r="423" spans="1:7" x14ac:dyDescent="0.35">
      <c r="A423">
        <v>2021</v>
      </c>
      <c r="B423" s="1" t="s">
        <v>104</v>
      </c>
      <c r="C423" s="1" t="s">
        <v>105</v>
      </c>
      <c r="D423" s="1" t="s">
        <v>8</v>
      </c>
      <c r="E423" s="1">
        <v>63343.21</v>
      </c>
      <c r="F423" s="1">
        <v>527468</v>
      </c>
      <c r="G423">
        <v>0.1200891997239643</v>
      </c>
    </row>
    <row r="424" spans="1:7" x14ac:dyDescent="0.35">
      <c r="A424">
        <v>2021</v>
      </c>
      <c r="B424" s="1" t="s">
        <v>104</v>
      </c>
      <c r="C424" s="1" t="s">
        <v>105</v>
      </c>
      <c r="D424" s="1" t="s">
        <v>9</v>
      </c>
      <c r="E424" s="1">
        <v>115657.4</v>
      </c>
      <c r="F424" s="1">
        <v>527468</v>
      </c>
      <c r="G424">
        <v>0.21926903622589425</v>
      </c>
    </row>
    <row r="425" spans="1:7" x14ac:dyDescent="0.35">
      <c r="A425">
        <v>2021</v>
      </c>
      <c r="B425" s="1" t="s">
        <v>10</v>
      </c>
      <c r="C425" s="1" t="s">
        <v>11</v>
      </c>
      <c r="D425" s="1" t="s">
        <v>7</v>
      </c>
      <c r="E425" s="1">
        <v>79474.22</v>
      </c>
      <c r="F425" s="1">
        <v>334872</v>
      </c>
      <c r="G425">
        <v>0.23732715783941327</v>
      </c>
    </row>
    <row r="426" spans="1:7" x14ac:dyDescent="0.35">
      <c r="A426">
        <v>2021</v>
      </c>
      <c r="B426" s="1" t="s">
        <v>10</v>
      </c>
      <c r="C426" s="1" t="s">
        <v>11</v>
      </c>
      <c r="D426" s="1" t="s">
        <v>8</v>
      </c>
      <c r="E426" s="1">
        <v>37628.65</v>
      </c>
      <c r="F426" s="1">
        <v>334872</v>
      </c>
      <c r="G426">
        <v>0.11236726271530616</v>
      </c>
    </row>
    <row r="427" spans="1:7" x14ac:dyDescent="0.35">
      <c r="A427">
        <v>2021</v>
      </c>
      <c r="B427" s="1" t="s">
        <v>10</v>
      </c>
      <c r="C427" s="1" t="s">
        <v>11</v>
      </c>
      <c r="D427" s="1" t="s">
        <v>9</v>
      </c>
      <c r="E427" s="1">
        <v>72968.160000000003</v>
      </c>
      <c r="F427" s="1">
        <v>334872</v>
      </c>
      <c r="G427">
        <v>0.21789865978642586</v>
      </c>
    </row>
    <row r="428" spans="1:7" x14ac:dyDescent="0.35">
      <c r="A428">
        <v>2011</v>
      </c>
      <c r="B428" s="1" t="s">
        <v>106</v>
      </c>
      <c r="C428" s="1" t="s">
        <v>107</v>
      </c>
      <c r="D428" s="1" t="s">
        <v>7</v>
      </c>
      <c r="E428" s="1">
        <v>687770.86</v>
      </c>
      <c r="F428" s="1">
        <v>2579208</v>
      </c>
      <c r="G428">
        <v>0.26665971104307989</v>
      </c>
    </row>
    <row r="429" spans="1:7" x14ac:dyDescent="0.35">
      <c r="A429">
        <v>2011</v>
      </c>
      <c r="B429" s="1" t="s">
        <v>106</v>
      </c>
      <c r="C429" s="1" t="s">
        <v>107</v>
      </c>
      <c r="D429" s="1" t="s">
        <v>8</v>
      </c>
      <c r="E429" s="1">
        <v>432408.52</v>
      </c>
      <c r="F429" s="1">
        <v>2579208</v>
      </c>
      <c r="G429">
        <v>0.16765166671319259</v>
      </c>
    </row>
    <row r="430" spans="1:7" x14ac:dyDescent="0.35">
      <c r="A430">
        <v>2011</v>
      </c>
      <c r="B430" s="1" t="s">
        <v>106</v>
      </c>
      <c r="C430" s="1" t="s">
        <v>107</v>
      </c>
      <c r="D430" s="1" t="s">
        <v>9</v>
      </c>
      <c r="E430" s="1">
        <v>267488.21000000002</v>
      </c>
      <c r="F430" s="1">
        <v>2579208</v>
      </c>
      <c r="G430">
        <v>0.10370943716055472</v>
      </c>
    </row>
    <row r="431" spans="1:7" x14ac:dyDescent="0.35">
      <c r="A431">
        <v>2021</v>
      </c>
      <c r="B431" s="1" t="s">
        <v>200</v>
      </c>
      <c r="C431" s="1" t="s">
        <v>201</v>
      </c>
      <c r="D431" s="1" t="s">
        <v>7</v>
      </c>
      <c r="E431" s="1">
        <v>55036.09</v>
      </c>
      <c r="F431" s="1">
        <v>166077</v>
      </c>
      <c r="G431">
        <v>0.33138899426169788</v>
      </c>
    </row>
    <row r="432" spans="1:7" x14ac:dyDescent="0.35">
      <c r="A432">
        <v>2021</v>
      </c>
      <c r="B432" s="1" t="s">
        <v>200</v>
      </c>
      <c r="C432" s="1" t="s">
        <v>201</v>
      </c>
      <c r="D432" s="1" t="s">
        <v>8</v>
      </c>
      <c r="E432" s="1">
        <v>14472.75</v>
      </c>
      <c r="F432" s="1">
        <v>166077</v>
      </c>
      <c r="G432">
        <v>8.7144818367383803E-2</v>
      </c>
    </row>
    <row r="433" spans="1:7" x14ac:dyDescent="0.35">
      <c r="A433">
        <v>2021</v>
      </c>
      <c r="B433" s="1" t="s">
        <v>200</v>
      </c>
      <c r="C433" s="1" t="s">
        <v>201</v>
      </c>
      <c r="D433" s="1" t="s">
        <v>9</v>
      </c>
      <c r="E433" s="1">
        <v>44422.43</v>
      </c>
      <c r="F433" s="1">
        <v>166077</v>
      </c>
      <c r="G433">
        <v>0.26748092752157132</v>
      </c>
    </row>
    <row r="434" spans="1:7" x14ac:dyDescent="0.35">
      <c r="A434">
        <v>2021</v>
      </c>
      <c r="B434" s="1" t="s">
        <v>202</v>
      </c>
      <c r="C434" s="1" t="s">
        <v>203</v>
      </c>
      <c r="D434" s="1" t="s">
        <v>7</v>
      </c>
      <c r="E434" s="1">
        <v>39409.379999999997</v>
      </c>
      <c r="F434" s="1">
        <v>140976</v>
      </c>
      <c r="G434">
        <v>0.27954673135852909</v>
      </c>
    </row>
    <row r="435" spans="1:7" x14ac:dyDescent="0.35">
      <c r="A435">
        <v>2021</v>
      </c>
      <c r="B435" s="1" t="s">
        <v>202</v>
      </c>
      <c r="C435" s="1" t="s">
        <v>203</v>
      </c>
      <c r="D435" s="1" t="s">
        <v>8</v>
      </c>
      <c r="E435" s="1">
        <v>15813.09</v>
      </c>
      <c r="F435" s="1">
        <v>140976</v>
      </c>
      <c r="G435">
        <v>0.11216866700715016</v>
      </c>
    </row>
    <row r="436" spans="1:7" x14ac:dyDescent="0.35">
      <c r="A436">
        <v>2021</v>
      </c>
      <c r="B436" s="1" t="s">
        <v>202</v>
      </c>
      <c r="C436" s="1" t="s">
        <v>203</v>
      </c>
      <c r="D436" s="1" t="s">
        <v>9</v>
      </c>
      <c r="E436" s="1">
        <v>31911.31</v>
      </c>
      <c r="F436" s="1">
        <v>140976</v>
      </c>
      <c r="G436">
        <v>0.22635987685847236</v>
      </c>
    </row>
    <row r="437" spans="1:7" x14ac:dyDescent="0.35">
      <c r="A437">
        <v>2021</v>
      </c>
      <c r="B437" s="1" t="s">
        <v>204</v>
      </c>
      <c r="C437" s="1" t="s">
        <v>205</v>
      </c>
      <c r="D437" s="1" t="s">
        <v>7</v>
      </c>
      <c r="E437" s="1">
        <v>411601.1</v>
      </c>
      <c r="F437" s="1">
        <v>1103941</v>
      </c>
      <c r="G437">
        <v>0.37284700903399726</v>
      </c>
    </row>
    <row r="438" spans="1:7" x14ac:dyDescent="0.35">
      <c r="A438">
        <v>2021</v>
      </c>
      <c r="B438" s="1" t="s">
        <v>204</v>
      </c>
      <c r="C438" s="1" t="s">
        <v>205</v>
      </c>
      <c r="D438" s="1" t="s">
        <v>8</v>
      </c>
      <c r="E438" s="1">
        <v>158508.68</v>
      </c>
      <c r="F438" s="1">
        <v>1103941</v>
      </c>
      <c r="G438">
        <v>0.14358437633895288</v>
      </c>
    </row>
    <row r="439" spans="1:7" x14ac:dyDescent="0.35">
      <c r="A439">
        <v>2021</v>
      </c>
      <c r="B439" s="1" t="s">
        <v>204</v>
      </c>
      <c r="C439" s="1" t="s">
        <v>205</v>
      </c>
      <c r="D439" s="1" t="s">
        <v>9</v>
      </c>
      <c r="E439" s="1">
        <v>188231.37</v>
      </c>
      <c r="F439" s="1">
        <v>1103941</v>
      </c>
      <c r="G439">
        <v>0.17050854167025231</v>
      </c>
    </row>
    <row r="440" spans="1:7" x14ac:dyDescent="0.35">
      <c r="A440">
        <v>2011</v>
      </c>
      <c r="B440" s="1" t="s">
        <v>108</v>
      </c>
      <c r="C440" s="1" t="s">
        <v>109</v>
      </c>
      <c r="D440" s="1" t="s">
        <v>7</v>
      </c>
      <c r="E440" s="1">
        <v>242394.34</v>
      </c>
      <c r="F440" s="1">
        <v>805642</v>
      </c>
      <c r="G440">
        <v>0.30087103204649213</v>
      </c>
    </row>
    <row r="441" spans="1:7" x14ac:dyDescent="0.35">
      <c r="A441">
        <v>2011</v>
      </c>
      <c r="B441" s="1" t="s">
        <v>108</v>
      </c>
      <c r="C441" s="1" t="s">
        <v>109</v>
      </c>
      <c r="D441" s="1" t="s">
        <v>8</v>
      </c>
      <c r="E441" s="1">
        <v>107804.15</v>
      </c>
      <c r="F441" s="1">
        <v>805642</v>
      </c>
      <c r="G441">
        <v>0.13381148202303256</v>
      </c>
    </row>
    <row r="442" spans="1:7" x14ac:dyDescent="0.35">
      <c r="A442">
        <v>2011</v>
      </c>
      <c r="B442" s="1" t="s">
        <v>108</v>
      </c>
      <c r="C442" s="1" t="s">
        <v>109</v>
      </c>
      <c r="D442" s="1" t="s">
        <v>9</v>
      </c>
      <c r="E442" s="1">
        <v>136034.87</v>
      </c>
      <c r="F442" s="1">
        <v>805642</v>
      </c>
      <c r="G442">
        <v>0.16885275345624978</v>
      </c>
    </row>
    <row r="443" spans="1:7" x14ac:dyDescent="0.35">
      <c r="A443">
        <v>2021</v>
      </c>
      <c r="B443" s="1" t="s">
        <v>12</v>
      </c>
      <c r="C443" s="1" t="s">
        <v>13</v>
      </c>
      <c r="D443" s="1" t="s">
        <v>7</v>
      </c>
      <c r="E443" s="1">
        <v>76392.06</v>
      </c>
      <c r="F443" s="1">
        <v>331415</v>
      </c>
      <c r="G443">
        <v>0.23050272317185402</v>
      </c>
    </row>
    <row r="444" spans="1:7" x14ac:dyDescent="0.35">
      <c r="A444">
        <v>2021</v>
      </c>
      <c r="B444" s="1" t="s">
        <v>12</v>
      </c>
      <c r="C444" s="1" t="s">
        <v>13</v>
      </c>
      <c r="D444" s="1" t="s">
        <v>8</v>
      </c>
      <c r="E444" s="1">
        <v>30735</v>
      </c>
      <c r="F444" s="1">
        <v>331415</v>
      </c>
      <c r="G444">
        <v>9.2738711283436179E-2</v>
      </c>
    </row>
    <row r="445" spans="1:7" x14ac:dyDescent="0.35">
      <c r="A445">
        <v>2021</v>
      </c>
      <c r="B445" s="1" t="s">
        <v>12</v>
      </c>
      <c r="C445" s="1" t="s">
        <v>13</v>
      </c>
      <c r="D445" s="1" t="s">
        <v>9</v>
      </c>
      <c r="E445" s="1">
        <v>81247.06</v>
      </c>
      <c r="F445" s="1">
        <v>331415</v>
      </c>
      <c r="G445">
        <v>0.24515202993226015</v>
      </c>
    </row>
    <row r="446" spans="1:7" x14ac:dyDescent="0.35">
      <c r="A446">
        <v>2021</v>
      </c>
      <c r="B446" s="1" t="s">
        <v>84</v>
      </c>
      <c r="C446" s="1" t="s">
        <v>85</v>
      </c>
      <c r="D446" s="1" t="s">
        <v>7</v>
      </c>
      <c r="E446" s="1">
        <v>60757.49</v>
      </c>
      <c r="F446" s="1">
        <v>268859</v>
      </c>
      <c r="G446">
        <v>0.22598272700560515</v>
      </c>
    </row>
    <row r="447" spans="1:7" x14ac:dyDescent="0.35">
      <c r="A447">
        <v>2021</v>
      </c>
      <c r="B447" s="1" t="s">
        <v>84</v>
      </c>
      <c r="C447" s="1" t="s">
        <v>85</v>
      </c>
      <c r="D447" s="1" t="s">
        <v>8</v>
      </c>
      <c r="E447" s="1">
        <v>31091.68</v>
      </c>
      <c r="F447" s="1">
        <v>268859</v>
      </c>
      <c r="G447">
        <v>0.11564306941556726</v>
      </c>
    </row>
    <row r="448" spans="1:7" x14ac:dyDescent="0.35">
      <c r="A448">
        <v>2021</v>
      </c>
      <c r="B448" s="1" t="s">
        <v>84</v>
      </c>
      <c r="C448" s="1" t="s">
        <v>85</v>
      </c>
      <c r="D448" s="1" t="s">
        <v>9</v>
      </c>
      <c r="E448" s="1">
        <v>57274.6</v>
      </c>
      <c r="F448" s="1">
        <v>268859</v>
      </c>
      <c r="G448">
        <v>0.21302839034586901</v>
      </c>
    </row>
    <row r="449" spans="1:7" x14ac:dyDescent="0.35">
      <c r="A449">
        <v>2021</v>
      </c>
      <c r="B449" s="1" t="s">
        <v>164</v>
      </c>
      <c r="C449" s="1" t="s">
        <v>165</v>
      </c>
      <c r="D449" s="1" t="s">
        <v>7</v>
      </c>
      <c r="E449" s="1">
        <v>39686.589999999997</v>
      </c>
      <c r="F449" s="1">
        <v>154596</v>
      </c>
      <c r="G449">
        <v>0.25671162255168306</v>
      </c>
    </row>
    <row r="450" spans="1:7" x14ac:dyDescent="0.35">
      <c r="A450">
        <v>2021</v>
      </c>
      <c r="B450" s="1" t="s">
        <v>164</v>
      </c>
      <c r="C450" s="1" t="s">
        <v>165</v>
      </c>
      <c r="D450" s="1" t="s">
        <v>8</v>
      </c>
      <c r="E450" s="1">
        <v>11554.53</v>
      </c>
      <c r="F450" s="1">
        <v>154596</v>
      </c>
      <c r="G450">
        <v>7.47401614530777E-2</v>
      </c>
    </row>
    <row r="451" spans="1:7" x14ac:dyDescent="0.35">
      <c r="A451">
        <v>2021</v>
      </c>
      <c r="B451" s="1" t="s">
        <v>164</v>
      </c>
      <c r="C451" s="1" t="s">
        <v>165</v>
      </c>
      <c r="D451" s="1" t="s">
        <v>9</v>
      </c>
      <c r="E451" s="1">
        <v>49936.29</v>
      </c>
      <c r="F451" s="1">
        <v>154596</v>
      </c>
      <c r="G451">
        <v>0.32301152681828765</v>
      </c>
    </row>
    <row r="452" spans="1:7" x14ac:dyDescent="0.35">
      <c r="A452">
        <v>2011</v>
      </c>
      <c r="B452" s="1" t="s">
        <v>110</v>
      </c>
      <c r="C452" s="1" t="s">
        <v>111</v>
      </c>
      <c r="D452" s="1" t="s">
        <v>7</v>
      </c>
      <c r="E452" s="1">
        <v>440185.87</v>
      </c>
      <c r="F452" s="1">
        <v>1462807</v>
      </c>
      <c r="G452">
        <v>0.30091862426143706</v>
      </c>
    </row>
    <row r="453" spans="1:7" x14ac:dyDescent="0.35">
      <c r="A453">
        <v>2011</v>
      </c>
      <c r="B453" s="1" t="s">
        <v>110</v>
      </c>
      <c r="C453" s="1" t="s">
        <v>111</v>
      </c>
      <c r="D453" s="1" t="s">
        <v>8</v>
      </c>
      <c r="E453" s="1">
        <v>279912.13</v>
      </c>
      <c r="F453" s="1">
        <v>1462807</v>
      </c>
      <c r="G453">
        <v>0.19135274168089161</v>
      </c>
    </row>
    <row r="454" spans="1:7" x14ac:dyDescent="0.35">
      <c r="A454">
        <v>2011</v>
      </c>
      <c r="B454" s="1" t="s">
        <v>110</v>
      </c>
      <c r="C454" s="1" t="s">
        <v>111</v>
      </c>
      <c r="D454" s="1" t="s">
        <v>9</v>
      </c>
      <c r="E454" s="1">
        <v>207610.45</v>
      </c>
      <c r="F454" s="1">
        <v>1462807</v>
      </c>
      <c r="G454">
        <v>0.14192607090340695</v>
      </c>
    </row>
    <row r="455" spans="1:7" x14ac:dyDescent="0.35">
      <c r="A455">
        <v>2021</v>
      </c>
      <c r="B455" s="1" t="s">
        <v>86</v>
      </c>
      <c r="C455" s="1" t="s">
        <v>87</v>
      </c>
      <c r="D455" s="1" t="s">
        <v>7</v>
      </c>
      <c r="E455" s="1">
        <v>76612.81</v>
      </c>
      <c r="F455" s="1">
        <v>311329</v>
      </c>
      <c r="G455">
        <v>0.246083114647206</v>
      </c>
    </row>
    <row r="456" spans="1:7" x14ac:dyDescent="0.35">
      <c r="A456">
        <v>2021</v>
      </c>
      <c r="B456" s="1" t="s">
        <v>86</v>
      </c>
      <c r="C456" s="1" t="s">
        <v>87</v>
      </c>
      <c r="D456" s="1" t="s">
        <v>8</v>
      </c>
      <c r="E456" s="1">
        <v>38660.01</v>
      </c>
      <c r="F456" s="1">
        <v>311329</v>
      </c>
      <c r="G456">
        <v>0.12417734936353504</v>
      </c>
    </row>
    <row r="457" spans="1:7" x14ac:dyDescent="0.35">
      <c r="A457">
        <v>2021</v>
      </c>
      <c r="B457" s="1" t="s">
        <v>86</v>
      </c>
      <c r="C457" s="1" t="s">
        <v>87</v>
      </c>
      <c r="D457" s="1" t="s">
        <v>9</v>
      </c>
      <c r="E457" s="1">
        <v>44316.9</v>
      </c>
      <c r="F457" s="1">
        <v>311329</v>
      </c>
      <c r="G457">
        <v>0.14234748449389553</v>
      </c>
    </row>
    <row r="458" spans="1:7" x14ac:dyDescent="0.35">
      <c r="A458">
        <v>2021</v>
      </c>
      <c r="B458" s="1" t="s">
        <v>166</v>
      </c>
      <c r="C458" s="1" t="s">
        <v>167</v>
      </c>
      <c r="D458" s="1" t="s">
        <v>7</v>
      </c>
      <c r="E458" s="1">
        <v>119468.5</v>
      </c>
      <c r="F458" s="1">
        <v>376028</v>
      </c>
      <c r="G458">
        <v>0.31771171295754569</v>
      </c>
    </row>
    <row r="459" spans="1:7" x14ac:dyDescent="0.35">
      <c r="A459">
        <v>2021</v>
      </c>
      <c r="B459" s="1" t="s">
        <v>166</v>
      </c>
      <c r="C459" s="1" t="s">
        <v>167</v>
      </c>
      <c r="D459" s="1" t="s">
        <v>8</v>
      </c>
      <c r="E459" s="1">
        <v>37838.93</v>
      </c>
      <c r="F459" s="1">
        <v>376028</v>
      </c>
      <c r="G459">
        <v>0.10062795855627772</v>
      </c>
    </row>
    <row r="460" spans="1:7" x14ac:dyDescent="0.35">
      <c r="A460">
        <v>2021</v>
      </c>
      <c r="B460" s="1" t="s">
        <v>166</v>
      </c>
      <c r="C460" s="1" t="s">
        <v>167</v>
      </c>
      <c r="D460" s="1" t="s">
        <v>9</v>
      </c>
      <c r="E460" s="1">
        <v>81732.42</v>
      </c>
      <c r="F460" s="1">
        <v>376028</v>
      </c>
      <c r="G460">
        <v>0.2173572712670333</v>
      </c>
    </row>
    <row r="461" spans="1:7" x14ac:dyDescent="0.35">
      <c r="A461">
        <v>2021</v>
      </c>
      <c r="B461" s="1" t="s">
        <v>168</v>
      </c>
      <c r="C461" s="1" t="s">
        <v>169</v>
      </c>
      <c r="D461" s="1" t="s">
        <v>7</v>
      </c>
      <c r="E461" s="1">
        <v>63651.34</v>
      </c>
      <c r="F461" s="1">
        <v>279649</v>
      </c>
      <c r="G461">
        <v>0.22761154161109104</v>
      </c>
    </row>
    <row r="462" spans="1:7" x14ac:dyDescent="0.35">
      <c r="A462">
        <v>2021</v>
      </c>
      <c r="B462" s="1" t="s">
        <v>168</v>
      </c>
      <c r="C462" s="1" t="s">
        <v>169</v>
      </c>
      <c r="D462" s="1" t="s">
        <v>8</v>
      </c>
      <c r="E462" s="1">
        <v>28968.27</v>
      </c>
      <c r="F462" s="1">
        <v>279649</v>
      </c>
      <c r="G462">
        <v>0.10358796205243001</v>
      </c>
    </row>
    <row r="463" spans="1:7" x14ac:dyDescent="0.35">
      <c r="A463">
        <v>2021</v>
      </c>
      <c r="B463" s="1" t="s">
        <v>168</v>
      </c>
      <c r="C463" s="1" t="s">
        <v>169</v>
      </c>
      <c r="D463" s="1" t="s">
        <v>9</v>
      </c>
      <c r="E463" s="1">
        <v>60210.86</v>
      </c>
      <c r="F463" s="1">
        <v>279649</v>
      </c>
      <c r="G463">
        <v>0.21530869053706611</v>
      </c>
    </row>
    <row r="464" spans="1:7" x14ac:dyDescent="0.35">
      <c r="A464">
        <v>2011</v>
      </c>
      <c r="B464" s="1" t="s">
        <v>112</v>
      </c>
      <c r="C464" s="1" t="s">
        <v>113</v>
      </c>
      <c r="D464" s="1" t="s">
        <v>7</v>
      </c>
      <c r="E464" s="1">
        <v>166040.26999999999</v>
      </c>
      <c r="F464" s="1">
        <v>571211</v>
      </c>
      <c r="G464">
        <v>0.29068114934761408</v>
      </c>
    </row>
    <row r="465" spans="1:7" x14ac:dyDescent="0.35">
      <c r="A465">
        <v>2011</v>
      </c>
      <c r="B465" s="1" t="s">
        <v>112</v>
      </c>
      <c r="C465" s="1" t="s">
        <v>113</v>
      </c>
      <c r="D465" s="1" t="s">
        <v>8</v>
      </c>
      <c r="E465" s="1">
        <v>67873.52</v>
      </c>
      <c r="F465" s="1">
        <v>571211</v>
      </c>
      <c r="G465">
        <v>0.11882390220076294</v>
      </c>
    </row>
    <row r="466" spans="1:7" x14ac:dyDescent="0.35">
      <c r="A466">
        <v>2011</v>
      </c>
      <c r="B466" s="1" t="s">
        <v>112</v>
      </c>
      <c r="C466" s="1" t="s">
        <v>113</v>
      </c>
      <c r="D466" s="1" t="s">
        <v>9</v>
      </c>
      <c r="E466" s="1">
        <v>94293.17</v>
      </c>
      <c r="F466" s="1">
        <v>571211</v>
      </c>
      <c r="G466">
        <v>0.16507590014898171</v>
      </c>
    </row>
    <row r="467" spans="1:7" x14ac:dyDescent="0.35">
      <c r="A467">
        <v>2021</v>
      </c>
      <c r="B467" s="1" t="s">
        <v>206</v>
      </c>
      <c r="C467" s="1" t="s">
        <v>207</v>
      </c>
      <c r="D467" s="1" t="s">
        <v>7</v>
      </c>
      <c r="E467" s="1">
        <v>736176.26</v>
      </c>
      <c r="F467" s="1">
        <v>2056943</v>
      </c>
      <c r="G467">
        <v>0.35789823052947994</v>
      </c>
    </row>
    <row r="468" spans="1:7" x14ac:dyDescent="0.35">
      <c r="A468">
        <v>2021</v>
      </c>
      <c r="B468" s="1" t="s">
        <v>206</v>
      </c>
      <c r="C468" s="1" t="s">
        <v>207</v>
      </c>
      <c r="D468" s="1" t="s">
        <v>8</v>
      </c>
      <c r="E468" s="1">
        <v>144760.95999999999</v>
      </c>
      <c r="F468" s="1">
        <v>2056943</v>
      </c>
      <c r="G468">
        <v>7.0376748407709883E-2</v>
      </c>
    </row>
    <row r="469" spans="1:7" x14ac:dyDescent="0.35">
      <c r="A469">
        <v>2021</v>
      </c>
      <c r="B469" s="1" t="s">
        <v>206</v>
      </c>
      <c r="C469" s="1" t="s">
        <v>207</v>
      </c>
      <c r="D469" s="1" t="s">
        <v>9</v>
      </c>
      <c r="E469" s="1">
        <v>271354.99</v>
      </c>
      <c r="F469" s="1">
        <v>2056943</v>
      </c>
      <c r="G469">
        <v>0.13192149223386354</v>
      </c>
    </row>
    <row r="470" spans="1:7" x14ac:dyDescent="0.35">
      <c r="A470">
        <v>2021</v>
      </c>
      <c r="B470" s="1" t="s">
        <v>130</v>
      </c>
      <c r="C470" s="1" t="s">
        <v>131</v>
      </c>
      <c r="D470" s="1" t="s">
        <v>7</v>
      </c>
      <c r="E470" s="1">
        <v>172568.33</v>
      </c>
      <c r="F470" s="1">
        <v>700633</v>
      </c>
      <c r="G470">
        <v>0.24630345701672629</v>
      </c>
    </row>
    <row r="471" spans="1:7" x14ac:dyDescent="0.35">
      <c r="A471">
        <v>2021</v>
      </c>
      <c r="B471" s="1" t="s">
        <v>130</v>
      </c>
      <c r="C471" s="1" t="s">
        <v>131</v>
      </c>
      <c r="D471" s="1" t="s">
        <v>8</v>
      </c>
      <c r="E471" s="1">
        <v>107673.39</v>
      </c>
      <c r="F471" s="1">
        <v>700633</v>
      </c>
      <c r="G471">
        <v>0.1536801578001607</v>
      </c>
    </row>
    <row r="472" spans="1:7" x14ac:dyDescent="0.35">
      <c r="A472">
        <v>2021</v>
      </c>
      <c r="B472" s="1" t="s">
        <v>130</v>
      </c>
      <c r="C472" s="1" t="s">
        <v>131</v>
      </c>
      <c r="D472" s="1" t="s">
        <v>9</v>
      </c>
      <c r="E472" s="1">
        <v>185244.37</v>
      </c>
      <c r="F472" s="1">
        <v>700633</v>
      </c>
      <c r="G472">
        <v>0.2643957250086707</v>
      </c>
    </row>
    <row r="473" spans="1:7" x14ac:dyDescent="0.35">
      <c r="A473">
        <v>2021</v>
      </c>
      <c r="B473" s="1" t="s">
        <v>14</v>
      </c>
      <c r="C473" s="1" t="s">
        <v>15</v>
      </c>
      <c r="D473" s="1" t="s">
        <v>7</v>
      </c>
      <c r="E473" s="1">
        <v>36074.050000000003</v>
      </c>
      <c r="F473" s="1">
        <v>144226</v>
      </c>
      <c r="G473">
        <v>0.25012168402368506</v>
      </c>
    </row>
    <row r="474" spans="1:7" x14ac:dyDescent="0.35">
      <c r="A474">
        <v>2021</v>
      </c>
      <c r="B474" s="1" t="s">
        <v>14</v>
      </c>
      <c r="C474" s="1" t="s">
        <v>15</v>
      </c>
      <c r="D474" s="1" t="s">
        <v>8</v>
      </c>
      <c r="E474" s="1">
        <v>14728.33</v>
      </c>
      <c r="F474" s="1">
        <v>144226</v>
      </c>
      <c r="G474">
        <v>0.102119798094657</v>
      </c>
    </row>
    <row r="475" spans="1:7" x14ac:dyDescent="0.35">
      <c r="A475">
        <v>2021</v>
      </c>
      <c r="B475" s="1" t="s">
        <v>14</v>
      </c>
      <c r="C475" s="1" t="s">
        <v>15</v>
      </c>
      <c r="D475" s="1" t="s">
        <v>9</v>
      </c>
      <c r="E475" s="1">
        <v>29542.18</v>
      </c>
      <c r="F475" s="1">
        <v>144226</v>
      </c>
      <c r="G475">
        <v>0.20483255446313425</v>
      </c>
    </row>
    <row r="476" spans="1:7" x14ac:dyDescent="0.35">
      <c r="A476">
        <v>2011</v>
      </c>
      <c r="B476" s="1" t="s">
        <v>114</v>
      </c>
      <c r="C476" s="1" t="s">
        <v>115</v>
      </c>
      <c r="D476" s="1" t="s">
        <v>7</v>
      </c>
      <c r="E476" s="1">
        <v>833399</v>
      </c>
      <c r="F476" s="1">
        <v>2249975</v>
      </c>
      <c r="G476">
        <v>0.3704036711519017</v>
      </c>
    </row>
    <row r="477" spans="1:7" x14ac:dyDescent="0.35">
      <c r="A477">
        <v>2011</v>
      </c>
      <c r="B477" s="1" t="s">
        <v>114</v>
      </c>
      <c r="C477" s="1" t="s">
        <v>115</v>
      </c>
      <c r="D477" s="1" t="s">
        <v>8</v>
      </c>
      <c r="E477" s="1">
        <v>248999.59</v>
      </c>
      <c r="F477" s="1">
        <v>2249975</v>
      </c>
      <c r="G477">
        <v>0.11066771408571206</v>
      </c>
    </row>
    <row r="478" spans="1:7" x14ac:dyDescent="0.35">
      <c r="A478">
        <v>2011</v>
      </c>
      <c r="B478" s="1" t="s">
        <v>114</v>
      </c>
      <c r="C478" s="1" t="s">
        <v>115</v>
      </c>
      <c r="D478" s="1" t="s">
        <v>9</v>
      </c>
      <c r="E478" s="1">
        <v>6802.43</v>
      </c>
      <c r="F478" s="1">
        <v>2249975</v>
      </c>
      <c r="G478">
        <v>3.0233358148423874E-3</v>
      </c>
    </row>
    <row r="479" spans="1:7" x14ac:dyDescent="0.35">
      <c r="A479">
        <v>2021</v>
      </c>
      <c r="B479" s="1" t="s">
        <v>140</v>
      </c>
      <c r="C479" s="1" t="s">
        <v>141</v>
      </c>
      <c r="D479" s="1" t="s">
        <v>7</v>
      </c>
      <c r="E479" s="1">
        <v>64346.57</v>
      </c>
      <c r="F479" s="1">
        <v>350867</v>
      </c>
      <c r="G479">
        <v>0.18339305206816259</v>
      </c>
    </row>
    <row r="480" spans="1:7" x14ac:dyDescent="0.35">
      <c r="A480">
        <v>2021</v>
      </c>
      <c r="B480" s="1" t="s">
        <v>140</v>
      </c>
      <c r="C480" s="1" t="s">
        <v>141</v>
      </c>
      <c r="D480" s="1" t="s">
        <v>8</v>
      </c>
      <c r="E480" s="1">
        <v>41692.22</v>
      </c>
      <c r="F480" s="1">
        <v>350867</v>
      </c>
      <c r="G480">
        <v>0.11882627890340215</v>
      </c>
    </row>
    <row r="481" spans="1:7" x14ac:dyDescent="0.35">
      <c r="A481">
        <v>2021</v>
      </c>
      <c r="B481" s="1" t="s">
        <v>140</v>
      </c>
      <c r="C481" s="1" t="s">
        <v>141</v>
      </c>
      <c r="D481" s="1" t="s">
        <v>9</v>
      </c>
      <c r="E481" s="1">
        <v>83664.87</v>
      </c>
      <c r="F481" s="1">
        <v>350867</v>
      </c>
      <c r="G481">
        <v>0.23845180652497955</v>
      </c>
    </row>
    <row r="482" spans="1:7" x14ac:dyDescent="0.35">
      <c r="A482">
        <v>2021</v>
      </c>
      <c r="B482" s="1" t="s">
        <v>142</v>
      </c>
      <c r="C482" s="1" t="s">
        <v>143</v>
      </c>
      <c r="D482" s="1" t="s">
        <v>7</v>
      </c>
      <c r="E482" s="1">
        <v>165525</v>
      </c>
      <c r="F482" s="1">
        <v>661404</v>
      </c>
      <c r="G482">
        <v>0.25026307672768838</v>
      </c>
    </row>
    <row r="483" spans="1:7" x14ac:dyDescent="0.35">
      <c r="A483">
        <v>2021</v>
      </c>
      <c r="B483" s="1" t="s">
        <v>142</v>
      </c>
      <c r="C483" s="1" t="s">
        <v>143</v>
      </c>
      <c r="D483" s="1" t="s">
        <v>8</v>
      </c>
      <c r="E483" s="1">
        <v>101146.67</v>
      </c>
      <c r="F483" s="1">
        <v>661404</v>
      </c>
      <c r="G483">
        <v>0.15292721241480245</v>
      </c>
    </row>
    <row r="484" spans="1:7" x14ac:dyDescent="0.35">
      <c r="A484">
        <v>2021</v>
      </c>
      <c r="B484" s="1" t="s">
        <v>142</v>
      </c>
      <c r="C484" s="1" t="s">
        <v>143</v>
      </c>
      <c r="D484" s="1" t="s">
        <v>9</v>
      </c>
      <c r="E484" s="1">
        <v>183873.36</v>
      </c>
      <c r="F484" s="1">
        <v>661404</v>
      </c>
      <c r="G484">
        <v>0.27800460837854019</v>
      </c>
    </row>
    <row r="485" spans="1:7" x14ac:dyDescent="0.35">
      <c r="A485">
        <v>2021</v>
      </c>
      <c r="B485" s="1" t="s">
        <v>56</v>
      </c>
      <c r="C485" s="1" t="s">
        <v>57</v>
      </c>
      <c r="D485" s="1" t="s">
        <v>7</v>
      </c>
      <c r="E485" s="1">
        <v>56750.94</v>
      </c>
      <c r="F485" s="1">
        <v>299573</v>
      </c>
      <c r="G485">
        <v>0.18943943546314254</v>
      </c>
    </row>
    <row r="486" spans="1:7" x14ac:dyDescent="0.35">
      <c r="A486">
        <v>2021</v>
      </c>
      <c r="B486" s="1" t="s">
        <v>56</v>
      </c>
      <c r="C486" s="1" t="s">
        <v>57</v>
      </c>
      <c r="D486" s="1" t="s">
        <v>8</v>
      </c>
      <c r="E486" s="1">
        <v>30191.66</v>
      </c>
      <c r="F486" s="1">
        <v>299573</v>
      </c>
      <c r="G486">
        <v>0.10078231349287152</v>
      </c>
    </row>
    <row r="487" spans="1:7" x14ac:dyDescent="0.35">
      <c r="A487">
        <v>2021</v>
      </c>
      <c r="B487" s="1" t="s">
        <v>56</v>
      </c>
      <c r="C487" s="1" t="s">
        <v>57</v>
      </c>
      <c r="D487" s="1" t="s">
        <v>9</v>
      </c>
      <c r="E487" s="1">
        <v>71751.149999999994</v>
      </c>
      <c r="F487" s="1">
        <v>299573</v>
      </c>
      <c r="G487">
        <v>0.239511404565832</v>
      </c>
    </row>
    <row r="488" spans="1:7" x14ac:dyDescent="0.35">
      <c r="A488">
        <v>2011</v>
      </c>
      <c r="B488" s="1" t="s">
        <v>116</v>
      </c>
      <c r="C488" s="1" t="s">
        <v>117</v>
      </c>
      <c r="D488" s="1" t="s">
        <v>7</v>
      </c>
      <c r="E488" s="1">
        <v>401604.38</v>
      </c>
      <c r="F488" s="1">
        <v>1338427</v>
      </c>
      <c r="G488">
        <v>0.30005699227526045</v>
      </c>
    </row>
    <row r="489" spans="1:7" x14ac:dyDescent="0.35">
      <c r="A489">
        <v>2011</v>
      </c>
      <c r="B489" s="1" t="s">
        <v>116</v>
      </c>
      <c r="C489" s="1" t="s">
        <v>117</v>
      </c>
      <c r="D489" s="1" t="s">
        <v>8</v>
      </c>
      <c r="E489" s="1">
        <v>155560.79</v>
      </c>
      <c r="F489" s="1">
        <v>1338427</v>
      </c>
      <c r="G489">
        <v>0.11622657791571749</v>
      </c>
    </row>
    <row r="490" spans="1:7" x14ac:dyDescent="0.35">
      <c r="A490">
        <v>2011</v>
      </c>
      <c r="B490" s="1" t="s">
        <v>116</v>
      </c>
      <c r="C490" s="1" t="s">
        <v>117</v>
      </c>
      <c r="D490" s="1" t="s">
        <v>9</v>
      </c>
      <c r="E490" s="1">
        <v>138207.82</v>
      </c>
      <c r="F490" s="1">
        <v>1338427</v>
      </c>
      <c r="G490">
        <v>0.10326138071034133</v>
      </c>
    </row>
    <row r="491" spans="1:7" x14ac:dyDescent="0.35">
      <c r="A491">
        <v>2021</v>
      </c>
      <c r="B491" s="1" t="s">
        <v>144</v>
      </c>
      <c r="C491" s="1" t="s">
        <v>145</v>
      </c>
      <c r="D491" s="1" t="s">
        <v>7</v>
      </c>
      <c r="E491" s="1">
        <v>54784.17</v>
      </c>
      <c r="F491" s="1">
        <v>239784</v>
      </c>
      <c r="G491">
        <v>0.22847300070063056</v>
      </c>
    </row>
    <row r="492" spans="1:7" x14ac:dyDescent="0.35">
      <c r="A492">
        <v>2021</v>
      </c>
      <c r="B492" s="1" t="s">
        <v>144</v>
      </c>
      <c r="C492" s="1" t="s">
        <v>145</v>
      </c>
      <c r="D492" s="1" t="s">
        <v>8</v>
      </c>
      <c r="E492" s="1">
        <v>24377.75</v>
      </c>
      <c r="F492" s="1">
        <v>239784</v>
      </c>
      <c r="G492">
        <v>0.10166545724485371</v>
      </c>
    </row>
    <row r="493" spans="1:7" x14ac:dyDescent="0.35">
      <c r="A493">
        <v>2021</v>
      </c>
      <c r="B493" s="1" t="s">
        <v>144</v>
      </c>
      <c r="C493" s="1" t="s">
        <v>145</v>
      </c>
      <c r="D493" s="1" t="s">
        <v>9</v>
      </c>
      <c r="E493" s="1">
        <v>58791.07</v>
      </c>
      <c r="F493" s="1">
        <v>239784</v>
      </c>
      <c r="G493">
        <v>0.24518345677776665</v>
      </c>
    </row>
    <row r="494" spans="1:7" x14ac:dyDescent="0.35">
      <c r="A494">
        <v>2021</v>
      </c>
      <c r="B494" s="1" t="s">
        <v>68</v>
      </c>
      <c r="C494" s="1" t="s">
        <v>69</v>
      </c>
      <c r="D494" s="1" t="s">
        <v>7</v>
      </c>
      <c r="E494" s="1">
        <v>74745.69</v>
      </c>
      <c r="F494" s="1">
        <v>162942</v>
      </c>
      <c r="G494">
        <v>0.45872574290238244</v>
      </c>
    </row>
    <row r="495" spans="1:7" x14ac:dyDescent="0.35">
      <c r="A495">
        <v>2021</v>
      </c>
      <c r="B495" s="1" t="s">
        <v>68</v>
      </c>
      <c r="C495" s="1" t="s">
        <v>69</v>
      </c>
      <c r="D495" s="1" t="s">
        <v>8</v>
      </c>
      <c r="E495" s="1">
        <v>20700.68</v>
      </c>
      <c r="F495" s="1">
        <v>162942</v>
      </c>
      <c r="G495">
        <v>0.12704324238072442</v>
      </c>
    </row>
    <row r="496" spans="1:7" x14ac:dyDescent="0.35">
      <c r="A496">
        <v>2021</v>
      </c>
      <c r="B496" s="1" t="s">
        <v>68</v>
      </c>
      <c r="C496" s="1" t="s">
        <v>69</v>
      </c>
      <c r="D496" s="1" t="s">
        <v>9</v>
      </c>
      <c r="E496" s="1">
        <v>30090.53</v>
      </c>
      <c r="F496" s="1">
        <v>162942</v>
      </c>
      <c r="G496">
        <v>0.18467018939254459</v>
      </c>
    </row>
    <row r="497" spans="1:7" x14ac:dyDescent="0.35">
      <c r="A497">
        <v>2021</v>
      </c>
      <c r="B497" s="1" t="s">
        <v>70</v>
      </c>
      <c r="C497" s="1" t="s">
        <v>71</v>
      </c>
      <c r="D497" s="1" t="s">
        <v>7</v>
      </c>
      <c r="E497" s="1">
        <v>65486.28</v>
      </c>
      <c r="F497" s="1">
        <v>184655</v>
      </c>
      <c r="G497">
        <v>0.3546412498984593</v>
      </c>
    </row>
    <row r="498" spans="1:7" x14ac:dyDescent="0.35">
      <c r="A498">
        <v>2021</v>
      </c>
      <c r="B498" s="1" t="s">
        <v>70</v>
      </c>
      <c r="C498" s="1" t="s">
        <v>71</v>
      </c>
      <c r="D498" s="1" t="s">
        <v>8</v>
      </c>
      <c r="E498" s="1">
        <v>24479.19</v>
      </c>
      <c r="F498" s="1">
        <v>184655</v>
      </c>
      <c r="G498">
        <v>0.13256716579567301</v>
      </c>
    </row>
    <row r="499" spans="1:7" x14ac:dyDescent="0.35">
      <c r="A499">
        <v>2021</v>
      </c>
      <c r="B499" s="1" t="s">
        <v>70</v>
      </c>
      <c r="C499" s="1" t="s">
        <v>71</v>
      </c>
      <c r="D499" s="1" t="s">
        <v>9</v>
      </c>
      <c r="E499" s="1">
        <v>35531.93</v>
      </c>
      <c r="F499" s="1">
        <v>184655</v>
      </c>
      <c r="G499">
        <v>0.19242332999377218</v>
      </c>
    </row>
    <row r="500" spans="1:7" x14ac:dyDescent="0.35">
      <c r="A500">
        <v>2011</v>
      </c>
      <c r="B500" s="1" t="s">
        <v>118</v>
      </c>
      <c r="C500" s="1" t="s">
        <v>119</v>
      </c>
      <c r="D500" s="1" t="s">
        <v>7</v>
      </c>
      <c r="E500" s="1">
        <v>378700.89</v>
      </c>
      <c r="F500" s="1">
        <v>1413635</v>
      </c>
      <c r="G500">
        <v>0.26789156323945007</v>
      </c>
    </row>
    <row r="501" spans="1:7" x14ac:dyDescent="0.35">
      <c r="A501">
        <v>2011</v>
      </c>
      <c r="B501" s="1" t="s">
        <v>118</v>
      </c>
      <c r="C501" s="1" t="s">
        <v>119</v>
      </c>
      <c r="D501" s="1" t="s">
        <v>8</v>
      </c>
      <c r="E501" s="1">
        <v>188032.62</v>
      </c>
      <c r="F501" s="1">
        <v>1413635</v>
      </c>
      <c r="G501">
        <v>0.13301355724780442</v>
      </c>
    </row>
    <row r="502" spans="1:7" x14ac:dyDescent="0.35">
      <c r="A502">
        <v>2011</v>
      </c>
      <c r="B502" s="1" t="s">
        <v>118</v>
      </c>
      <c r="C502" s="1" t="s">
        <v>119</v>
      </c>
      <c r="D502" s="1" t="s">
        <v>9</v>
      </c>
      <c r="E502" s="1">
        <v>76380.789999999994</v>
      </c>
      <c r="F502" s="1">
        <v>1413635</v>
      </c>
      <c r="G502">
        <v>5.403147913004417E-2</v>
      </c>
    </row>
    <row r="503" spans="1:7" x14ac:dyDescent="0.35">
      <c r="A503">
        <v>2021</v>
      </c>
      <c r="B503" s="1" t="s">
        <v>32</v>
      </c>
      <c r="C503" s="1" t="s">
        <v>33</v>
      </c>
      <c r="D503" s="1" t="s">
        <v>7</v>
      </c>
      <c r="E503" s="1">
        <v>111822.79</v>
      </c>
      <c r="F503" s="1">
        <v>535503</v>
      </c>
      <c r="G503">
        <v>0.20881823257759527</v>
      </c>
    </row>
    <row r="504" spans="1:7" x14ac:dyDescent="0.35">
      <c r="A504">
        <v>2021</v>
      </c>
      <c r="B504" s="1" t="s">
        <v>32</v>
      </c>
      <c r="C504" s="1" t="s">
        <v>33</v>
      </c>
      <c r="D504" s="1" t="s">
        <v>8</v>
      </c>
      <c r="E504" s="1">
        <v>55334.75</v>
      </c>
      <c r="F504" s="1">
        <v>535503</v>
      </c>
      <c r="G504">
        <v>0.10333228758755787</v>
      </c>
    </row>
    <row r="505" spans="1:7" x14ac:dyDescent="0.35">
      <c r="A505">
        <v>2021</v>
      </c>
      <c r="B505" s="1" t="s">
        <v>32</v>
      </c>
      <c r="C505" s="1" t="s">
        <v>33</v>
      </c>
      <c r="D505" s="1" t="s">
        <v>9</v>
      </c>
      <c r="E505" s="1">
        <v>111217.22</v>
      </c>
      <c r="F505" s="1">
        <v>535503</v>
      </c>
      <c r="G505">
        <v>0.20768738923964947</v>
      </c>
    </row>
    <row r="506" spans="1:7" x14ac:dyDescent="0.35">
      <c r="A506">
        <v>2021</v>
      </c>
      <c r="B506" s="1" t="s">
        <v>48</v>
      </c>
      <c r="C506" s="1" t="s">
        <v>49</v>
      </c>
      <c r="D506" s="1" t="s">
        <v>7</v>
      </c>
      <c r="E506" s="1">
        <v>131349.07999999999</v>
      </c>
      <c r="F506" s="1">
        <v>605917</v>
      </c>
      <c r="G506">
        <v>0.21677734739246463</v>
      </c>
    </row>
    <row r="507" spans="1:7" x14ac:dyDescent="0.35">
      <c r="A507">
        <v>2021</v>
      </c>
      <c r="B507" s="1" t="s">
        <v>48</v>
      </c>
      <c r="C507" s="1" t="s">
        <v>49</v>
      </c>
      <c r="D507" s="1" t="s">
        <v>8</v>
      </c>
      <c r="E507" s="1">
        <v>95262.46</v>
      </c>
      <c r="F507" s="1">
        <v>605917</v>
      </c>
      <c r="G507">
        <v>0.15722031235301206</v>
      </c>
    </row>
    <row r="508" spans="1:7" x14ac:dyDescent="0.35">
      <c r="A508">
        <v>2021</v>
      </c>
      <c r="B508" s="1" t="s">
        <v>48</v>
      </c>
      <c r="C508" s="1" t="s">
        <v>49</v>
      </c>
      <c r="D508" s="1" t="s">
        <v>9</v>
      </c>
      <c r="E508" s="1">
        <v>231021.63</v>
      </c>
      <c r="F508" s="1">
        <v>605917</v>
      </c>
      <c r="G508">
        <v>0.38127603285598521</v>
      </c>
    </row>
    <row r="509" spans="1:7" x14ac:dyDescent="0.35">
      <c r="A509">
        <v>2021</v>
      </c>
      <c r="B509" s="1" t="s">
        <v>146</v>
      </c>
      <c r="C509" s="1" t="s">
        <v>147</v>
      </c>
      <c r="D509" s="1" t="s">
        <v>7</v>
      </c>
      <c r="E509" s="1">
        <v>22443.34</v>
      </c>
      <c r="F509" s="1">
        <v>115702</v>
      </c>
      <c r="G509">
        <v>0.19397538504088088</v>
      </c>
    </row>
    <row r="510" spans="1:7" x14ac:dyDescent="0.35">
      <c r="A510">
        <v>2021</v>
      </c>
      <c r="B510" s="1" t="s">
        <v>146</v>
      </c>
      <c r="C510" s="1" t="s">
        <v>147</v>
      </c>
      <c r="D510" s="1" t="s">
        <v>8</v>
      </c>
      <c r="E510" s="1">
        <v>13179.43</v>
      </c>
      <c r="F510" s="1">
        <v>115702</v>
      </c>
      <c r="G510">
        <v>0.11390840262052515</v>
      </c>
    </row>
    <row r="511" spans="1:7" x14ac:dyDescent="0.35">
      <c r="A511">
        <v>2021</v>
      </c>
      <c r="B511" s="1" t="s">
        <v>146</v>
      </c>
      <c r="C511" s="1" t="s">
        <v>147</v>
      </c>
      <c r="D511" s="1" t="s">
        <v>9</v>
      </c>
      <c r="E511" s="1">
        <v>25196.02</v>
      </c>
      <c r="F511" s="1">
        <v>115702</v>
      </c>
      <c r="G511">
        <v>0.21776650360408636</v>
      </c>
    </row>
    <row r="512" spans="1:7" x14ac:dyDescent="0.35">
      <c r="A512">
        <v>2011</v>
      </c>
      <c r="B512" s="1" t="s">
        <v>120</v>
      </c>
      <c r="C512" s="1" t="s">
        <v>121</v>
      </c>
      <c r="D512" s="1" t="s">
        <v>7</v>
      </c>
      <c r="E512" s="1">
        <v>336382.56</v>
      </c>
      <c r="F512" s="1">
        <v>1225191</v>
      </c>
      <c r="G512">
        <v>0.2745551999647402</v>
      </c>
    </row>
    <row r="513" spans="1:7" x14ac:dyDescent="0.35">
      <c r="A513">
        <v>2011</v>
      </c>
      <c r="B513" s="1" t="s">
        <v>120</v>
      </c>
      <c r="C513" s="1" t="s">
        <v>121</v>
      </c>
      <c r="D513" s="1" t="s">
        <v>8</v>
      </c>
      <c r="E513" s="1">
        <v>180032.2</v>
      </c>
      <c r="F513" s="1">
        <v>1225191</v>
      </c>
      <c r="G513">
        <v>0.14694215024432927</v>
      </c>
    </row>
    <row r="514" spans="1:7" x14ac:dyDescent="0.35">
      <c r="A514">
        <v>2011</v>
      </c>
      <c r="B514" s="1" t="s">
        <v>120</v>
      </c>
      <c r="C514" s="1" t="s">
        <v>121</v>
      </c>
      <c r="D514" s="1" t="s">
        <v>9</v>
      </c>
      <c r="E514" s="1">
        <v>95812.94</v>
      </c>
      <c r="F514" s="1">
        <v>1225191</v>
      </c>
      <c r="G514">
        <v>7.8202451699367695E-2</v>
      </c>
    </row>
    <row r="515" spans="1:7" x14ac:dyDescent="0.35">
      <c r="A515">
        <v>2021</v>
      </c>
      <c r="B515" s="1" t="s">
        <v>148</v>
      </c>
      <c r="C515" s="1" t="s">
        <v>149</v>
      </c>
      <c r="D515" s="1" t="s">
        <v>7</v>
      </c>
      <c r="E515" s="1">
        <v>83805.960000000006</v>
      </c>
      <c r="F515" s="1">
        <v>413730</v>
      </c>
      <c r="G515">
        <v>0.20256196069900662</v>
      </c>
    </row>
    <row r="516" spans="1:7" x14ac:dyDescent="0.35">
      <c r="A516">
        <v>2021</v>
      </c>
      <c r="B516" s="1" t="s">
        <v>148</v>
      </c>
      <c r="C516" s="1" t="s">
        <v>149</v>
      </c>
      <c r="D516" s="1" t="s">
        <v>8</v>
      </c>
      <c r="E516" s="1">
        <v>53977.99</v>
      </c>
      <c r="F516" s="1">
        <v>413730</v>
      </c>
      <c r="G516">
        <v>0.13046670533923088</v>
      </c>
    </row>
    <row r="517" spans="1:7" x14ac:dyDescent="0.35">
      <c r="A517">
        <v>2021</v>
      </c>
      <c r="B517" s="1" t="s">
        <v>148</v>
      </c>
      <c r="C517" s="1" t="s">
        <v>149</v>
      </c>
      <c r="D517" s="1" t="s">
        <v>9</v>
      </c>
      <c r="E517" s="1">
        <v>101124.34</v>
      </c>
      <c r="F517" s="1">
        <v>413730</v>
      </c>
      <c r="G517">
        <v>0.24442109588378894</v>
      </c>
    </row>
    <row r="518" spans="1:7" x14ac:dyDescent="0.35">
      <c r="A518">
        <v>2021</v>
      </c>
      <c r="B518" s="1" t="s">
        <v>34</v>
      </c>
      <c r="C518" s="1" t="s">
        <v>35</v>
      </c>
      <c r="D518" s="1" t="s">
        <v>7</v>
      </c>
      <c r="E518" s="1">
        <v>90418.34</v>
      </c>
      <c r="F518" s="1">
        <v>547096</v>
      </c>
      <c r="G518">
        <v>0.16526960533434717</v>
      </c>
    </row>
    <row r="519" spans="1:7" x14ac:dyDescent="0.35">
      <c r="A519">
        <v>2021</v>
      </c>
      <c r="B519" s="1" t="s">
        <v>34</v>
      </c>
      <c r="C519" s="1" t="s">
        <v>35</v>
      </c>
      <c r="D519" s="1" t="s">
        <v>8</v>
      </c>
      <c r="E519" s="1">
        <v>57026.080000000002</v>
      </c>
      <c r="F519" s="1">
        <v>547096</v>
      </c>
      <c r="G519">
        <v>0.10423413806717652</v>
      </c>
    </row>
    <row r="520" spans="1:7" x14ac:dyDescent="0.35">
      <c r="A520">
        <v>2021</v>
      </c>
      <c r="B520" s="1" t="s">
        <v>34</v>
      </c>
      <c r="C520" s="1" t="s">
        <v>35</v>
      </c>
      <c r="D520" s="1" t="s">
        <v>9</v>
      </c>
      <c r="E520" s="1">
        <v>108704.37</v>
      </c>
      <c r="F520" s="1">
        <v>547096</v>
      </c>
      <c r="G520">
        <v>0.19869341029727872</v>
      </c>
    </row>
    <row r="521" spans="1:7" x14ac:dyDescent="0.35">
      <c r="A521">
        <v>2021</v>
      </c>
      <c r="B521" s="1" t="s">
        <v>16</v>
      </c>
      <c r="C521" s="1" t="s">
        <v>17</v>
      </c>
      <c r="D521" s="1" t="s">
        <v>7</v>
      </c>
      <c r="E521" s="1">
        <v>124054.67</v>
      </c>
      <c r="F521" s="1">
        <v>519458</v>
      </c>
      <c r="G521">
        <v>0.23881559240593078</v>
      </c>
    </row>
    <row r="522" spans="1:7" x14ac:dyDescent="0.35">
      <c r="A522">
        <v>2021</v>
      </c>
      <c r="B522" s="1" t="s">
        <v>16</v>
      </c>
      <c r="C522" s="1" t="s">
        <v>17</v>
      </c>
      <c r="D522" s="1" t="s">
        <v>8</v>
      </c>
      <c r="E522" s="1">
        <v>40206.28</v>
      </c>
      <c r="F522" s="1">
        <v>519458</v>
      </c>
      <c r="G522">
        <v>7.740044430926081E-2</v>
      </c>
    </row>
    <row r="523" spans="1:7" x14ac:dyDescent="0.35">
      <c r="A523">
        <v>2021</v>
      </c>
      <c r="B523" s="1" t="s">
        <v>16</v>
      </c>
      <c r="C523" s="1" t="s">
        <v>17</v>
      </c>
      <c r="D523" s="1" t="s">
        <v>9</v>
      </c>
      <c r="E523" s="1">
        <v>128747.85</v>
      </c>
      <c r="F523" s="1">
        <v>519458</v>
      </c>
      <c r="G523">
        <v>0.24785035556291365</v>
      </c>
    </row>
    <row r="524" spans="1:7" x14ac:dyDescent="0.35">
      <c r="A524">
        <v>2011</v>
      </c>
      <c r="B524" s="1" t="s">
        <v>122</v>
      </c>
      <c r="C524" s="1" t="s">
        <v>123</v>
      </c>
      <c r="D524" s="1" t="s">
        <v>7</v>
      </c>
      <c r="E524" s="1">
        <v>467951.22</v>
      </c>
      <c r="F524" s="1">
        <v>1581628</v>
      </c>
      <c r="G524">
        <v>0.29586680306620772</v>
      </c>
    </row>
    <row r="525" spans="1:7" x14ac:dyDescent="0.35">
      <c r="A525">
        <v>2011</v>
      </c>
      <c r="B525" s="1" t="s">
        <v>122</v>
      </c>
      <c r="C525" s="1" t="s">
        <v>123</v>
      </c>
      <c r="D525" s="1" t="s">
        <v>8</v>
      </c>
      <c r="E525" s="1">
        <v>143587.91</v>
      </c>
      <c r="F525" s="1">
        <v>1581628</v>
      </c>
      <c r="G525">
        <v>9.0784881147779384E-2</v>
      </c>
    </row>
    <row r="526" spans="1:7" x14ac:dyDescent="0.35">
      <c r="A526">
        <v>2011</v>
      </c>
      <c r="B526" s="1" t="s">
        <v>122</v>
      </c>
      <c r="C526" s="1" t="s">
        <v>123</v>
      </c>
      <c r="D526" s="1" t="s">
        <v>9</v>
      </c>
      <c r="E526" s="1">
        <v>18004.98</v>
      </c>
      <c r="F526" s="1">
        <v>1581628</v>
      </c>
      <c r="G526">
        <v>1.138382729693708E-2</v>
      </c>
    </row>
    <row r="527" spans="1:7" x14ac:dyDescent="0.35">
      <c r="A527">
        <v>2021</v>
      </c>
      <c r="B527" s="1" t="s">
        <v>132</v>
      </c>
      <c r="C527" s="1" t="s">
        <v>133</v>
      </c>
      <c r="D527" s="1" t="s">
        <v>7</v>
      </c>
      <c r="E527" s="1">
        <v>148390.67000000001</v>
      </c>
      <c r="F527" s="1">
        <v>598934</v>
      </c>
      <c r="G527">
        <v>0.24775796665408878</v>
      </c>
    </row>
    <row r="528" spans="1:7" x14ac:dyDescent="0.35">
      <c r="A528">
        <v>2021</v>
      </c>
      <c r="B528" s="1" t="s">
        <v>132</v>
      </c>
      <c r="C528" s="1" t="s">
        <v>133</v>
      </c>
      <c r="D528" s="1" t="s">
        <v>8</v>
      </c>
      <c r="E528" s="1">
        <v>72074.31</v>
      </c>
      <c r="F528" s="1">
        <v>598934</v>
      </c>
      <c r="G528">
        <v>0.12033764989130688</v>
      </c>
    </row>
    <row r="529" spans="1:7" x14ac:dyDescent="0.35">
      <c r="A529">
        <v>2021</v>
      </c>
      <c r="B529" s="1" t="s">
        <v>132</v>
      </c>
      <c r="C529" s="1" t="s">
        <v>133</v>
      </c>
      <c r="D529" s="1" t="s">
        <v>9</v>
      </c>
      <c r="E529" s="1">
        <v>172252.82</v>
      </c>
      <c r="F529" s="1">
        <v>598934</v>
      </c>
      <c r="G529">
        <v>0.28759900089158408</v>
      </c>
    </row>
    <row r="530" spans="1:7" x14ac:dyDescent="0.35">
      <c r="A530">
        <v>2021</v>
      </c>
      <c r="B530" s="1" t="s">
        <v>58</v>
      </c>
      <c r="C530" s="1" t="s">
        <v>59</v>
      </c>
      <c r="D530" s="1" t="s">
        <v>7</v>
      </c>
      <c r="E530" s="1">
        <v>104594</v>
      </c>
      <c r="F530" s="1">
        <v>431277</v>
      </c>
      <c r="G530">
        <v>0.24252162763142945</v>
      </c>
    </row>
    <row r="531" spans="1:7" x14ac:dyDescent="0.35">
      <c r="A531">
        <v>2021</v>
      </c>
      <c r="B531" s="1" t="s">
        <v>58</v>
      </c>
      <c r="C531" s="1" t="s">
        <v>59</v>
      </c>
      <c r="D531" s="1" t="s">
        <v>8</v>
      </c>
      <c r="E531" s="1">
        <v>63435.15</v>
      </c>
      <c r="F531" s="1">
        <v>431277</v>
      </c>
      <c r="G531">
        <v>0.14708679108786232</v>
      </c>
    </row>
    <row r="532" spans="1:7" x14ac:dyDescent="0.35">
      <c r="A532">
        <v>2021</v>
      </c>
      <c r="B532" s="1" t="s">
        <v>58</v>
      </c>
      <c r="C532" s="1" t="s">
        <v>59</v>
      </c>
      <c r="D532" s="1" t="s">
        <v>9</v>
      </c>
      <c r="E532" s="1">
        <v>95075.74</v>
      </c>
      <c r="F532" s="1">
        <v>431277</v>
      </c>
      <c r="G532">
        <v>0.22045168186571509</v>
      </c>
    </row>
    <row r="533" spans="1:7" x14ac:dyDescent="0.35">
      <c r="A533">
        <v>2021</v>
      </c>
      <c r="B533" s="1" t="s">
        <v>50</v>
      </c>
      <c r="C533" s="1" t="s">
        <v>51</v>
      </c>
      <c r="D533" s="1" t="s">
        <v>7</v>
      </c>
      <c r="E533" s="1">
        <v>199061.53</v>
      </c>
      <c r="F533" s="1">
        <v>921638</v>
      </c>
      <c r="G533">
        <v>0.21598667806665958</v>
      </c>
    </row>
    <row r="534" spans="1:7" x14ac:dyDescent="0.35">
      <c r="A534">
        <v>2021</v>
      </c>
      <c r="B534" s="1" t="s">
        <v>50</v>
      </c>
      <c r="C534" s="1" t="s">
        <v>51</v>
      </c>
      <c r="D534" s="1" t="s">
        <v>8</v>
      </c>
      <c r="E534" s="1">
        <v>148845.65</v>
      </c>
      <c r="F534" s="1">
        <v>921638</v>
      </c>
      <c r="G534">
        <v>0.16150120763249778</v>
      </c>
    </row>
    <row r="535" spans="1:7" x14ac:dyDescent="0.35">
      <c r="A535">
        <v>2021</v>
      </c>
      <c r="B535" s="1" t="s">
        <v>50</v>
      </c>
      <c r="C535" s="1" t="s">
        <v>51</v>
      </c>
      <c r="D535" s="1" t="s">
        <v>9</v>
      </c>
      <c r="E535" s="1">
        <v>303149.82</v>
      </c>
      <c r="F535" s="1">
        <v>921638</v>
      </c>
      <c r="G535">
        <v>0.32892504432325925</v>
      </c>
    </row>
    <row r="536" spans="1:7" x14ac:dyDescent="0.35">
      <c r="A536">
        <v>2011</v>
      </c>
      <c r="B536" s="1" t="s">
        <v>124</v>
      </c>
      <c r="C536" s="1" t="s">
        <v>125</v>
      </c>
      <c r="D536" s="1" t="s">
        <v>7</v>
      </c>
      <c r="E536" s="1">
        <v>492849.65</v>
      </c>
      <c r="F536" s="1">
        <v>1529928</v>
      </c>
      <c r="G536">
        <v>0.32213911373607124</v>
      </c>
    </row>
    <row r="537" spans="1:7" x14ac:dyDescent="0.35">
      <c r="A537">
        <v>2011</v>
      </c>
      <c r="B537" s="1" t="s">
        <v>124</v>
      </c>
      <c r="C537" s="1" t="s">
        <v>125</v>
      </c>
      <c r="D537" s="1" t="s">
        <v>8</v>
      </c>
      <c r="E537" s="1">
        <v>114166.39999999999</v>
      </c>
      <c r="F537" s="1">
        <v>1529928</v>
      </c>
      <c r="G537">
        <v>7.4622073718501783E-2</v>
      </c>
    </row>
    <row r="538" spans="1:7" x14ac:dyDescent="0.35">
      <c r="A538">
        <v>2011</v>
      </c>
      <c r="B538" s="1" t="s">
        <v>124</v>
      </c>
      <c r="C538" s="1" t="s">
        <v>125</v>
      </c>
      <c r="D538" s="1" t="s">
        <v>9</v>
      </c>
      <c r="E538" s="1">
        <v>60670.559999999998</v>
      </c>
      <c r="F538" s="1">
        <v>1529928</v>
      </c>
      <c r="G538">
        <v>3.9655826940875646E-2</v>
      </c>
    </row>
    <row r="539" spans="1:7" x14ac:dyDescent="0.35">
      <c r="A539">
        <v>2021</v>
      </c>
      <c r="B539" s="1" t="s">
        <v>170</v>
      </c>
      <c r="C539" s="1" t="s">
        <v>171</v>
      </c>
      <c r="D539" s="1" t="s">
        <v>7</v>
      </c>
      <c r="E539" s="1">
        <v>218787.86</v>
      </c>
      <c r="F539" s="1">
        <v>756543</v>
      </c>
      <c r="G539">
        <v>0.28919421632346076</v>
      </c>
    </row>
    <row r="540" spans="1:7" x14ac:dyDescent="0.35">
      <c r="A540">
        <v>2021</v>
      </c>
      <c r="B540" s="1" t="s">
        <v>170</v>
      </c>
      <c r="C540" s="1" t="s">
        <v>171</v>
      </c>
      <c r="D540" s="1" t="s">
        <v>8</v>
      </c>
      <c r="E540" s="1">
        <v>71637.2</v>
      </c>
      <c r="F540" s="1">
        <v>756543</v>
      </c>
      <c r="G540">
        <v>9.4690189453871088E-2</v>
      </c>
    </row>
    <row r="541" spans="1:7" x14ac:dyDescent="0.35">
      <c r="A541">
        <v>2021</v>
      </c>
      <c r="B541" s="1" t="s">
        <v>170</v>
      </c>
      <c r="C541" s="1" t="s">
        <v>171</v>
      </c>
      <c r="D541" s="1" t="s">
        <v>9</v>
      </c>
      <c r="E541" s="1">
        <v>169210.31</v>
      </c>
      <c r="F541" s="1">
        <v>756543</v>
      </c>
      <c r="G541">
        <v>0.22366251488679428</v>
      </c>
    </row>
    <row r="542" spans="1:7" x14ac:dyDescent="0.35">
      <c r="A542">
        <v>2021</v>
      </c>
      <c r="B542" s="1" t="s">
        <v>172</v>
      </c>
      <c r="C542" s="1" t="s">
        <v>173</v>
      </c>
      <c r="D542" s="1" t="s">
        <v>7</v>
      </c>
      <c r="E542" s="1">
        <v>338340.68</v>
      </c>
      <c r="F542" s="1">
        <v>1434367</v>
      </c>
      <c r="G542">
        <v>0.2358815282281313</v>
      </c>
    </row>
    <row r="543" spans="1:7" x14ac:dyDescent="0.35">
      <c r="A543">
        <v>2021</v>
      </c>
      <c r="B543" s="1" t="s">
        <v>172</v>
      </c>
      <c r="C543" s="1" t="s">
        <v>173</v>
      </c>
      <c r="D543" s="1" t="s">
        <v>8</v>
      </c>
      <c r="E543" s="1">
        <v>160905.98000000001</v>
      </c>
      <c r="F543" s="1">
        <v>1434367</v>
      </c>
      <c r="G543">
        <v>0.11217908666331561</v>
      </c>
    </row>
    <row r="544" spans="1:7" x14ac:dyDescent="0.35">
      <c r="A544">
        <v>2021</v>
      </c>
      <c r="B544" s="1" t="s">
        <v>172</v>
      </c>
      <c r="C544" s="1" t="s">
        <v>173</v>
      </c>
      <c r="D544" s="1" t="s">
        <v>9</v>
      </c>
      <c r="E544" s="1">
        <v>180577.86</v>
      </c>
      <c r="F544" s="1">
        <v>1434367</v>
      </c>
      <c r="G544">
        <v>0.12589376359048973</v>
      </c>
    </row>
    <row r="545" spans="1:7" x14ac:dyDescent="0.35">
      <c r="A545">
        <v>2021</v>
      </c>
      <c r="B545" s="1" t="s">
        <v>174</v>
      </c>
      <c r="C545" s="1" t="s">
        <v>175</v>
      </c>
      <c r="D545" s="1" t="s">
        <v>7</v>
      </c>
      <c r="E545" s="1">
        <v>43536.35</v>
      </c>
      <c r="F545" s="1">
        <v>192437</v>
      </c>
      <c r="G545">
        <v>0.22623689830957663</v>
      </c>
    </row>
    <row r="546" spans="1:7" x14ac:dyDescent="0.35">
      <c r="A546">
        <v>2021</v>
      </c>
      <c r="B546" s="1" t="s">
        <v>174</v>
      </c>
      <c r="C546" s="1" t="s">
        <v>175</v>
      </c>
      <c r="D546" s="1" t="s">
        <v>8</v>
      </c>
      <c r="E546" s="1">
        <v>19995.73</v>
      </c>
      <c r="F546" s="1">
        <v>192437</v>
      </c>
      <c r="G546">
        <v>0.10390792830900503</v>
      </c>
    </row>
    <row r="547" spans="1:7" x14ac:dyDescent="0.35">
      <c r="A547">
        <v>2021</v>
      </c>
      <c r="B547" s="1" t="s">
        <v>174</v>
      </c>
      <c r="C547" s="1" t="s">
        <v>175</v>
      </c>
      <c r="D547" s="1" t="s">
        <v>9</v>
      </c>
      <c r="E547" s="1">
        <v>37192.33</v>
      </c>
      <c r="F547" s="1">
        <v>192437</v>
      </c>
      <c r="G547">
        <v>0.19327016114364703</v>
      </c>
    </row>
    <row r="548" spans="1:7" x14ac:dyDescent="0.35">
      <c r="A548">
        <v>2011</v>
      </c>
      <c r="B548" s="1" t="s">
        <v>126</v>
      </c>
      <c r="C548" s="1" t="s">
        <v>127</v>
      </c>
      <c r="D548" s="1" t="s">
        <v>7</v>
      </c>
      <c r="E548" s="1">
        <v>378327.52</v>
      </c>
      <c r="F548" s="1">
        <v>1333702</v>
      </c>
      <c r="G548">
        <v>0.28366720601753614</v>
      </c>
    </row>
    <row r="549" spans="1:7" x14ac:dyDescent="0.35">
      <c r="A549">
        <v>2011</v>
      </c>
      <c r="B549" s="1" t="s">
        <v>126</v>
      </c>
      <c r="C549" s="1" t="s">
        <v>127</v>
      </c>
      <c r="D549" s="1" t="s">
        <v>8</v>
      </c>
      <c r="E549" s="1">
        <v>129534.97</v>
      </c>
      <c r="F549" s="1">
        <v>1333702</v>
      </c>
      <c r="G549">
        <v>9.7124372610973064E-2</v>
      </c>
    </row>
    <row r="550" spans="1:7" x14ac:dyDescent="0.35">
      <c r="A550">
        <v>2011</v>
      </c>
      <c r="B550" s="1" t="s">
        <v>126</v>
      </c>
      <c r="C550" s="1" t="s">
        <v>127</v>
      </c>
      <c r="D550" s="1" t="s">
        <v>9</v>
      </c>
      <c r="E550" s="1">
        <v>43580.84</v>
      </c>
      <c r="F550" s="1">
        <v>1333702</v>
      </c>
      <c r="G550">
        <v>3.2676594921504203E-2</v>
      </c>
    </row>
    <row r="551" spans="1:7" x14ac:dyDescent="0.35">
      <c r="A551">
        <v>2021</v>
      </c>
      <c r="B551" s="1" t="s">
        <v>150</v>
      </c>
      <c r="C551" s="1" t="s">
        <v>151</v>
      </c>
      <c r="D551" s="1" t="s">
        <v>7</v>
      </c>
      <c r="E551" s="1">
        <v>371528.79</v>
      </c>
      <c r="F551" s="1">
        <v>1654970</v>
      </c>
      <c r="G551">
        <v>0.22449276421929096</v>
      </c>
    </row>
    <row r="552" spans="1:7" x14ac:dyDescent="0.35">
      <c r="A552">
        <v>2021</v>
      </c>
      <c r="B552" s="1" t="s">
        <v>150</v>
      </c>
      <c r="C552" s="1" t="s">
        <v>151</v>
      </c>
      <c r="D552" s="1" t="s">
        <v>8</v>
      </c>
      <c r="E552" s="1">
        <v>178772.9</v>
      </c>
      <c r="F552" s="1">
        <v>1654970</v>
      </c>
      <c r="G552">
        <v>0.10802183725384749</v>
      </c>
    </row>
    <row r="553" spans="1:7" x14ac:dyDescent="0.35">
      <c r="A553">
        <v>2021</v>
      </c>
      <c r="B553" s="1" t="s">
        <v>150</v>
      </c>
      <c r="C553" s="1" t="s">
        <v>151</v>
      </c>
      <c r="D553" s="1" t="s">
        <v>9</v>
      </c>
      <c r="E553" s="1">
        <v>362378.01</v>
      </c>
      <c r="F553" s="1">
        <v>1654970</v>
      </c>
      <c r="G553">
        <v>0.2189634917853496</v>
      </c>
    </row>
    <row r="554" spans="1:7" x14ac:dyDescent="0.35">
      <c r="A554">
        <v>2021</v>
      </c>
      <c r="B554" s="1" t="s">
        <v>176</v>
      </c>
      <c r="C554" s="1" t="s">
        <v>177</v>
      </c>
      <c r="D554" s="1" t="s">
        <v>7</v>
      </c>
      <c r="E554" s="1">
        <v>341511.14</v>
      </c>
      <c r="F554" s="1">
        <v>1201883</v>
      </c>
      <c r="G554">
        <v>0.2841467430690009</v>
      </c>
    </row>
    <row r="555" spans="1:7" x14ac:dyDescent="0.35">
      <c r="A555">
        <v>2021</v>
      </c>
      <c r="B555" s="1" t="s">
        <v>176</v>
      </c>
      <c r="C555" s="1" t="s">
        <v>177</v>
      </c>
      <c r="D555" s="1" t="s">
        <v>8</v>
      </c>
      <c r="E555" s="1">
        <v>128482.37</v>
      </c>
      <c r="F555" s="1">
        <v>1201883</v>
      </c>
      <c r="G555">
        <v>0.10690089634348768</v>
      </c>
    </row>
    <row r="556" spans="1:7" x14ac:dyDescent="0.35">
      <c r="A556">
        <v>2021</v>
      </c>
      <c r="B556" s="1" t="s">
        <v>176</v>
      </c>
      <c r="C556" s="1" t="s">
        <v>177</v>
      </c>
      <c r="D556" s="1" t="s">
        <v>9</v>
      </c>
      <c r="E556" s="1">
        <v>239220.33</v>
      </c>
      <c r="F556" s="1">
        <v>1201883</v>
      </c>
      <c r="G556">
        <v>0.19903795128144752</v>
      </c>
    </row>
    <row r="557" spans="1:7" x14ac:dyDescent="0.35">
      <c r="A557">
        <v>2021</v>
      </c>
      <c r="B557" s="1" t="s">
        <v>52</v>
      </c>
      <c r="C557" s="1" t="s">
        <v>53</v>
      </c>
      <c r="D557" s="1" t="s">
        <v>7</v>
      </c>
      <c r="E557" s="1">
        <v>185319.02</v>
      </c>
      <c r="F557" s="1">
        <v>1098325</v>
      </c>
      <c r="G557">
        <v>0.16872876425466049</v>
      </c>
    </row>
    <row r="558" spans="1:7" x14ac:dyDescent="0.35">
      <c r="A558">
        <v>2021</v>
      </c>
      <c r="B558" s="1" t="s">
        <v>52</v>
      </c>
      <c r="C558" s="1" t="s">
        <v>53</v>
      </c>
      <c r="D558" s="1" t="s">
        <v>8</v>
      </c>
      <c r="E558" s="1">
        <v>120632.97</v>
      </c>
      <c r="F558" s="1">
        <v>1098325</v>
      </c>
      <c r="G558">
        <v>0.10983358295586461</v>
      </c>
    </row>
    <row r="559" spans="1:7" x14ac:dyDescent="0.35">
      <c r="A559">
        <v>2021</v>
      </c>
      <c r="B559" s="1" t="s">
        <v>52</v>
      </c>
      <c r="C559" s="1" t="s">
        <v>53</v>
      </c>
      <c r="D559" s="1" t="s">
        <v>9</v>
      </c>
      <c r="E559" s="1">
        <v>225398.92</v>
      </c>
      <c r="F559" s="1">
        <v>1098325</v>
      </c>
      <c r="G559">
        <v>0.20522060410170032</v>
      </c>
    </row>
    <row r="560" spans="1:7" x14ac:dyDescent="0.35">
      <c r="A560">
        <v>2011</v>
      </c>
      <c r="B560" s="1" t="s">
        <v>128</v>
      </c>
      <c r="C560" s="1" t="s">
        <v>129</v>
      </c>
      <c r="D560" s="1" t="s">
        <v>7</v>
      </c>
      <c r="E560" s="1">
        <v>359975.51</v>
      </c>
      <c r="F560" s="1">
        <v>1180365</v>
      </c>
      <c r="G560">
        <v>0.30496965769062961</v>
      </c>
    </row>
    <row r="561" spans="1:7" x14ac:dyDescent="0.35">
      <c r="A561">
        <v>2011</v>
      </c>
      <c r="B561" s="1" t="s">
        <v>128</v>
      </c>
      <c r="C561" s="1" t="s">
        <v>129</v>
      </c>
      <c r="D561" s="1" t="s">
        <v>8</v>
      </c>
      <c r="E561" s="1">
        <v>118073.07</v>
      </c>
      <c r="F561" s="1">
        <v>1180365</v>
      </c>
      <c r="G561">
        <v>0.10003098194202641</v>
      </c>
    </row>
    <row r="562" spans="1:7" x14ac:dyDescent="0.35">
      <c r="A562">
        <v>2011</v>
      </c>
      <c r="B562" s="1" t="s">
        <v>128</v>
      </c>
      <c r="C562" s="1" t="s">
        <v>129</v>
      </c>
      <c r="D562" s="1" t="s">
        <v>9</v>
      </c>
      <c r="E562" s="1">
        <v>77633.25</v>
      </c>
      <c r="F562" s="1">
        <v>1180365</v>
      </c>
      <c r="G562">
        <v>6.5770545551587858E-2</v>
      </c>
    </row>
    <row r="563" spans="1:7" x14ac:dyDescent="0.35">
      <c r="A563">
        <v>2021</v>
      </c>
      <c r="B563" s="1" t="s">
        <v>60</v>
      </c>
      <c r="C563" s="1" t="s">
        <v>61</v>
      </c>
      <c r="D563" s="1" t="s">
        <v>7</v>
      </c>
      <c r="E563" s="1">
        <v>37271.81</v>
      </c>
      <c r="F563" s="1">
        <v>217228</v>
      </c>
      <c r="G563">
        <v>0.17157921630729003</v>
      </c>
    </row>
    <row r="564" spans="1:7" x14ac:dyDescent="0.35">
      <c r="A564">
        <v>2021</v>
      </c>
      <c r="B564" s="1" t="s">
        <v>60</v>
      </c>
      <c r="C564" s="1" t="s">
        <v>61</v>
      </c>
      <c r="D564" s="1" t="s">
        <v>8</v>
      </c>
      <c r="E564" s="1">
        <v>31083.74</v>
      </c>
      <c r="F564" s="1">
        <v>217228</v>
      </c>
      <c r="G564">
        <v>0.14309269523265877</v>
      </c>
    </row>
    <row r="565" spans="1:7" x14ac:dyDescent="0.35">
      <c r="A565">
        <v>2021</v>
      </c>
      <c r="B565" s="1" t="s">
        <v>60</v>
      </c>
      <c r="C565" s="1" t="s">
        <v>61</v>
      </c>
      <c r="D565" s="1" t="s">
        <v>9</v>
      </c>
      <c r="E565" s="1">
        <v>46258.74</v>
      </c>
      <c r="F565" s="1">
        <v>217228</v>
      </c>
      <c r="G565">
        <v>0.2129501721693336</v>
      </c>
    </row>
    <row r="566" spans="1:7" x14ac:dyDescent="0.35">
      <c r="A566">
        <v>2021</v>
      </c>
      <c r="B566" s="1" t="s">
        <v>62</v>
      </c>
      <c r="C566" s="1" t="s">
        <v>63</v>
      </c>
      <c r="D566" s="1" t="s">
        <v>7</v>
      </c>
      <c r="E566" s="1">
        <v>125753.7</v>
      </c>
      <c r="F566" s="1">
        <v>612160</v>
      </c>
      <c r="G566">
        <v>0.20542619576581286</v>
      </c>
    </row>
    <row r="567" spans="1:7" x14ac:dyDescent="0.35">
      <c r="A567">
        <v>2021</v>
      </c>
      <c r="B567" s="1" t="s">
        <v>62</v>
      </c>
      <c r="C567" s="1" t="s">
        <v>63</v>
      </c>
      <c r="D567" s="1" t="s">
        <v>8</v>
      </c>
      <c r="E567" s="1">
        <v>85389.35</v>
      </c>
      <c r="F567" s="1">
        <v>612160</v>
      </c>
      <c r="G567">
        <v>0.13948861408782018</v>
      </c>
    </row>
    <row r="568" spans="1:7" x14ac:dyDescent="0.35">
      <c r="A568">
        <v>2021</v>
      </c>
      <c r="B568" s="1" t="s">
        <v>62</v>
      </c>
      <c r="C568" s="1" t="s">
        <v>63</v>
      </c>
      <c r="D568" s="1" t="s">
        <v>9</v>
      </c>
      <c r="E568" s="1">
        <v>108105.60000000001</v>
      </c>
      <c r="F568" s="1">
        <v>612160</v>
      </c>
      <c r="G568">
        <v>0.17659696811291167</v>
      </c>
    </row>
    <row r="569" spans="1:7" x14ac:dyDescent="0.35">
      <c r="A569">
        <v>2021</v>
      </c>
      <c r="B569" s="1" t="s">
        <v>18</v>
      </c>
      <c r="C569" s="1" t="s">
        <v>19</v>
      </c>
      <c r="D569" s="1" t="s">
        <v>7</v>
      </c>
      <c r="E569" s="1">
        <v>271161.38</v>
      </c>
      <c r="F569" s="1">
        <v>1284948</v>
      </c>
      <c r="G569">
        <v>0.21102906888060841</v>
      </c>
    </row>
    <row r="570" spans="1:7" x14ac:dyDescent="0.35">
      <c r="A570">
        <v>2021</v>
      </c>
      <c r="B570" s="1" t="s">
        <v>18</v>
      </c>
      <c r="C570" s="1" t="s">
        <v>19</v>
      </c>
      <c r="D570" s="1" t="s">
        <v>8</v>
      </c>
      <c r="E570" s="1">
        <v>120304.6</v>
      </c>
      <c r="F570" s="1">
        <v>1284948</v>
      </c>
      <c r="G570">
        <v>9.3626045567602734E-2</v>
      </c>
    </row>
    <row r="571" spans="1:7" x14ac:dyDescent="0.35">
      <c r="A571">
        <v>2021</v>
      </c>
      <c r="B571" s="1" t="s">
        <v>18</v>
      </c>
      <c r="C571" s="1" t="s">
        <v>19</v>
      </c>
      <c r="D571" s="1" t="s">
        <v>9</v>
      </c>
      <c r="E571" s="1">
        <v>271856.8</v>
      </c>
      <c r="F571" s="1">
        <v>1284948</v>
      </c>
      <c r="G571">
        <v>0.21157027366087966</v>
      </c>
    </row>
    <row r="572" spans="1:7" x14ac:dyDescent="0.35">
      <c r="A572">
        <v>2011</v>
      </c>
      <c r="B572" s="1" t="s">
        <v>130</v>
      </c>
      <c r="C572" s="1" t="s">
        <v>131</v>
      </c>
      <c r="D572" s="1" t="s">
        <v>7</v>
      </c>
      <c r="E572" s="1">
        <v>202616.48</v>
      </c>
      <c r="F572" s="1">
        <v>685262</v>
      </c>
      <c r="G572">
        <v>0.29567739054551401</v>
      </c>
    </row>
    <row r="573" spans="1:7" x14ac:dyDescent="0.35">
      <c r="A573">
        <v>2011</v>
      </c>
      <c r="B573" s="1" t="s">
        <v>130</v>
      </c>
      <c r="C573" s="1" t="s">
        <v>131</v>
      </c>
      <c r="D573" s="1" t="s">
        <v>8</v>
      </c>
      <c r="E573" s="1">
        <v>96185.79</v>
      </c>
      <c r="F573" s="1">
        <v>685262</v>
      </c>
      <c r="G573">
        <v>0.14036352519182443</v>
      </c>
    </row>
    <row r="574" spans="1:7" x14ac:dyDescent="0.35">
      <c r="A574">
        <v>2011</v>
      </c>
      <c r="B574" s="1" t="s">
        <v>130</v>
      </c>
      <c r="C574" s="1" t="s">
        <v>131</v>
      </c>
      <c r="D574" s="1" t="s">
        <v>9</v>
      </c>
      <c r="E574" s="1">
        <v>131228.26999999999</v>
      </c>
      <c r="F574" s="1">
        <v>685262</v>
      </c>
      <c r="G574">
        <v>0.19150087119962875</v>
      </c>
    </row>
    <row r="575" spans="1:7" x14ac:dyDescent="0.35">
      <c r="A575">
        <v>2021</v>
      </c>
      <c r="B575" s="1" t="s">
        <v>36</v>
      </c>
      <c r="C575" s="1" t="s">
        <v>37</v>
      </c>
      <c r="D575" s="1" t="s">
        <v>7</v>
      </c>
      <c r="E575" s="1">
        <v>48962.53</v>
      </c>
      <c r="F575" s="1">
        <v>258555</v>
      </c>
      <c r="G575">
        <v>0.18936988261685134</v>
      </c>
    </row>
    <row r="576" spans="1:7" x14ac:dyDescent="0.35">
      <c r="A576">
        <v>2021</v>
      </c>
      <c r="B576" s="1" t="s">
        <v>36</v>
      </c>
      <c r="C576" s="1" t="s">
        <v>37</v>
      </c>
      <c r="D576" s="1" t="s">
        <v>8</v>
      </c>
      <c r="E576" s="1">
        <v>38908.75</v>
      </c>
      <c r="F576" s="1">
        <v>258555</v>
      </c>
      <c r="G576">
        <v>0.15048538995571542</v>
      </c>
    </row>
    <row r="577" spans="1:7" x14ac:dyDescent="0.35">
      <c r="A577">
        <v>2021</v>
      </c>
      <c r="B577" s="1" t="s">
        <v>36</v>
      </c>
      <c r="C577" s="1" t="s">
        <v>37</v>
      </c>
      <c r="D577" s="1" t="s">
        <v>9</v>
      </c>
      <c r="E577" s="1">
        <v>46482.1</v>
      </c>
      <c r="F577" s="1">
        <v>258555</v>
      </c>
      <c r="G577">
        <v>0.17977644988493743</v>
      </c>
    </row>
    <row r="578" spans="1:7" x14ac:dyDescent="0.35">
      <c r="A578">
        <v>2021</v>
      </c>
      <c r="B578" s="1" t="s">
        <v>152</v>
      </c>
      <c r="C578" s="1" t="s">
        <v>153</v>
      </c>
      <c r="D578" s="1" t="s">
        <v>7</v>
      </c>
      <c r="E578" s="1">
        <v>125537.25</v>
      </c>
      <c r="F578" s="1">
        <v>422976</v>
      </c>
      <c r="G578">
        <v>0.29679520823876532</v>
      </c>
    </row>
    <row r="579" spans="1:7" x14ac:dyDescent="0.35">
      <c r="A579">
        <v>2021</v>
      </c>
      <c r="B579" s="1" t="s">
        <v>152</v>
      </c>
      <c r="C579" s="1" t="s">
        <v>153</v>
      </c>
      <c r="D579" s="1" t="s">
        <v>8</v>
      </c>
      <c r="E579" s="1">
        <v>42012.33</v>
      </c>
      <c r="F579" s="1">
        <v>422976</v>
      </c>
      <c r="G579">
        <v>9.9325564571039499E-2</v>
      </c>
    </row>
    <row r="580" spans="1:7" x14ac:dyDescent="0.35">
      <c r="A580">
        <v>2021</v>
      </c>
      <c r="B580" s="1" t="s">
        <v>152</v>
      </c>
      <c r="C580" s="1" t="s">
        <v>153</v>
      </c>
      <c r="D580" s="1" t="s">
        <v>9</v>
      </c>
      <c r="E580" s="1">
        <v>209590.83</v>
      </c>
      <c r="F580" s="1">
        <v>422976</v>
      </c>
      <c r="G580">
        <v>0.49551471005447112</v>
      </c>
    </row>
    <row r="581" spans="1:7" x14ac:dyDescent="0.35">
      <c r="A581">
        <v>2021</v>
      </c>
      <c r="B581" s="1" t="s">
        <v>64</v>
      </c>
      <c r="C581" s="1" t="s">
        <v>65</v>
      </c>
      <c r="D581" s="1" t="s">
        <v>7</v>
      </c>
      <c r="E581" s="1">
        <v>71746.19</v>
      </c>
      <c r="F581" s="1">
        <v>328504</v>
      </c>
      <c r="G581">
        <v>0.21840278961595597</v>
      </c>
    </row>
    <row r="582" spans="1:7" x14ac:dyDescent="0.35">
      <c r="A582">
        <v>2021</v>
      </c>
      <c r="B582" s="1" t="s">
        <v>64</v>
      </c>
      <c r="C582" s="1" t="s">
        <v>65</v>
      </c>
      <c r="D582" s="1" t="s">
        <v>8</v>
      </c>
      <c r="E582" s="1">
        <v>29051.599999999999</v>
      </c>
      <c r="F582" s="1">
        <v>328504</v>
      </c>
      <c r="G582">
        <v>8.8436061661349624E-2</v>
      </c>
    </row>
    <row r="583" spans="1:7" x14ac:dyDescent="0.35">
      <c r="A583">
        <v>2021</v>
      </c>
      <c r="B583" s="1" t="s">
        <v>64</v>
      </c>
      <c r="C583" s="1" t="s">
        <v>65</v>
      </c>
      <c r="D583" s="1" t="s">
        <v>9</v>
      </c>
      <c r="E583" s="1">
        <v>88522.38</v>
      </c>
      <c r="F583" s="1">
        <v>328504</v>
      </c>
      <c r="G583">
        <v>0.26947123931519862</v>
      </c>
    </row>
    <row r="584" spans="1:7" x14ac:dyDescent="0.35">
      <c r="A584">
        <v>2011</v>
      </c>
      <c r="B584" s="1" t="s">
        <v>132</v>
      </c>
      <c r="C584" s="1" t="s">
        <v>133</v>
      </c>
      <c r="D584" s="1" t="s">
        <v>7</v>
      </c>
      <c r="E584" s="1">
        <v>163120.15</v>
      </c>
      <c r="F584" s="1">
        <v>588111</v>
      </c>
      <c r="G584">
        <v>0.27736286177269254</v>
      </c>
    </row>
    <row r="585" spans="1:7" x14ac:dyDescent="0.35">
      <c r="A585">
        <v>2011</v>
      </c>
      <c r="B585" s="1" t="s">
        <v>132</v>
      </c>
      <c r="C585" s="1" t="s">
        <v>133</v>
      </c>
      <c r="D585" s="1" t="s">
        <v>8</v>
      </c>
      <c r="E585" s="1">
        <v>63389.86</v>
      </c>
      <c r="F585" s="1">
        <v>588111</v>
      </c>
      <c r="G585">
        <v>0.10778553708398585</v>
      </c>
    </row>
    <row r="586" spans="1:7" x14ac:dyDescent="0.35">
      <c r="A586">
        <v>2011</v>
      </c>
      <c r="B586" s="1" t="s">
        <v>132</v>
      </c>
      <c r="C586" s="1" t="s">
        <v>133</v>
      </c>
      <c r="D586" s="1" t="s">
        <v>9</v>
      </c>
      <c r="E586" s="1">
        <v>126102.21</v>
      </c>
      <c r="F586" s="1">
        <v>588111</v>
      </c>
      <c r="G586">
        <v>0.21441906374816999</v>
      </c>
    </row>
    <row r="587" spans="1:7" x14ac:dyDescent="0.35">
      <c r="A587">
        <v>2021</v>
      </c>
      <c r="B587" s="1" t="s">
        <v>20</v>
      </c>
      <c r="C587" s="1" t="s">
        <v>21</v>
      </c>
      <c r="D587" s="1" t="s">
        <v>7</v>
      </c>
      <c r="E587" s="1">
        <v>168863.33</v>
      </c>
      <c r="F587" s="1">
        <v>769029</v>
      </c>
      <c r="G587">
        <v>0.21957992481427877</v>
      </c>
    </row>
    <row r="588" spans="1:7" x14ac:dyDescent="0.35">
      <c r="A588">
        <v>2021</v>
      </c>
      <c r="B588" s="1" t="s">
        <v>20</v>
      </c>
      <c r="C588" s="1" t="s">
        <v>21</v>
      </c>
      <c r="D588" s="1" t="s">
        <v>8</v>
      </c>
      <c r="E588" s="1">
        <v>70566.679999999993</v>
      </c>
      <c r="F588" s="1">
        <v>769029</v>
      </c>
      <c r="G588">
        <v>9.1760752845471361E-2</v>
      </c>
    </row>
    <row r="589" spans="1:7" x14ac:dyDescent="0.35">
      <c r="A589">
        <v>2021</v>
      </c>
      <c r="B589" s="1" t="s">
        <v>20</v>
      </c>
      <c r="C589" s="1" t="s">
        <v>21</v>
      </c>
      <c r="D589" s="1" t="s">
        <v>9</v>
      </c>
      <c r="E589" s="1">
        <v>152620.1</v>
      </c>
      <c r="F589" s="1">
        <v>769029</v>
      </c>
      <c r="G589">
        <v>0.1984581855820782</v>
      </c>
    </row>
    <row r="590" spans="1:7" x14ac:dyDescent="0.35">
      <c r="A590">
        <v>2021</v>
      </c>
      <c r="B590" s="1" t="s">
        <v>22</v>
      </c>
      <c r="C590" s="1" t="s">
        <v>23</v>
      </c>
      <c r="D590" s="1" t="s">
        <v>7</v>
      </c>
      <c r="E590" s="1">
        <v>47377.93</v>
      </c>
      <c r="F590" s="1">
        <v>227284</v>
      </c>
      <c r="G590">
        <v>0.20845255275338342</v>
      </c>
    </row>
    <row r="591" spans="1:7" x14ac:dyDescent="0.35">
      <c r="A591">
        <v>2021</v>
      </c>
      <c r="B591" s="1" t="s">
        <v>22</v>
      </c>
      <c r="C591" s="1" t="s">
        <v>23</v>
      </c>
      <c r="D591" s="1" t="s">
        <v>8</v>
      </c>
      <c r="E591" s="1">
        <v>21095.41</v>
      </c>
      <c r="F591" s="1">
        <v>227284</v>
      </c>
      <c r="G591">
        <v>9.2815200366061848E-2</v>
      </c>
    </row>
    <row r="592" spans="1:7" x14ac:dyDescent="0.35">
      <c r="A592">
        <v>2021</v>
      </c>
      <c r="B592" s="1" t="s">
        <v>22</v>
      </c>
      <c r="C592" s="1" t="s">
        <v>23</v>
      </c>
      <c r="D592" s="1" t="s">
        <v>9</v>
      </c>
      <c r="E592" s="1">
        <v>48127.51</v>
      </c>
      <c r="F592" s="1">
        <v>227284</v>
      </c>
      <c r="G592">
        <v>0.21175054117315781</v>
      </c>
    </row>
    <row r="593" spans="1:7" x14ac:dyDescent="0.35">
      <c r="A593">
        <v>2021</v>
      </c>
      <c r="B593" s="1" t="s">
        <v>190</v>
      </c>
      <c r="C593" s="1" t="s">
        <v>191</v>
      </c>
      <c r="D593" s="1" t="s">
        <v>7</v>
      </c>
      <c r="E593" s="1">
        <v>262449.33</v>
      </c>
      <c r="F593" s="1">
        <v>1457806</v>
      </c>
      <c r="G593">
        <v>0.18003035383308891</v>
      </c>
    </row>
    <row r="594" spans="1:7" x14ac:dyDescent="0.35">
      <c r="A594">
        <v>2021</v>
      </c>
      <c r="B594" s="1" t="s">
        <v>190</v>
      </c>
      <c r="C594" s="1" t="s">
        <v>191</v>
      </c>
      <c r="D594" s="1" t="s">
        <v>8</v>
      </c>
      <c r="E594" s="1">
        <v>146087.91</v>
      </c>
      <c r="F594" s="1">
        <v>1457806</v>
      </c>
      <c r="G594">
        <v>0.10021080308353787</v>
      </c>
    </row>
    <row r="595" spans="1:7" x14ac:dyDescent="0.35">
      <c r="A595">
        <v>2021</v>
      </c>
      <c r="B595" s="1" t="s">
        <v>190</v>
      </c>
      <c r="C595" s="1" t="s">
        <v>191</v>
      </c>
      <c r="D595" s="1" t="s">
        <v>9</v>
      </c>
      <c r="E595" s="1">
        <v>351454.57</v>
      </c>
      <c r="F595" s="1">
        <v>1457806</v>
      </c>
      <c r="G595">
        <v>0.24108459561834703</v>
      </c>
    </row>
    <row r="596" spans="1:7" x14ac:dyDescent="0.35">
      <c r="A596">
        <v>2011</v>
      </c>
      <c r="B596" s="1" t="s">
        <v>134</v>
      </c>
      <c r="C596" s="1" t="s">
        <v>135</v>
      </c>
      <c r="D596" s="1" t="s">
        <v>7</v>
      </c>
      <c r="E596" s="1">
        <v>144944.91</v>
      </c>
      <c r="F596" s="1">
        <v>499531</v>
      </c>
      <c r="G596">
        <v>0.29016199194844766</v>
      </c>
    </row>
    <row r="597" spans="1:7" x14ac:dyDescent="0.35">
      <c r="A597">
        <v>2011</v>
      </c>
      <c r="B597" s="1" t="s">
        <v>134</v>
      </c>
      <c r="C597" s="1" t="s">
        <v>135</v>
      </c>
      <c r="D597" s="1" t="s">
        <v>8</v>
      </c>
      <c r="E597" s="1">
        <v>54797.63</v>
      </c>
      <c r="F597" s="1">
        <v>499531</v>
      </c>
      <c r="G597">
        <v>0.10969815687114513</v>
      </c>
    </row>
    <row r="598" spans="1:7" x14ac:dyDescent="0.35">
      <c r="A598">
        <v>2011</v>
      </c>
      <c r="B598" s="1" t="s">
        <v>134</v>
      </c>
      <c r="C598" s="1" t="s">
        <v>135</v>
      </c>
      <c r="D598" s="1" t="s">
        <v>9</v>
      </c>
      <c r="E598" s="1">
        <v>121124.13</v>
      </c>
      <c r="F598" s="1">
        <v>499531</v>
      </c>
      <c r="G598">
        <v>0.24247570220867173</v>
      </c>
    </row>
    <row r="599" spans="1:7" x14ac:dyDescent="0.35">
      <c r="A599">
        <v>2021</v>
      </c>
      <c r="B599" s="1" t="s">
        <v>66</v>
      </c>
      <c r="C599" s="1" t="s">
        <v>67</v>
      </c>
      <c r="D599" s="1" t="s">
        <v>7</v>
      </c>
      <c r="E599" s="1">
        <v>146215.43</v>
      </c>
      <c r="F599" s="1">
        <v>684561</v>
      </c>
      <c r="G599">
        <v>0.21359006721095708</v>
      </c>
    </row>
    <row r="600" spans="1:7" x14ac:dyDescent="0.35">
      <c r="A600">
        <v>2021</v>
      </c>
      <c r="B600" s="1" t="s">
        <v>66</v>
      </c>
      <c r="C600" s="1" t="s">
        <v>67</v>
      </c>
      <c r="D600" s="1" t="s">
        <v>8</v>
      </c>
      <c r="E600" s="1">
        <v>55448.05</v>
      </c>
      <c r="F600" s="1">
        <v>684561</v>
      </c>
      <c r="G600">
        <v>8.0997968040832008E-2</v>
      </c>
    </row>
    <row r="601" spans="1:7" x14ac:dyDescent="0.35">
      <c r="A601">
        <v>2021</v>
      </c>
      <c r="B601" s="1" t="s">
        <v>66</v>
      </c>
      <c r="C601" s="1" t="s">
        <v>67</v>
      </c>
      <c r="D601" s="1" t="s">
        <v>9</v>
      </c>
      <c r="E601" s="1">
        <v>170385.91</v>
      </c>
      <c r="F601" s="1">
        <v>684561</v>
      </c>
      <c r="G601">
        <v>0.24889806752064461</v>
      </c>
    </row>
    <row r="602" spans="1:7" x14ac:dyDescent="0.35">
      <c r="A602">
        <v>2021</v>
      </c>
      <c r="B602" s="1" t="s">
        <v>178</v>
      </c>
      <c r="C602" s="1" t="s">
        <v>179</v>
      </c>
      <c r="D602" s="1" t="s">
        <v>7</v>
      </c>
      <c r="E602" s="1">
        <v>37761.230000000003</v>
      </c>
      <c r="F602" s="1">
        <v>174942</v>
      </c>
      <c r="G602">
        <v>0.21584999599867385</v>
      </c>
    </row>
    <row r="603" spans="1:7" x14ac:dyDescent="0.35">
      <c r="A603">
        <v>2021</v>
      </c>
      <c r="B603" s="1" t="s">
        <v>178</v>
      </c>
      <c r="C603" s="1" t="s">
        <v>179</v>
      </c>
      <c r="D603" s="1" t="s">
        <v>8</v>
      </c>
      <c r="E603" s="1">
        <v>25850.03</v>
      </c>
      <c r="F603" s="1">
        <v>174942</v>
      </c>
      <c r="G603">
        <v>0.14776343016542626</v>
      </c>
    </row>
    <row r="604" spans="1:7" x14ac:dyDescent="0.35">
      <c r="A604">
        <v>2021</v>
      </c>
      <c r="B604" s="1" t="s">
        <v>178</v>
      </c>
      <c r="C604" s="1" t="s">
        <v>179</v>
      </c>
      <c r="D604" s="1" t="s">
        <v>9</v>
      </c>
      <c r="E604" s="1">
        <v>43790.2</v>
      </c>
      <c r="F604" s="1">
        <v>174942</v>
      </c>
      <c r="G604">
        <v>0.25031267505801919</v>
      </c>
    </row>
    <row r="605" spans="1:7" x14ac:dyDescent="0.35">
      <c r="A605">
        <v>2021</v>
      </c>
      <c r="B605" s="1" t="s">
        <v>154</v>
      </c>
      <c r="C605" s="1" t="s">
        <v>155</v>
      </c>
      <c r="D605" s="1" t="s">
        <v>7</v>
      </c>
      <c r="E605" s="1">
        <v>80895.31</v>
      </c>
      <c r="F605" s="1">
        <v>331229</v>
      </c>
      <c r="G605">
        <v>0.24422773972085776</v>
      </c>
    </row>
    <row r="606" spans="1:7" x14ac:dyDescent="0.35">
      <c r="A606">
        <v>2021</v>
      </c>
      <c r="B606" s="1" t="s">
        <v>154</v>
      </c>
      <c r="C606" s="1" t="s">
        <v>155</v>
      </c>
      <c r="D606" s="1" t="s">
        <v>8</v>
      </c>
      <c r="E606" s="1">
        <v>39225.879999999997</v>
      </c>
      <c r="F606" s="1">
        <v>331229</v>
      </c>
      <c r="G606">
        <v>0.11842525865790736</v>
      </c>
    </row>
    <row r="607" spans="1:7" x14ac:dyDescent="0.35">
      <c r="A607">
        <v>2021</v>
      </c>
      <c r="B607" s="1" t="s">
        <v>154</v>
      </c>
      <c r="C607" s="1" t="s">
        <v>155</v>
      </c>
      <c r="D607" s="1" t="s">
        <v>9</v>
      </c>
      <c r="E607" s="1">
        <v>78813.84</v>
      </c>
      <c r="F607" s="1">
        <v>331229</v>
      </c>
      <c r="G607">
        <v>0.23794365831494221</v>
      </c>
    </row>
    <row r="608" spans="1:7" x14ac:dyDescent="0.35">
      <c r="A608">
        <v>2011</v>
      </c>
      <c r="B608" s="1" t="s">
        <v>136</v>
      </c>
      <c r="C608" s="1" t="s">
        <v>137</v>
      </c>
      <c r="D608" s="1" t="s">
        <v>7</v>
      </c>
      <c r="E608" s="1">
        <v>74188.55</v>
      </c>
      <c r="F608" s="1">
        <v>290891</v>
      </c>
      <c r="G608">
        <v>0.25503900086286618</v>
      </c>
    </row>
    <row r="609" spans="1:7" x14ac:dyDescent="0.35">
      <c r="A609">
        <v>2011</v>
      </c>
      <c r="B609" s="1" t="s">
        <v>136</v>
      </c>
      <c r="C609" s="1" t="s">
        <v>137</v>
      </c>
      <c r="D609" s="1" t="s">
        <v>8</v>
      </c>
      <c r="E609" s="1">
        <v>22326.799999999999</v>
      </c>
      <c r="F609" s="1">
        <v>290891</v>
      </c>
      <c r="G609">
        <v>7.6753148086396619E-2</v>
      </c>
    </row>
    <row r="610" spans="1:7" x14ac:dyDescent="0.35">
      <c r="A610">
        <v>2011</v>
      </c>
      <c r="B610" s="1" t="s">
        <v>136</v>
      </c>
      <c r="C610" s="1" t="s">
        <v>137</v>
      </c>
      <c r="D610" s="1" t="s">
        <v>9</v>
      </c>
      <c r="E610" s="1">
        <v>59471.09</v>
      </c>
      <c r="F610" s="1">
        <v>290891</v>
      </c>
      <c r="G610">
        <v>0.20444458577267774</v>
      </c>
    </row>
    <row r="611" spans="1:7" x14ac:dyDescent="0.35">
      <c r="A611">
        <v>2021</v>
      </c>
      <c r="B611" s="1" t="s">
        <v>180</v>
      </c>
      <c r="C611" s="1" t="s">
        <v>181</v>
      </c>
      <c r="D611" s="1" t="s">
        <v>7</v>
      </c>
      <c r="E611" s="1">
        <v>20181.03</v>
      </c>
      <c r="F611" s="1">
        <v>76519</v>
      </c>
      <c r="G611">
        <v>0.26373880996876592</v>
      </c>
    </row>
    <row r="612" spans="1:7" x14ac:dyDescent="0.35">
      <c r="A612">
        <v>2021</v>
      </c>
      <c r="B612" s="1" t="s">
        <v>180</v>
      </c>
      <c r="C612" s="1" t="s">
        <v>181</v>
      </c>
      <c r="D612" s="1" t="s">
        <v>8</v>
      </c>
      <c r="E612" s="1">
        <v>6947.6</v>
      </c>
      <c r="F612" s="1">
        <v>76519</v>
      </c>
      <c r="G612">
        <v>9.0795750075144746E-2</v>
      </c>
    </row>
    <row r="613" spans="1:7" x14ac:dyDescent="0.35">
      <c r="A613">
        <v>2021</v>
      </c>
      <c r="B613" s="1" t="s">
        <v>180</v>
      </c>
      <c r="C613" s="1" t="s">
        <v>181</v>
      </c>
      <c r="D613" s="1" t="s">
        <v>9</v>
      </c>
      <c r="E613" s="1">
        <v>17270.419999999998</v>
      </c>
      <c r="F613" s="1">
        <v>76519</v>
      </c>
      <c r="G613">
        <v>0.22570106770867365</v>
      </c>
    </row>
    <row r="614" spans="1:7" x14ac:dyDescent="0.35">
      <c r="A614">
        <v>2021</v>
      </c>
      <c r="B614" s="1" t="s">
        <v>192</v>
      </c>
      <c r="C614" s="1" t="s">
        <v>193</v>
      </c>
      <c r="D614" s="1" t="s">
        <v>7</v>
      </c>
      <c r="E614" s="1">
        <v>121842.36</v>
      </c>
      <c r="F614" s="1">
        <v>824743</v>
      </c>
      <c r="G614">
        <v>0.14773373038631429</v>
      </c>
    </row>
    <row r="615" spans="1:7" x14ac:dyDescent="0.35">
      <c r="A615">
        <v>2021</v>
      </c>
      <c r="B615" s="1" t="s">
        <v>192</v>
      </c>
      <c r="C615" s="1" t="s">
        <v>193</v>
      </c>
      <c r="D615" s="1" t="s">
        <v>8</v>
      </c>
      <c r="E615" s="1">
        <v>84167.31</v>
      </c>
      <c r="F615" s="1">
        <v>824743</v>
      </c>
      <c r="G615">
        <v>0.10205277280316413</v>
      </c>
    </row>
    <row r="616" spans="1:7" x14ac:dyDescent="0.35">
      <c r="A616">
        <v>2021</v>
      </c>
      <c r="B616" s="1" t="s">
        <v>192</v>
      </c>
      <c r="C616" s="1" t="s">
        <v>193</v>
      </c>
      <c r="D616" s="1" t="s">
        <v>9</v>
      </c>
      <c r="E616" s="1">
        <v>159159.20000000001</v>
      </c>
      <c r="F616" s="1">
        <v>824743</v>
      </c>
      <c r="G616">
        <v>0.19298035872993163</v>
      </c>
    </row>
    <row r="617" spans="1:7" x14ac:dyDescent="0.35">
      <c r="A617">
        <v>2021</v>
      </c>
      <c r="B617" s="1" t="s">
        <v>134</v>
      </c>
      <c r="C617" s="1" t="s">
        <v>135</v>
      </c>
      <c r="D617" s="1" t="s">
        <v>7</v>
      </c>
      <c r="E617" s="1">
        <v>107906.58</v>
      </c>
      <c r="F617" s="1">
        <v>495508</v>
      </c>
      <c r="G617">
        <v>0.21776960210531415</v>
      </c>
    </row>
    <row r="618" spans="1:7" x14ac:dyDescent="0.35">
      <c r="A618">
        <v>2021</v>
      </c>
      <c r="B618" s="1" t="s">
        <v>134</v>
      </c>
      <c r="C618" s="1" t="s">
        <v>135</v>
      </c>
      <c r="D618" s="1" t="s">
        <v>8</v>
      </c>
      <c r="E618" s="1">
        <v>57481.37</v>
      </c>
      <c r="F618" s="1">
        <v>495508</v>
      </c>
      <c r="G618">
        <v>0.11600492827562825</v>
      </c>
    </row>
    <row r="619" spans="1:7" x14ac:dyDescent="0.35">
      <c r="A619">
        <v>2021</v>
      </c>
      <c r="B619" s="1" t="s">
        <v>134</v>
      </c>
      <c r="C619" s="1" t="s">
        <v>135</v>
      </c>
      <c r="D619" s="1" t="s">
        <v>9</v>
      </c>
      <c r="E619" s="1">
        <v>173300.37</v>
      </c>
      <c r="F619" s="1">
        <v>495508</v>
      </c>
      <c r="G619">
        <v>0.34974282958095532</v>
      </c>
    </row>
    <row r="620" spans="1:7" x14ac:dyDescent="0.35">
      <c r="A620">
        <v>2011</v>
      </c>
      <c r="B620" s="1" t="s">
        <v>138</v>
      </c>
      <c r="C620" s="1" t="s">
        <v>139</v>
      </c>
      <c r="D620" s="1" t="s">
        <v>7</v>
      </c>
      <c r="E620" s="1">
        <v>364786.39</v>
      </c>
      <c r="F620" s="1">
        <v>1251282</v>
      </c>
      <c r="G620">
        <v>0.29153011871025075</v>
      </c>
    </row>
    <row r="621" spans="1:7" x14ac:dyDescent="0.35">
      <c r="A621">
        <v>2011</v>
      </c>
      <c r="B621" s="1" t="s">
        <v>138</v>
      </c>
      <c r="C621" s="1" t="s">
        <v>139</v>
      </c>
      <c r="D621" s="1" t="s">
        <v>8</v>
      </c>
      <c r="E621" s="1">
        <v>128703.12</v>
      </c>
      <c r="F621" s="1">
        <v>1251282</v>
      </c>
      <c r="G621">
        <v>0.10285700585479532</v>
      </c>
    </row>
    <row r="622" spans="1:7" x14ac:dyDescent="0.35">
      <c r="A622">
        <v>2011</v>
      </c>
      <c r="B622" s="1" t="s">
        <v>138</v>
      </c>
      <c r="C622" s="1" t="s">
        <v>139</v>
      </c>
      <c r="D622" s="1" t="s">
        <v>9</v>
      </c>
      <c r="E622" s="1">
        <v>236400.73</v>
      </c>
      <c r="F622" s="1">
        <v>1251282</v>
      </c>
      <c r="G622">
        <v>0.18892682065273855</v>
      </c>
    </row>
    <row r="623" spans="1:7" x14ac:dyDescent="0.35">
      <c r="A623">
        <v>2021</v>
      </c>
      <c r="B623" s="1" t="s">
        <v>88</v>
      </c>
      <c r="C623" s="1" t="s">
        <v>89</v>
      </c>
      <c r="D623" s="1" t="s">
        <v>7</v>
      </c>
      <c r="E623" s="1">
        <v>133545.01</v>
      </c>
      <c r="F623" s="1">
        <v>565292</v>
      </c>
      <c r="G623">
        <v>0.23624075698930819</v>
      </c>
    </row>
    <row r="624" spans="1:7" x14ac:dyDescent="0.35">
      <c r="A624">
        <v>2021</v>
      </c>
      <c r="B624" s="1" t="s">
        <v>88</v>
      </c>
      <c r="C624" s="1" t="s">
        <v>89</v>
      </c>
      <c r="D624" s="1" t="s">
        <v>8</v>
      </c>
      <c r="E624" s="1">
        <v>60410.8</v>
      </c>
      <c r="F624" s="1">
        <v>565292</v>
      </c>
      <c r="G624">
        <v>0.10686653977059644</v>
      </c>
    </row>
    <row r="625" spans="1:7" x14ac:dyDescent="0.35">
      <c r="A625">
        <v>2021</v>
      </c>
      <c r="B625" s="1" t="s">
        <v>88</v>
      </c>
      <c r="C625" s="1" t="s">
        <v>89</v>
      </c>
      <c r="D625" s="1" t="s">
        <v>9</v>
      </c>
      <c r="E625" s="1">
        <v>85393.2</v>
      </c>
      <c r="F625" s="1">
        <v>565292</v>
      </c>
      <c r="G625">
        <v>0.15106033695859838</v>
      </c>
    </row>
    <row r="626" spans="1:7" x14ac:dyDescent="0.35">
      <c r="A626">
        <v>2021</v>
      </c>
      <c r="B626" s="1" t="s">
        <v>90</v>
      </c>
      <c r="C626" s="1" t="s">
        <v>91</v>
      </c>
      <c r="D626" s="1" t="s">
        <v>7</v>
      </c>
      <c r="E626" s="1">
        <v>39273.17</v>
      </c>
      <c r="F626" s="1">
        <v>171042</v>
      </c>
      <c r="G626">
        <v>0.22961126506939816</v>
      </c>
    </row>
    <row r="627" spans="1:7" x14ac:dyDescent="0.35">
      <c r="A627">
        <v>2021</v>
      </c>
      <c r="B627" s="1" t="s">
        <v>90</v>
      </c>
      <c r="C627" s="1" t="s">
        <v>91</v>
      </c>
      <c r="D627" s="1" t="s">
        <v>8</v>
      </c>
      <c r="E627" s="1">
        <v>14332.09</v>
      </c>
      <c r="F627" s="1">
        <v>171042</v>
      </c>
      <c r="G627">
        <v>8.3792811122414379E-2</v>
      </c>
    </row>
    <row r="628" spans="1:7" x14ac:dyDescent="0.35">
      <c r="A628">
        <v>2021</v>
      </c>
      <c r="B628" s="1" t="s">
        <v>90</v>
      </c>
      <c r="C628" s="1" t="s">
        <v>91</v>
      </c>
      <c r="D628" s="1" t="s">
        <v>9</v>
      </c>
      <c r="E628" s="1">
        <v>34995.75</v>
      </c>
      <c r="F628" s="1">
        <v>171042</v>
      </c>
      <c r="G628">
        <v>0.20460325534079349</v>
      </c>
    </row>
    <row r="629" spans="1:7" x14ac:dyDescent="0.35">
      <c r="A629">
        <v>2021</v>
      </c>
      <c r="B629" s="1" t="s">
        <v>194</v>
      </c>
      <c r="C629" s="1" t="s">
        <v>195</v>
      </c>
      <c r="D629" s="1" t="s">
        <v>7</v>
      </c>
      <c r="E629" s="1">
        <v>49808.35</v>
      </c>
      <c r="F629" s="1">
        <v>305933</v>
      </c>
      <c r="G629">
        <v>0.16280803313143727</v>
      </c>
    </row>
    <row r="630" spans="1:7" x14ac:dyDescent="0.35">
      <c r="A630">
        <v>2021</v>
      </c>
      <c r="B630" s="1" t="s">
        <v>194</v>
      </c>
      <c r="C630" s="1" t="s">
        <v>195</v>
      </c>
      <c r="D630" s="1" t="s">
        <v>8</v>
      </c>
      <c r="E630" s="1">
        <v>33708.089999999997</v>
      </c>
      <c r="F630" s="1">
        <v>305933</v>
      </c>
      <c r="G630">
        <v>0.11018128152242483</v>
      </c>
    </row>
    <row r="631" spans="1:7" x14ac:dyDescent="0.35">
      <c r="A631">
        <v>2021</v>
      </c>
      <c r="B631" s="1" t="s">
        <v>194</v>
      </c>
      <c r="C631" s="1" t="s">
        <v>195</v>
      </c>
      <c r="D631" s="1" t="s">
        <v>9</v>
      </c>
      <c r="E631" s="1">
        <v>89643.62</v>
      </c>
      <c r="F631" s="1">
        <v>305933</v>
      </c>
      <c r="G631">
        <v>0.29301716388882532</v>
      </c>
    </row>
    <row r="632" spans="1:7" x14ac:dyDescent="0.35">
      <c r="A632">
        <v>2011</v>
      </c>
      <c r="B632" s="1" t="s">
        <v>140</v>
      </c>
      <c r="C632" s="1" t="s">
        <v>141</v>
      </c>
      <c r="D632" s="1" t="s">
        <v>7</v>
      </c>
      <c r="E632" s="1">
        <v>77082.100000000006</v>
      </c>
      <c r="F632" s="1">
        <v>352705</v>
      </c>
      <c r="G632">
        <v>0.21854552671496011</v>
      </c>
    </row>
    <row r="633" spans="1:7" x14ac:dyDescent="0.35">
      <c r="A633">
        <v>2011</v>
      </c>
      <c r="B633" s="1" t="s">
        <v>140</v>
      </c>
      <c r="C633" s="1" t="s">
        <v>141</v>
      </c>
      <c r="D633" s="1" t="s">
        <v>8</v>
      </c>
      <c r="E633" s="1">
        <v>33877.199999999997</v>
      </c>
      <c r="F633" s="1">
        <v>352705</v>
      </c>
      <c r="G633">
        <v>9.6049673239676212E-2</v>
      </c>
    </row>
    <row r="634" spans="1:7" x14ac:dyDescent="0.35">
      <c r="A634">
        <v>2011</v>
      </c>
      <c r="B634" s="1" t="s">
        <v>140</v>
      </c>
      <c r="C634" s="1" t="s">
        <v>141</v>
      </c>
      <c r="D634" s="1" t="s">
        <v>9</v>
      </c>
      <c r="E634" s="1">
        <v>64011.4</v>
      </c>
      <c r="F634" s="1">
        <v>352705</v>
      </c>
      <c r="G634">
        <v>0.18148707843665388</v>
      </c>
    </row>
    <row r="635" spans="1:7" x14ac:dyDescent="0.35">
      <c r="A635">
        <v>2021</v>
      </c>
      <c r="B635" s="1" t="s">
        <v>92</v>
      </c>
      <c r="C635" s="1" t="s">
        <v>93</v>
      </c>
      <c r="D635" s="1" t="s">
        <v>7</v>
      </c>
      <c r="E635" s="1">
        <v>168546.01</v>
      </c>
      <c r="F635" s="1">
        <v>732486</v>
      </c>
      <c r="G635">
        <v>0.23010133982082936</v>
      </c>
    </row>
    <row r="636" spans="1:7" x14ac:dyDescent="0.35">
      <c r="A636">
        <v>2021</v>
      </c>
      <c r="B636" s="1" t="s">
        <v>92</v>
      </c>
      <c r="C636" s="1" t="s">
        <v>93</v>
      </c>
      <c r="D636" s="1" t="s">
        <v>8</v>
      </c>
      <c r="E636" s="1">
        <v>84285.23</v>
      </c>
      <c r="F636" s="1">
        <v>732486</v>
      </c>
      <c r="G636">
        <v>0.11506735964919465</v>
      </c>
    </row>
    <row r="637" spans="1:7" x14ac:dyDescent="0.35">
      <c r="A637">
        <v>2021</v>
      </c>
      <c r="B637" s="1" t="s">
        <v>92</v>
      </c>
      <c r="C637" s="1" t="s">
        <v>93</v>
      </c>
      <c r="D637" s="1" t="s">
        <v>9</v>
      </c>
      <c r="E637" s="1">
        <v>114879.86</v>
      </c>
      <c r="F637" s="1">
        <v>732486</v>
      </c>
      <c r="G637">
        <v>0.15683557091876157</v>
      </c>
    </row>
    <row r="638" spans="1:7" x14ac:dyDescent="0.35">
      <c r="A638">
        <v>2021</v>
      </c>
      <c r="B638" s="1" t="s">
        <v>94</v>
      </c>
      <c r="C638" s="1" t="s">
        <v>95</v>
      </c>
      <c r="D638" s="1" t="s">
        <v>7</v>
      </c>
      <c r="E638" s="1">
        <v>35050.54</v>
      </c>
      <c r="F638" s="1">
        <v>181919</v>
      </c>
      <c r="G638">
        <v>0.19267113385627671</v>
      </c>
    </row>
    <row r="639" spans="1:7" x14ac:dyDescent="0.35">
      <c r="A639">
        <v>2021</v>
      </c>
      <c r="B639" s="1" t="s">
        <v>94</v>
      </c>
      <c r="C639" s="1" t="s">
        <v>95</v>
      </c>
      <c r="D639" s="1" t="s">
        <v>8</v>
      </c>
      <c r="E639" s="1">
        <v>17837.310000000001</v>
      </c>
      <c r="F639" s="1">
        <v>181919</v>
      </c>
      <c r="G639">
        <v>9.8050835811542503E-2</v>
      </c>
    </row>
    <row r="640" spans="1:7" x14ac:dyDescent="0.35">
      <c r="A640">
        <v>2021</v>
      </c>
      <c r="B640" s="1" t="s">
        <v>94</v>
      </c>
      <c r="C640" s="1" t="s">
        <v>95</v>
      </c>
      <c r="D640" s="1" t="s">
        <v>9</v>
      </c>
      <c r="E640" s="1">
        <v>32524.87</v>
      </c>
      <c r="F640" s="1">
        <v>181919</v>
      </c>
      <c r="G640">
        <v>0.17878764724960008</v>
      </c>
    </row>
    <row r="641" spans="1:7" x14ac:dyDescent="0.35">
      <c r="A641">
        <v>2021</v>
      </c>
      <c r="B641" s="1" t="s">
        <v>54</v>
      </c>
      <c r="C641" s="1" t="s">
        <v>55</v>
      </c>
      <c r="D641" s="1" t="s">
        <v>7</v>
      </c>
      <c r="E641" s="1">
        <v>142398.39000000001</v>
      </c>
      <c r="F641" s="1">
        <v>768687</v>
      </c>
      <c r="G641">
        <v>0.1852488594187231</v>
      </c>
    </row>
    <row r="642" spans="1:7" x14ac:dyDescent="0.35">
      <c r="A642">
        <v>2021</v>
      </c>
      <c r="B642" s="1" t="s">
        <v>54</v>
      </c>
      <c r="C642" s="1" t="s">
        <v>55</v>
      </c>
      <c r="D642" s="1" t="s">
        <v>8</v>
      </c>
      <c r="E642" s="1">
        <v>107989.02</v>
      </c>
      <c r="F642" s="1">
        <v>768687</v>
      </c>
      <c r="G642">
        <v>0.14048503487115041</v>
      </c>
    </row>
    <row r="643" spans="1:7" x14ac:dyDescent="0.35">
      <c r="A643">
        <v>2021</v>
      </c>
      <c r="B643" s="1" t="s">
        <v>54</v>
      </c>
      <c r="C643" s="1" t="s">
        <v>55</v>
      </c>
      <c r="D643" s="1" t="s">
        <v>9</v>
      </c>
      <c r="E643" s="1">
        <v>224959.37</v>
      </c>
      <c r="F643" s="1">
        <v>768687</v>
      </c>
      <c r="G643">
        <v>0.29265405815370887</v>
      </c>
    </row>
    <row r="644" spans="1:7" x14ac:dyDescent="0.35">
      <c r="A644">
        <v>2011</v>
      </c>
      <c r="B644" s="1" t="s">
        <v>142</v>
      </c>
      <c r="C644" s="1" t="s">
        <v>143</v>
      </c>
      <c r="D644" s="1" t="s">
        <v>7</v>
      </c>
      <c r="E644" s="1">
        <v>192256.8</v>
      </c>
      <c r="F644" s="1">
        <v>625682</v>
      </c>
      <c r="G644">
        <v>0.30727558088613705</v>
      </c>
    </row>
    <row r="645" spans="1:7" x14ac:dyDescent="0.35">
      <c r="A645">
        <v>2011</v>
      </c>
      <c r="B645" s="1" t="s">
        <v>142</v>
      </c>
      <c r="C645" s="1" t="s">
        <v>143</v>
      </c>
      <c r="D645" s="1" t="s">
        <v>8</v>
      </c>
      <c r="E645" s="1">
        <v>71743.289999999994</v>
      </c>
      <c r="F645" s="1">
        <v>625682</v>
      </c>
      <c r="G645">
        <v>0.11466414248771739</v>
      </c>
    </row>
    <row r="646" spans="1:7" x14ac:dyDescent="0.35">
      <c r="A646">
        <v>2011</v>
      </c>
      <c r="B646" s="1" t="s">
        <v>142</v>
      </c>
      <c r="C646" s="1" t="s">
        <v>143</v>
      </c>
      <c r="D646" s="1" t="s">
        <v>9</v>
      </c>
      <c r="E646" s="1">
        <v>143407.06</v>
      </c>
      <c r="F646" s="1">
        <v>625682</v>
      </c>
      <c r="G646">
        <v>0.22920119165966096</v>
      </c>
    </row>
    <row r="647" spans="1:7" x14ac:dyDescent="0.35">
      <c r="A647">
        <v>2021</v>
      </c>
      <c r="B647" s="1" t="s">
        <v>96</v>
      </c>
      <c r="C647" s="1" t="s">
        <v>97</v>
      </c>
      <c r="D647" s="1" t="s">
        <v>7</v>
      </c>
      <c r="E647" s="1">
        <v>224612.51</v>
      </c>
      <c r="F647" s="1">
        <v>1049942</v>
      </c>
      <c r="G647">
        <v>0.21392849319295734</v>
      </c>
    </row>
    <row r="648" spans="1:7" x14ac:dyDescent="0.35">
      <c r="A648">
        <v>2021</v>
      </c>
      <c r="B648" s="1" t="s">
        <v>96</v>
      </c>
      <c r="C648" s="1" t="s">
        <v>97</v>
      </c>
      <c r="D648" s="1" t="s">
        <v>8</v>
      </c>
      <c r="E648" s="1">
        <v>125917.8</v>
      </c>
      <c r="F648" s="1">
        <v>1049942</v>
      </c>
      <c r="G648">
        <v>0.11992833889872012</v>
      </c>
    </row>
    <row r="649" spans="1:7" x14ac:dyDescent="0.35">
      <c r="A649">
        <v>2021</v>
      </c>
      <c r="B649" s="1" t="s">
        <v>96</v>
      </c>
      <c r="C649" s="1" t="s">
        <v>97</v>
      </c>
      <c r="D649" s="1" t="s">
        <v>9</v>
      </c>
      <c r="E649" s="1">
        <v>205975.8</v>
      </c>
      <c r="F649" s="1">
        <v>1049942</v>
      </c>
      <c r="G649">
        <v>0.19617826508511899</v>
      </c>
    </row>
    <row r="650" spans="1:7" x14ac:dyDescent="0.35">
      <c r="A650">
        <v>2021</v>
      </c>
      <c r="B650" s="1" t="s">
        <v>38</v>
      </c>
      <c r="C650" s="1" t="s">
        <v>39</v>
      </c>
      <c r="D650" s="1" t="s">
        <v>7</v>
      </c>
      <c r="E650" s="1">
        <v>37924.050000000003</v>
      </c>
      <c r="F650" s="1">
        <v>202417</v>
      </c>
      <c r="G650">
        <v>0.18735605211024767</v>
      </c>
    </row>
    <row r="651" spans="1:7" x14ac:dyDescent="0.35">
      <c r="A651">
        <v>2021</v>
      </c>
      <c r="B651" s="1" t="s">
        <v>38</v>
      </c>
      <c r="C651" s="1" t="s">
        <v>39</v>
      </c>
      <c r="D651" s="1" t="s">
        <v>8</v>
      </c>
      <c r="E651" s="1">
        <v>26100.639999999999</v>
      </c>
      <c r="F651" s="1">
        <v>202417</v>
      </c>
      <c r="G651">
        <v>0.12894490087295038</v>
      </c>
    </row>
    <row r="652" spans="1:7" x14ac:dyDescent="0.35">
      <c r="A652">
        <v>2021</v>
      </c>
      <c r="B652" s="1" t="s">
        <v>38</v>
      </c>
      <c r="C652" s="1" t="s">
        <v>39</v>
      </c>
      <c r="D652" s="1" t="s">
        <v>9</v>
      </c>
      <c r="E652" s="1">
        <v>45630.47</v>
      </c>
      <c r="F652" s="1">
        <v>202417</v>
      </c>
      <c r="G652">
        <v>0.22542805199168053</v>
      </c>
    </row>
    <row r="653" spans="1:7" x14ac:dyDescent="0.35">
      <c r="A653">
        <v>2021</v>
      </c>
      <c r="B653" s="1" t="s">
        <v>106</v>
      </c>
      <c r="C653" s="1" t="s">
        <v>107</v>
      </c>
      <c r="D653" s="1" t="s">
        <v>7</v>
      </c>
      <c r="E653" s="1">
        <v>687785.56</v>
      </c>
      <c r="F653" s="1">
        <v>2611293</v>
      </c>
      <c r="G653">
        <v>0.26338888818681017</v>
      </c>
    </row>
    <row r="654" spans="1:7" x14ac:dyDescent="0.35">
      <c r="A654">
        <v>2021</v>
      </c>
      <c r="B654" s="1" t="s">
        <v>106</v>
      </c>
      <c r="C654" s="1" t="s">
        <v>107</v>
      </c>
      <c r="D654" s="1" t="s">
        <v>8</v>
      </c>
      <c r="E654" s="1">
        <v>615053.16</v>
      </c>
      <c r="F654" s="1">
        <v>2611293</v>
      </c>
      <c r="G654">
        <v>0.2355358667143059</v>
      </c>
    </row>
    <row r="655" spans="1:7" x14ac:dyDescent="0.35">
      <c r="A655">
        <v>2021</v>
      </c>
      <c r="B655" s="1" t="s">
        <v>106</v>
      </c>
      <c r="C655" s="1" t="s">
        <v>107</v>
      </c>
      <c r="D655" s="1" t="s">
        <v>9</v>
      </c>
      <c r="E655" s="1">
        <v>427189.07</v>
      </c>
      <c r="F655" s="1">
        <v>2611293</v>
      </c>
      <c r="G655">
        <v>0.16359292886704019</v>
      </c>
    </row>
    <row r="656" spans="1:7" x14ac:dyDescent="0.35">
      <c r="A656">
        <v>2011</v>
      </c>
      <c r="B656" s="1" t="s">
        <v>144</v>
      </c>
      <c r="C656" s="1" t="s">
        <v>145</v>
      </c>
      <c r="D656" s="1" t="s">
        <v>7</v>
      </c>
      <c r="E656" s="1">
        <v>70216.41</v>
      </c>
      <c r="F656" s="1">
        <v>242454</v>
      </c>
      <c r="G656">
        <v>0.28960714197332277</v>
      </c>
    </row>
    <row r="657" spans="1:7" x14ac:dyDescent="0.35">
      <c r="A657">
        <v>2011</v>
      </c>
      <c r="B657" s="1" t="s">
        <v>144</v>
      </c>
      <c r="C657" s="1" t="s">
        <v>145</v>
      </c>
      <c r="D657" s="1" t="s">
        <v>8</v>
      </c>
      <c r="E657" s="1">
        <v>15622.65</v>
      </c>
      <c r="F657" s="1">
        <v>242454</v>
      </c>
      <c r="G657">
        <v>6.4435521789700315E-2</v>
      </c>
    </row>
    <row r="658" spans="1:7" x14ac:dyDescent="0.35">
      <c r="A658">
        <v>2011</v>
      </c>
      <c r="B658" s="1" t="s">
        <v>144</v>
      </c>
      <c r="C658" s="1" t="s">
        <v>145</v>
      </c>
      <c r="D658" s="1" t="s">
        <v>9</v>
      </c>
      <c r="E658" s="1">
        <v>33380.400000000001</v>
      </c>
      <c r="F658" s="1">
        <v>242454</v>
      </c>
      <c r="G658">
        <v>0.13767725011754808</v>
      </c>
    </row>
    <row r="659" spans="1:7" x14ac:dyDescent="0.35">
      <c r="A659">
        <v>2021</v>
      </c>
      <c r="B659" s="1" t="s">
        <v>108</v>
      </c>
      <c r="C659" s="1" t="s">
        <v>109</v>
      </c>
      <c r="D659" s="1" t="s">
        <v>7</v>
      </c>
      <c r="E659" s="1">
        <v>191780.32</v>
      </c>
      <c r="F659" s="1">
        <v>828838</v>
      </c>
      <c r="G659">
        <v>0.23138456489687972</v>
      </c>
    </row>
    <row r="660" spans="1:7" x14ac:dyDescent="0.35">
      <c r="A660">
        <v>2021</v>
      </c>
      <c r="B660" s="1" t="s">
        <v>108</v>
      </c>
      <c r="C660" s="1" t="s">
        <v>109</v>
      </c>
      <c r="D660" s="1" t="s">
        <v>8</v>
      </c>
      <c r="E660" s="1">
        <v>146266.21</v>
      </c>
      <c r="F660" s="1">
        <v>828838</v>
      </c>
      <c r="G660">
        <v>0.17647140937070935</v>
      </c>
    </row>
    <row r="661" spans="1:7" x14ac:dyDescent="0.35">
      <c r="A661">
        <v>2021</v>
      </c>
      <c r="B661" s="1" t="s">
        <v>108</v>
      </c>
      <c r="C661" s="1" t="s">
        <v>109</v>
      </c>
      <c r="D661" s="1" t="s">
        <v>9</v>
      </c>
      <c r="E661" s="1">
        <v>165080.64000000001</v>
      </c>
      <c r="F661" s="1">
        <v>828838</v>
      </c>
      <c r="G661">
        <v>0.19917117699719367</v>
      </c>
    </row>
    <row r="662" spans="1:7" x14ac:dyDescent="0.35">
      <c r="A662">
        <v>2021</v>
      </c>
      <c r="B662" s="1" t="s">
        <v>136</v>
      </c>
      <c r="C662" s="1" t="s">
        <v>137</v>
      </c>
      <c r="D662" s="1" t="s">
        <v>7</v>
      </c>
      <c r="E662" s="1">
        <v>58900.7</v>
      </c>
      <c r="F662" s="1">
        <v>276973</v>
      </c>
      <c r="G662">
        <v>0.21265863459615197</v>
      </c>
    </row>
    <row r="663" spans="1:7" x14ac:dyDescent="0.35">
      <c r="A663">
        <v>2021</v>
      </c>
      <c r="B663" s="1" t="s">
        <v>136</v>
      </c>
      <c r="C663" s="1" t="s">
        <v>137</v>
      </c>
      <c r="D663" s="1" t="s">
        <v>8</v>
      </c>
      <c r="E663" s="1">
        <v>26653.3</v>
      </c>
      <c r="F663" s="1">
        <v>276973</v>
      </c>
      <c r="G663">
        <v>9.6230679524719018E-2</v>
      </c>
    </row>
    <row r="664" spans="1:7" x14ac:dyDescent="0.35">
      <c r="A664">
        <v>2021</v>
      </c>
      <c r="B664" s="1" t="s">
        <v>136</v>
      </c>
      <c r="C664" s="1" t="s">
        <v>137</v>
      </c>
      <c r="D664" s="1" t="s">
        <v>9</v>
      </c>
      <c r="E664" s="1">
        <v>78084.320000000007</v>
      </c>
      <c r="F664" s="1">
        <v>276973</v>
      </c>
      <c r="G664">
        <v>0.28192033158466712</v>
      </c>
    </row>
    <row r="665" spans="1:7" x14ac:dyDescent="0.35">
      <c r="A665">
        <v>2021</v>
      </c>
      <c r="B665" s="1" t="s">
        <v>110</v>
      </c>
      <c r="C665" s="1" t="s">
        <v>111</v>
      </c>
      <c r="D665" s="1" t="s">
        <v>7</v>
      </c>
      <c r="E665" s="1">
        <v>407194.16</v>
      </c>
      <c r="F665" s="1">
        <v>1461441</v>
      </c>
      <c r="G665">
        <v>0.27862511042183707</v>
      </c>
    </row>
    <row r="666" spans="1:7" x14ac:dyDescent="0.35">
      <c r="A666">
        <v>2021</v>
      </c>
      <c r="B666" s="1" t="s">
        <v>110</v>
      </c>
      <c r="C666" s="1" t="s">
        <v>111</v>
      </c>
      <c r="D666" s="1" t="s">
        <v>8</v>
      </c>
      <c r="E666" s="1">
        <v>270524.38</v>
      </c>
      <c r="F666" s="1">
        <v>1461441</v>
      </c>
      <c r="G666">
        <v>0.18510797220004091</v>
      </c>
    </row>
    <row r="667" spans="1:7" x14ac:dyDescent="0.35">
      <c r="A667">
        <v>2021</v>
      </c>
      <c r="B667" s="1" t="s">
        <v>110</v>
      </c>
      <c r="C667" s="1" t="s">
        <v>111</v>
      </c>
      <c r="D667" s="1" t="s">
        <v>9</v>
      </c>
      <c r="E667" s="1">
        <v>275465.28999999998</v>
      </c>
      <c r="F667" s="1">
        <v>1461441</v>
      </c>
      <c r="G667">
        <v>0.18848882028080502</v>
      </c>
    </row>
    <row r="668" spans="1:7" x14ac:dyDescent="0.35">
      <c r="A668">
        <v>2011</v>
      </c>
      <c r="B668" s="1" t="s">
        <v>146</v>
      </c>
      <c r="C668" s="1" t="s">
        <v>147</v>
      </c>
      <c r="D668" s="1" t="s">
        <v>7</v>
      </c>
      <c r="E668" s="1">
        <v>29430.13</v>
      </c>
      <c r="F668" s="1">
        <v>122560</v>
      </c>
      <c r="G668">
        <v>0.24012834530026111</v>
      </c>
    </row>
    <row r="669" spans="1:7" x14ac:dyDescent="0.35">
      <c r="A669">
        <v>2011</v>
      </c>
      <c r="B669" s="1" t="s">
        <v>146</v>
      </c>
      <c r="C669" s="1" t="s">
        <v>147</v>
      </c>
      <c r="D669" s="1" t="s">
        <v>8</v>
      </c>
      <c r="E669" s="1">
        <v>11556.14</v>
      </c>
      <c r="F669" s="1">
        <v>122560</v>
      </c>
      <c r="G669">
        <v>9.4289654046997379E-2</v>
      </c>
    </row>
    <row r="670" spans="1:7" x14ac:dyDescent="0.35">
      <c r="A670">
        <v>2011</v>
      </c>
      <c r="B670" s="1" t="s">
        <v>146</v>
      </c>
      <c r="C670" s="1" t="s">
        <v>147</v>
      </c>
      <c r="D670" s="1" t="s">
        <v>9</v>
      </c>
      <c r="E670" s="1">
        <v>13924.43</v>
      </c>
      <c r="F670" s="1">
        <v>122560</v>
      </c>
      <c r="G670">
        <v>0.11361316906005223</v>
      </c>
    </row>
    <row r="671" spans="1:7" x14ac:dyDescent="0.35">
      <c r="A671">
        <v>2021</v>
      </c>
      <c r="B671" s="1" t="s">
        <v>24</v>
      </c>
      <c r="C671" s="1" t="s">
        <v>25</v>
      </c>
      <c r="D671" s="1" t="s">
        <v>7</v>
      </c>
      <c r="E671" s="1">
        <v>131507.15</v>
      </c>
      <c r="F671" s="1">
        <v>662285</v>
      </c>
      <c r="G671">
        <v>0.19856579871203484</v>
      </c>
    </row>
    <row r="672" spans="1:7" x14ac:dyDescent="0.35">
      <c r="A672">
        <v>2021</v>
      </c>
      <c r="B672" s="1" t="s">
        <v>24</v>
      </c>
      <c r="C672" s="1" t="s">
        <v>25</v>
      </c>
      <c r="D672" s="1" t="s">
        <v>8</v>
      </c>
      <c r="E672" s="1">
        <v>75420.259999999995</v>
      </c>
      <c r="F672" s="1">
        <v>662285</v>
      </c>
      <c r="G672">
        <v>0.11387885879945944</v>
      </c>
    </row>
    <row r="673" spans="1:7" x14ac:dyDescent="0.35">
      <c r="A673">
        <v>2021</v>
      </c>
      <c r="B673" s="1" t="s">
        <v>24</v>
      </c>
      <c r="C673" s="1" t="s">
        <v>25</v>
      </c>
      <c r="D673" s="1" t="s">
        <v>9</v>
      </c>
      <c r="E673" s="1">
        <v>107866.48</v>
      </c>
      <c r="F673" s="1">
        <v>662285</v>
      </c>
      <c r="G673">
        <v>0.16287018428622119</v>
      </c>
    </row>
    <row r="674" spans="1:7" x14ac:dyDescent="0.35">
      <c r="A674">
        <v>2021</v>
      </c>
      <c r="B674" s="1" t="s">
        <v>156</v>
      </c>
      <c r="C674" s="1" t="s">
        <v>157</v>
      </c>
      <c r="D674" s="1" t="s">
        <v>7</v>
      </c>
      <c r="E674" s="1">
        <v>165368.54999999999</v>
      </c>
      <c r="F674" s="1">
        <v>693027</v>
      </c>
      <c r="G674">
        <v>0.23861775948123232</v>
      </c>
    </row>
    <row r="675" spans="1:7" x14ac:dyDescent="0.35">
      <c r="A675">
        <v>2021</v>
      </c>
      <c r="B675" s="1" t="s">
        <v>156</v>
      </c>
      <c r="C675" s="1" t="s">
        <v>157</v>
      </c>
      <c r="D675" s="1" t="s">
        <v>8</v>
      </c>
      <c r="E675" s="1">
        <v>81098.52</v>
      </c>
      <c r="F675" s="1">
        <v>693027</v>
      </c>
      <c r="G675">
        <v>0.11702072213636698</v>
      </c>
    </row>
    <row r="676" spans="1:7" x14ac:dyDescent="0.35">
      <c r="A676">
        <v>2021</v>
      </c>
      <c r="B676" s="1" t="s">
        <v>156</v>
      </c>
      <c r="C676" s="1" t="s">
        <v>157</v>
      </c>
      <c r="D676" s="1" t="s">
        <v>9</v>
      </c>
      <c r="E676" s="1">
        <v>143200.85</v>
      </c>
      <c r="F676" s="1">
        <v>693027</v>
      </c>
      <c r="G676">
        <v>0.20663098263126833</v>
      </c>
    </row>
    <row r="677" spans="1:7" x14ac:dyDescent="0.35">
      <c r="A677">
        <v>2021</v>
      </c>
      <c r="B677" s="1" t="s">
        <v>182</v>
      </c>
      <c r="C677" s="1" t="s">
        <v>183</v>
      </c>
      <c r="D677" s="1" t="s">
        <v>7</v>
      </c>
      <c r="E677" s="1">
        <v>52207.8</v>
      </c>
      <c r="F677" s="1">
        <v>230956</v>
      </c>
      <c r="G677">
        <v>0.22605084951246127</v>
      </c>
    </row>
    <row r="678" spans="1:7" x14ac:dyDescent="0.35">
      <c r="A678">
        <v>2021</v>
      </c>
      <c r="B678" s="1" t="s">
        <v>182</v>
      </c>
      <c r="C678" s="1" t="s">
        <v>183</v>
      </c>
      <c r="D678" s="1" t="s">
        <v>8</v>
      </c>
      <c r="E678" s="1">
        <v>25451.26</v>
      </c>
      <c r="F678" s="1">
        <v>230956</v>
      </c>
      <c r="G678">
        <v>0.11019960511958987</v>
      </c>
    </row>
    <row r="679" spans="1:7" x14ac:dyDescent="0.35">
      <c r="A679">
        <v>2021</v>
      </c>
      <c r="B679" s="1" t="s">
        <v>182</v>
      </c>
      <c r="C679" s="1" t="s">
        <v>183</v>
      </c>
      <c r="D679" s="1" t="s">
        <v>9</v>
      </c>
      <c r="E679" s="1">
        <v>50926.68</v>
      </c>
      <c r="F679" s="1">
        <v>230956</v>
      </c>
      <c r="G679">
        <v>0.22050381890922946</v>
      </c>
    </row>
    <row r="680" spans="1:7" x14ac:dyDescent="0.35">
      <c r="A680">
        <v>2011</v>
      </c>
      <c r="B680" s="1" t="s">
        <v>148</v>
      </c>
      <c r="C680" s="1" t="s">
        <v>149</v>
      </c>
      <c r="D680" s="1" t="s">
        <v>7</v>
      </c>
      <c r="E680" s="1">
        <v>110203.55</v>
      </c>
      <c r="F680" s="1">
        <v>415168</v>
      </c>
      <c r="G680">
        <v>0.26544326634037307</v>
      </c>
    </row>
    <row r="681" spans="1:7" x14ac:dyDescent="0.35">
      <c r="A681">
        <v>2011</v>
      </c>
      <c r="B681" s="1" t="s">
        <v>148</v>
      </c>
      <c r="C681" s="1" t="s">
        <v>149</v>
      </c>
      <c r="D681" s="1" t="s">
        <v>8</v>
      </c>
      <c r="E681" s="1">
        <v>33969.730000000003</v>
      </c>
      <c r="F681" s="1">
        <v>415168</v>
      </c>
      <c r="G681">
        <v>8.1821648103900121E-2</v>
      </c>
    </row>
    <row r="682" spans="1:7" x14ac:dyDescent="0.35">
      <c r="A682">
        <v>2011</v>
      </c>
      <c r="B682" s="1" t="s">
        <v>148</v>
      </c>
      <c r="C682" s="1" t="s">
        <v>149</v>
      </c>
      <c r="D682" s="1" t="s">
        <v>9</v>
      </c>
      <c r="E682" s="1">
        <v>69087.05</v>
      </c>
      <c r="F682" s="1">
        <v>415168</v>
      </c>
      <c r="G682">
        <v>0.16640745433174042</v>
      </c>
    </row>
    <row r="683" spans="1:7" x14ac:dyDescent="0.35">
      <c r="A683">
        <v>2021</v>
      </c>
      <c r="B683" s="1" t="s">
        <v>184</v>
      </c>
      <c r="C683" s="1" t="s">
        <v>185</v>
      </c>
      <c r="D683" s="1" t="s">
        <v>7</v>
      </c>
      <c r="E683" s="1">
        <v>161978.54999999999</v>
      </c>
      <c r="F683" s="1">
        <v>487307</v>
      </c>
      <c r="G683">
        <v>0.33239528674942076</v>
      </c>
    </row>
    <row r="684" spans="1:7" x14ac:dyDescent="0.35">
      <c r="A684">
        <v>2021</v>
      </c>
      <c r="B684" s="1" t="s">
        <v>184</v>
      </c>
      <c r="C684" s="1" t="s">
        <v>185</v>
      </c>
      <c r="D684" s="1" t="s">
        <v>8</v>
      </c>
      <c r="E684" s="1">
        <v>56394.52</v>
      </c>
      <c r="F684" s="1">
        <v>487307</v>
      </c>
      <c r="G684">
        <v>0.11572688264276934</v>
      </c>
    </row>
    <row r="685" spans="1:7" x14ac:dyDescent="0.35">
      <c r="A685">
        <v>2021</v>
      </c>
      <c r="B685" s="1" t="s">
        <v>184</v>
      </c>
      <c r="C685" s="1" t="s">
        <v>185</v>
      </c>
      <c r="D685" s="1" t="s">
        <v>9</v>
      </c>
      <c r="E685" s="1">
        <v>109135.08</v>
      </c>
      <c r="F685" s="1">
        <v>487307</v>
      </c>
      <c r="G685">
        <v>0.22395549417512986</v>
      </c>
    </row>
    <row r="686" spans="1:7" x14ac:dyDescent="0.35">
      <c r="A686">
        <v>2021</v>
      </c>
      <c r="B686" s="1" t="s">
        <v>98</v>
      </c>
      <c r="C686" s="1" t="s">
        <v>99</v>
      </c>
      <c r="D686" s="1" t="s">
        <v>7</v>
      </c>
      <c r="E686" s="1">
        <v>219854.19</v>
      </c>
      <c r="F686" s="1">
        <v>1152662</v>
      </c>
      <c r="G686">
        <v>0.19073604404413436</v>
      </c>
    </row>
    <row r="687" spans="1:7" x14ac:dyDescent="0.35">
      <c r="A687">
        <v>2021</v>
      </c>
      <c r="B687" s="1" t="s">
        <v>98</v>
      </c>
      <c r="C687" s="1" t="s">
        <v>99</v>
      </c>
      <c r="D687" s="1" t="s">
        <v>8</v>
      </c>
      <c r="E687" s="1">
        <v>127622.35</v>
      </c>
      <c r="F687" s="1">
        <v>1152662</v>
      </c>
      <c r="G687">
        <v>0.11071966456775707</v>
      </c>
    </row>
    <row r="688" spans="1:7" x14ac:dyDescent="0.35">
      <c r="A688">
        <v>2021</v>
      </c>
      <c r="B688" s="1" t="s">
        <v>98</v>
      </c>
      <c r="C688" s="1" t="s">
        <v>99</v>
      </c>
      <c r="D688" s="1" t="s">
        <v>9</v>
      </c>
      <c r="E688" s="1">
        <v>174546.52</v>
      </c>
      <c r="F688" s="1">
        <v>1152662</v>
      </c>
      <c r="G688">
        <v>0.15142905726049785</v>
      </c>
    </row>
    <row r="689" spans="1:7" x14ac:dyDescent="0.35">
      <c r="A689">
        <v>2021</v>
      </c>
      <c r="B689" s="1" t="s">
        <v>100</v>
      </c>
      <c r="C689" s="1" t="s">
        <v>101</v>
      </c>
      <c r="D689" s="1" t="s">
        <v>7</v>
      </c>
      <c r="E689" s="1">
        <v>138959.57</v>
      </c>
      <c r="F689" s="1">
        <v>767083</v>
      </c>
      <c r="G689">
        <v>0.18115323895849603</v>
      </c>
    </row>
    <row r="690" spans="1:7" x14ac:dyDescent="0.35">
      <c r="A690">
        <v>2021</v>
      </c>
      <c r="B690" s="1" t="s">
        <v>100</v>
      </c>
      <c r="C690" s="1" t="s">
        <v>101</v>
      </c>
      <c r="D690" s="1" t="s">
        <v>8</v>
      </c>
      <c r="E690" s="1">
        <v>144483.81</v>
      </c>
      <c r="F690" s="1">
        <v>767083</v>
      </c>
      <c r="G690">
        <v>0.188354858600699</v>
      </c>
    </row>
    <row r="691" spans="1:7" x14ac:dyDescent="0.35">
      <c r="A691">
        <v>2021</v>
      </c>
      <c r="B691" s="1" t="s">
        <v>100</v>
      </c>
      <c r="C691" s="1" t="s">
        <v>101</v>
      </c>
      <c r="D691" s="1" t="s">
        <v>9</v>
      </c>
      <c r="E691" s="1">
        <v>93141.07</v>
      </c>
      <c r="F691" s="1">
        <v>767083</v>
      </c>
      <c r="G691">
        <v>0.12142241452359133</v>
      </c>
    </row>
    <row r="692" spans="1:7" x14ac:dyDescent="0.35">
      <c r="A692">
        <v>2011</v>
      </c>
      <c r="B692" s="1" t="s">
        <v>150</v>
      </c>
      <c r="C692" s="1" t="s">
        <v>151</v>
      </c>
      <c r="D692" s="1" t="s">
        <v>7</v>
      </c>
      <c r="E692" s="1">
        <v>413195.98</v>
      </c>
      <c r="F692" s="1">
        <v>1463662</v>
      </c>
      <c r="G692">
        <v>0.28230286773858992</v>
      </c>
    </row>
    <row r="693" spans="1:7" x14ac:dyDescent="0.35">
      <c r="A693">
        <v>2011</v>
      </c>
      <c r="B693" s="1" t="s">
        <v>150</v>
      </c>
      <c r="C693" s="1" t="s">
        <v>151</v>
      </c>
      <c r="D693" s="1" t="s">
        <v>8</v>
      </c>
      <c r="E693" s="1">
        <v>149337.13</v>
      </c>
      <c r="F693" s="1">
        <v>1463662</v>
      </c>
      <c r="G693">
        <v>0.10202979239742509</v>
      </c>
    </row>
    <row r="694" spans="1:7" x14ac:dyDescent="0.35">
      <c r="A694">
        <v>2011</v>
      </c>
      <c r="B694" s="1" t="s">
        <v>150</v>
      </c>
      <c r="C694" s="1" t="s">
        <v>151</v>
      </c>
      <c r="D694" s="1" t="s">
        <v>9</v>
      </c>
      <c r="E694" s="1">
        <v>256113.74</v>
      </c>
      <c r="F694" s="1">
        <v>1463662</v>
      </c>
      <c r="G694">
        <v>0.17498147796417479</v>
      </c>
    </row>
    <row r="695" spans="1:7" x14ac:dyDescent="0.35">
      <c r="A695">
        <v>2021</v>
      </c>
      <c r="B695" s="1" t="s">
        <v>26</v>
      </c>
      <c r="C695" s="1" t="s">
        <v>27</v>
      </c>
      <c r="D695" s="1" t="s">
        <v>7</v>
      </c>
      <c r="E695" s="1">
        <v>413479.66</v>
      </c>
      <c r="F695" s="1">
        <v>1893692</v>
      </c>
      <c r="G695">
        <v>0.21834578167938606</v>
      </c>
    </row>
    <row r="696" spans="1:7" x14ac:dyDescent="0.35">
      <c r="A696">
        <v>2021</v>
      </c>
      <c r="B696" s="1" t="s">
        <v>26</v>
      </c>
      <c r="C696" s="1" t="s">
        <v>27</v>
      </c>
      <c r="D696" s="1" t="s">
        <v>8</v>
      </c>
      <c r="E696" s="1">
        <v>168169.04</v>
      </c>
      <c r="F696" s="1">
        <v>1893692</v>
      </c>
      <c r="G696">
        <v>8.8804853165139849E-2</v>
      </c>
    </row>
    <row r="697" spans="1:7" x14ac:dyDescent="0.35">
      <c r="A697">
        <v>2021</v>
      </c>
      <c r="B697" s="1" t="s">
        <v>26</v>
      </c>
      <c r="C697" s="1" t="s">
        <v>27</v>
      </c>
      <c r="D697" s="1" t="s">
        <v>9</v>
      </c>
      <c r="E697" s="1">
        <v>195618.06</v>
      </c>
      <c r="F697" s="1">
        <v>1893692</v>
      </c>
      <c r="G697">
        <v>0.10329982911687856</v>
      </c>
    </row>
    <row r="698" spans="1:7" x14ac:dyDescent="0.35">
      <c r="A698">
        <v>2021</v>
      </c>
      <c r="B698" s="1" t="s">
        <v>40</v>
      </c>
      <c r="C698" s="1" t="s">
        <v>41</v>
      </c>
      <c r="D698" s="1" t="s">
        <v>7</v>
      </c>
      <c r="E698" s="1">
        <v>31842.799999999999</v>
      </c>
      <c r="F698" s="1">
        <v>234296</v>
      </c>
      <c r="G698">
        <v>0.13590842353262539</v>
      </c>
    </row>
    <row r="699" spans="1:7" x14ac:dyDescent="0.35">
      <c r="A699">
        <v>2021</v>
      </c>
      <c r="B699" s="1" t="s">
        <v>40</v>
      </c>
      <c r="C699" s="1" t="s">
        <v>41</v>
      </c>
      <c r="D699" s="1" t="s">
        <v>8</v>
      </c>
      <c r="E699" s="1">
        <v>34938.22</v>
      </c>
      <c r="F699" s="1">
        <v>234296</v>
      </c>
      <c r="G699">
        <v>0.14912000204869055</v>
      </c>
    </row>
    <row r="700" spans="1:7" x14ac:dyDescent="0.35">
      <c r="A700">
        <v>2021</v>
      </c>
      <c r="B700" s="1" t="s">
        <v>40</v>
      </c>
      <c r="C700" s="1" t="s">
        <v>41</v>
      </c>
      <c r="D700" s="1" t="s">
        <v>9</v>
      </c>
      <c r="E700" s="1">
        <v>60157.97</v>
      </c>
      <c r="F700" s="1">
        <v>234296</v>
      </c>
      <c r="G700">
        <v>0.25676055075630827</v>
      </c>
    </row>
    <row r="701" spans="1:7" x14ac:dyDescent="0.35">
      <c r="A701">
        <v>2021</v>
      </c>
      <c r="B701" s="1" t="s">
        <v>42</v>
      </c>
      <c r="C701" s="1" t="s">
        <v>43</v>
      </c>
      <c r="D701" s="1" t="s">
        <v>7</v>
      </c>
      <c r="E701" s="1">
        <v>111684.02</v>
      </c>
      <c r="F701" s="1">
        <v>549288</v>
      </c>
      <c r="G701">
        <v>0.20332506808814321</v>
      </c>
    </row>
    <row r="702" spans="1:7" x14ac:dyDescent="0.35">
      <c r="A702">
        <v>2021</v>
      </c>
      <c r="B702" s="1" t="s">
        <v>42</v>
      </c>
      <c r="C702" s="1" t="s">
        <v>43</v>
      </c>
      <c r="D702" s="1" t="s">
        <v>8</v>
      </c>
      <c r="E702" s="1">
        <v>65478.75</v>
      </c>
      <c r="F702" s="1">
        <v>549288</v>
      </c>
      <c r="G702">
        <v>0.11920659107790449</v>
      </c>
    </row>
    <row r="703" spans="1:7" x14ac:dyDescent="0.35">
      <c r="A703">
        <v>2021</v>
      </c>
      <c r="B703" s="1" t="s">
        <v>42</v>
      </c>
      <c r="C703" s="1" t="s">
        <v>43</v>
      </c>
      <c r="D703" s="1" t="s">
        <v>9</v>
      </c>
      <c r="E703" s="1">
        <v>119780.96</v>
      </c>
      <c r="F703" s="1">
        <v>549288</v>
      </c>
      <c r="G703">
        <v>0.21806585980396442</v>
      </c>
    </row>
    <row r="704" spans="1:7" x14ac:dyDescent="0.35">
      <c r="A704">
        <v>2011</v>
      </c>
      <c r="B704" s="1" t="s">
        <v>152</v>
      </c>
      <c r="C704" s="1" t="s">
        <v>153</v>
      </c>
      <c r="D704" s="1" t="s">
        <v>7</v>
      </c>
      <c r="E704" s="1">
        <v>151866.82</v>
      </c>
      <c r="F704" s="1">
        <v>387929</v>
      </c>
      <c r="G704">
        <v>0.39148096687795964</v>
      </c>
    </row>
    <row r="705" spans="1:7" x14ac:dyDescent="0.35">
      <c r="A705">
        <v>2011</v>
      </c>
      <c r="B705" s="1" t="s">
        <v>152</v>
      </c>
      <c r="C705" s="1" t="s">
        <v>153</v>
      </c>
      <c r="D705" s="1" t="s">
        <v>8</v>
      </c>
      <c r="E705" s="1">
        <v>35277.120000000003</v>
      </c>
      <c r="F705" s="1">
        <v>387929</v>
      </c>
      <c r="G705">
        <v>9.0937052914321956E-2</v>
      </c>
    </row>
    <row r="706" spans="1:7" x14ac:dyDescent="0.35">
      <c r="A706">
        <v>2011</v>
      </c>
      <c r="B706" s="1" t="s">
        <v>152</v>
      </c>
      <c r="C706" s="1" t="s">
        <v>153</v>
      </c>
      <c r="D706" s="1" t="s">
        <v>9</v>
      </c>
      <c r="E706" s="1">
        <v>156235.75</v>
      </c>
      <c r="F706" s="1">
        <v>387929</v>
      </c>
      <c r="G706">
        <v>0.40274315660855464</v>
      </c>
    </row>
    <row r="707" spans="1:7" x14ac:dyDescent="0.35">
      <c r="A707">
        <v>2021</v>
      </c>
      <c r="B707" s="1" t="s">
        <v>196</v>
      </c>
      <c r="C707" s="1" t="s">
        <v>197</v>
      </c>
      <c r="D707" s="1" t="s">
        <v>7</v>
      </c>
      <c r="E707" s="1">
        <v>100353.56</v>
      </c>
      <c r="F707" s="1">
        <v>566058</v>
      </c>
      <c r="G707">
        <v>0.17728494253239066</v>
      </c>
    </row>
    <row r="708" spans="1:7" x14ac:dyDescent="0.35">
      <c r="A708">
        <v>2021</v>
      </c>
      <c r="B708" s="1" t="s">
        <v>196</v>
      </c>
      <c r="C708" s="1" t="s">
        <v>197</v>
      </c>
      <c r="D708" s="1" t="s">
        <v>8</v>
      </c>
      <c r="E708" s="1">
        <v>68708.820000000007</v>
      </c>
      <c r="F708" s="1">
        <v>566058</v>
      </c>
      <c r="G708">
        <v>0.12138123655173146</v>
      </c>
    </row>
    <row r="709" spans="1:7" x14ac:dyDescent="0.35">
      <c r="A709">
        <v>2021</v>
      </c>
      <c r="B709" s="1" t="s">
        <v>196</v>
      </c>
      <c r="C709" s="1" t="s">
        <v>197</v>
      </c>
      <c r="D709" s="1" t="s">
        <v>9</v>
      </c>
      <c r="E709" s="1">
        <v>121010.15</v>
      </c>
      <c r="F709" s="1">
        <v>566058</v>
      </c>
      <c r="G709">
        <v>0.21377694511869808</v>
      </c>
    </row>
    <row r="710" spans="1:7" x14ac:dyDescent="0.35">
      <c r="A710">
        <v>2021</v>
      </c>
      <c r="B710" s="1" t="s">
        <v>28</v>
      </c>
      <c r="C710" s="1" t="s">
        <v>29</v>
      </c>
      <c r="D710" s="1" t="s">
        <v>7</v>
      </c>
      <c r="E710" s="1">
        <v>114295.43</v>
      </c>
      <c r="F710" s="1">
        <v>442468</v>
      </c>
      <c r="G710">
        <v>0.25831343735592177</v>
      </c>
    </row>
    <row r="711" spans="1:7" x14ac:dyDescent="0.35">
      <c r="A711">
        <v>2021</v>
      </c>
      <c r="B711" s="1" t="s">
        <v>28</v>
      </c>
      <c r="C711" s="1" t="s">
        <v>29</v>
      </c>
      <c r="D711" s="1" t="s">
        <v>8</v>
      </c>
      <c r="E711" s="1">
        <v>47221.29</v>
      </c>
      <c r="F711" s="1">
        <v>442468</v>
      </c>
      <c r="G711">
        <v>0.106722497446143</v>
      </c>
    </row>
    <row r="712" spans="1:7" x14ac:dyDescent="0.35">
      <c r="A712">
        <v>2021</v>
      </c>
      <c r="B712" s="1" t="s">
        <v>28</v>
      </c>
      <c r="C712" s="1" t="s">
        <v>29</v>
      </c>
      <c r="D712" s="1" t="s">
        <v>9</v>
      </c>
      <c r="E712" s="1">
        <v>95200.15</v>
      </c>
      <c r="F712" s="1">
        <v>442468</v>
      </c>
      <c r="G712">
        <v>0.21515714130739397</v>
      </c>
    </row>
    <row r="713" spans="1:7" x14ac:dyDescent="0.35">
      <c r="A713">
        <v>2021</v>
      </c>
      <c r="B713" s="1" t="s">
        <v>30</v>
      </c>
      <c r="C713" s="1" t="s">
        <v>31</v>
      </c>
      <c r="D713" s="1" t="s">
        <v>7</v>
      </c>
      <c r="E713" s="1">
        <v>220921.81</v>
      </c>
      <c r="F713" s="1">
        <v>841482</v>
      </c>
      <c r="G713">
        <v>0.26253896102352753</v>
      </c>
    </row>
    <row r="714" spans="1:7" x14ac:dyDescent="0.35">
      <c r="A714">
        <v>2021</v>
      </c>
      <c r="B714" s="1" t="s">
        <v>30</v>
      </c>
      <c r="C714" s="1" t="s">
        <v>31</v>
      </c>
      <c r="D714" s="1" t="s">
        <v>8</v>
      </c>
      <c r="E714" s="1">
        <v>78772.58</v>
      </c>
      <c r="F714" s="1">
        <v>841482</v>
      </c>
      <c r="G714">
        <v>9.3611723126579061E-2</v>
      </c>
    </row>
    <row r="715" spans="1:7" x14ac:dyDescent="0.35">
      <c r="A715">
        <v>2021</v>
      </c>
      <c r="B715" s="1" t="s">
        <v>30</v>
      </c>
      <c r="C715" s="1" t="s">
        <v>31</v>
      </c>
      <c r="D715" s="1" t="s">
        <v>9</v>
      </c>
      <c r="E715" s="1">
        <v>185153.76</v>
      </c>
      <c r="F715" s="1">
        <v>841482</v>
      </c>
      <c r="G715">
        <v>0.22003294188110978</v>
      </c>
    </row>
    <row r="716" spans="1:7" x14ac:dyDescent="0.35">
      <c r="A716">
        <v>2011</v>
      </c>
      <c r="B716" s="1" t="s">
        <v>154</v>
      </c>
      <c r="C716" s="1" t="s">
        <v>155</v>
      </c>
      <c r="D716" s="1" t="s">
        <v>7</v>
      </c>
      <c r="E716" s="1">
        <v>90790.65</v>
      </c>
      <c r="F716" s="1">
        <v>330866</v>
      </c>
      <c r="G716">
        <v>0.27440308161007776</v>
      </c>
    </row>
    <row r="717" spans="1:7" x14ac:dyDescent="0.35">
      <c r="A717">
        <v>2011</v>
      </c>
      <c r="B717" s="1" t="s">
        <v>154</v>
      </c>
      <c r="C717" s="1" t="s">
        <v>155</v>
      </c>
      <c r="D717" s="1" t="s">
        <v>8</v>
      </c>
      <c r="E717" s="1">
        <v>31276.91</v>
      </c>
      <c r="F717" s="1">
        <v>330866</v>
      </c>
      <c r="G717">
        <v>9.4530444349071832E-2</v>
      </c>
    </row>
    <row r="718" spans="1:7" x14ac:dyDescent="0.35">
      <c r="A718">
        <v>2011</v>
      </c>
      <c r="B718" s="1" t="s">
        <v>154</v>
      </c>
      <c r="C718" s="1" t="s">
        <v>155</v>
      </c>
      <c r="D718" s="1" t="s">
        <v>9</v>
      </c>
      <c r="E718" s="1">
        <v>50267.55</v>
      </c>
      <c r="F718" s="1">
        <v>330866</v>
      </c>
      <c r="G718">
        <v>0.15192721524726022</v>
      </c>
    </row>
    <row r="719" spans="1:7" x14ac:dyDescent="0.35">
      <c r="A719">
        <v>2021</v>
      </c>
      <c r="B719" s="1" t="s">
        <v>114</v>
      </c>
      <c r="C719" s="1" t="s">
        <v>115</v>
      </c>
      <c r="D719" s="1" t="s">
        <v>7</v>
      </c>
      <c r="E719" s="1">
        <v>647244.43999999994</v>
      </c>
      <c r="F719" s="1">
        <v>2133111</v>
      </c>
      <c r="G719">
        <v>0.3034274540799799</v>
      </c>
    </row>
    <row r="720" spans="1:7" x14ac:dyDescent="0.35">
      <c r="A720">
        <v>2021</v>
      </c>
      <c r="B720" s="1" t="s">
        <v>114</v>
      </c>
      <c r="C720" s="1" t="s">
        <v>115</v>
      </c>
      <c r="D720" s="1" t="s">
        <v>8</v>
      </c>
      <c r="E720" s="1">
        <v>266958.46999999997</v>
      </c>
      <c r="F720" s="1">
        <v>2133111</v>
      </c>
      <c r="G720">
        <v>0.12514982577090455</v>
      </c>
    </row>
    <row r="721" spans="1:7" x14ac:dyDescent="0.35">
      <c r="A721">
        <v>2021</v>
      </c>
      <c r="B721" s="1" t="s">
        <v>114</v>
      </c>
      <c r="C721" s="1" t="s">
        <v>115</v>
      </c>
      <c r="D721" s="1" t="s">
        <v>9</v>
      </c>
      <c r="E721" s="1">
        <v>2124.6999999999998</v>
      </c>
      <c r="F721" s="1">
        <v>2133111</v>
      </c>
      <c r="G721">
        <v>9.9605693280846604E-4</v>
      </c>
    </row>
    <row r="722" spans="1:7" x14ac:dyDescent="0.35">
      <c r="A722">
        <v>2021</v>
      </c>
      <c r="B722" s="1" t="s">
        <v>138</v>
      </c>
      <c r="C722" s="1" t="s">
        <v>139</v>
      </c>
      <c r="D722" s="1" t="s">
        <v>7</v>
      </c>
      <c r="E722" s="1">
        <v>318576.59999999998</v>
      </c>
      <c r="F722" s="1">
        <v>1255918</v>
      </c>
      <c r="G722">
        <v>0.25366035043689156</v>
      </c>
    </row>
    <row r="723" spans="1:7" x14ac:dyDescent="0.35">
      <c r="A723">
        <v>2021</v>
      </c>
      <c r="B723" s="1" t="s">
        <v>138</v>
      </c>
      <c r="C723" s="1" t="s">
        <v>139</v>
      </c>
      <c r="D723" s="1" t="s">
        <v>8</v>
      </c>
      <c r="E723" s="1">
        <v>155665.69</v>
      </c>
      <c r="F723" s="1">
        <v>1255918</v>
      </c>
      <c r="G723">
        <v>0.12394574327304808</v>
      </c>
    </row>
    <row r="724" spans="1:7" x14ac:dyDescent="0.35">
      <c r="A724">
        <v>2021</v>
      </c>
      <c r="B724" s="1" t="s">
        <v>138</v>
      </c>
      <c r="C724" s="1" t="s">
        <v>139</v>
      </c>
      <c r="D724" s="1" t="s">
        <v>9</v>
      </c>
      <c r="E724" s="1">
        <v>291230.17</v>
      </c>
      <c r="F724" s="1">
        <v>1255918</v>
      </c>
      <c r="G724">
        <v>0.23188629353190254</v>
      </c>
    </row>
    <row r="725" spans="1:7" x14ac:dyDescent="0.35">
      <c r="A725">
        <v>2021</v>
      </c>
      <c r="B725" s="1" t="s">
        <v>116</v>
      </c>
      <c r="C725" s="1" t="s">
        <v>117</v>
      </c>
      <c r="D725" s="1" t="s">
        <v>7</v>
      </c>
      <c r="E725" s="1">
        <v>402782.53</v>
      </c>
      <c r="F725" s="1">
        <v>1438100</v>
      </c>
      <c r="G725">
        <v>0.28007963980251721</v>
      </c>
    </row>
    <row r="726" spans="1:7" x14ac:dyDescent="0.35">
      <c r="A726">
        <v>2021</v>
      </c>
      <c r="B726" s="1" t="s">
        <v>116</v>
      </c>
      <c r="C726" s="1" t="s">
        <v>117</v>
      </c>
      <c r="D726" s="1" t="s">
        <v>8</v>
      </c>
      <c r="E726" s="1">
        <v>179971.05</v>
      </c>
      <c r="F726" s="1">
        <v>1438100</v>
      </c>
      <c r="G726">
        <v>0.12514501773172937</v>
      </c>
    </row>
    <row r="727" spans="1:7" x14ac:dyDescent="0.35">
      <c r="A727">
        <v>2021</v>
      </c>
      <c r="B727" s="1" t="s">
        <v>116</v>
      </c>
      <c r="C727" s="1" t="s">
        <v>117</v>
      </c>
      <c r="D727" s="1" t="s">
        <v>9</v>
      </c>
      <c r="E727" s="1">
        <v>155143.69</v>
      </c>
      <c r="F727" s="1">
        <v>1438100</v>
      </c>
      <c r="G727">
        <v>0.10788101661915027</v>
      </c>
    </row>
    <row r="728" spans="1:7" x14ac:dyDescent="0.35">
      <c r="A728">
        <v>2011</v>
      </c>
      <c r="B728" s="1" t="s">
        <v>156</v>
      </c>
      <c r="C728" s="1" t="s">
        <v>157</v>
      </c>
      <c r="D728" s="1" t="s">
        <v>7</v>
      </c>
      <c r="E728" s="1">
        <v>190092.66</v>
      </c>
      <c r="F728" s="1">
        <v>656608</v>
      </c>
      <c r="G728">
        <v>0.28950707271309517</v>
      </c>
    </row>
    <row r="729" spans="1:7" x14ac:dyDescent="0.35">
      <c r="A729">
        <v>2011</v>
      </c>
      <c r="B729" s="1" t="s">
        <v>156</v>
      </c>
      <c r="C729" s="1" t="s">
        <v>157</v>
      </c>
      <c r="D729" s="1" t="s">
        <v>8</v>
      </c>
      <c r="E729" s="1">
        <v>63311.85</v>
      </c>
      <c r="F729" s="1">
        <v>656608</v>
      </c>
      <c r="G729">
        <v>9.6422599176373122E-2</v>
      </c>
    </row>
    <row r="730" spans="1:7" x14ac:dyDescent="0.35">
      <c r="A730">
        <v>2011</v>
      </c>
      <c r="B730" s="1" t="s">
        <v>156</v>
      </c>
      <c r="C730" s="1" t="s">
        <v>157</v>
      </c>
      <c r="D730" s="1" t="s">
        <v>9</v>
      </c>
      <c r="E730" s="1">
        <v>105055.46</v>
      </c>
      <c r="F730" s="1">
        <v>656608</v>
      </c>
      <c r="G730">
        <v>0.15999722817876116</v>
      </c>
    </row>
    <row r="731" spans="1:7" x14ac:dyDescent="0.35">
      <c r="A731">
        <v>2021</v>
      </c>
      <c r="B731" s="1" t="s">
        <v>118</v>
      </c>
      <c r="C731" s="1" t="s">
        <v>119</v>
      </c>
      <c r="D731" s="1" t="s">
        <v>7</v>
      </c>
      <c r="E731" s="1">
        <v>357080.92</v>
      </c>
      <c r="F731" s="1">
        <v>1456365</v>
      </c>
      <c r="G731">
        <v>0.24518641961321508</v>
      </c>
    </row>
    <row r="732" spans="1:7" x14ac:dyDescent="0.35">
      <c r="A732">
        <v>2021</v>
      </c>
      <c r="B732" s="1" t="s">
        <v>118</v>
      </c>
      <c r="C732" s="1" t="s">
        <v>119</v>
      </c>
      <c r="D732" s="1" t="s">
        <v>8</v>
      </c>
      <c r="E732" s="1">
        <v>206038.87</v>
      </c>
      <c r="F732" s="1">
        <v>1456365</v>
      </c>
      <c r="G732">
        <v>0.14147474705860139</v>
      </c>
    </row>
    <row r="733" spans="1:7" x14ac:dyDescent="0.35">
      <c r="A733">
        <v>2021</v>
      </c>
      <c r="B733" s="1" t="s">
        <v>118</v>
      </c>
      <c r="C733" s="1" t="s">
        <v>119</v>
      </c>
      <c r="D733" s="1" t="s">
        <v>9</v>
      </c>
      <c r="E733" s="1">
        <v>117098.94</v>
      </c>
      <c r="F733" s="1">
        <v>1456365</v>
      </c>
      <c r="G733">
        <v>8.0404939695749356E-2</v>
      </c>
    </row>
    <row r="734" spans="1:7" x14ac:dyDescent="0.35">
      <c r="A734">
        <v>2021</v>
      </c>
      <c r="B734" s="1" t="s">
        <v>158</v>
      </c>
      <c r="C734" s="1" t="s">
        <v>159</v>
      </c>
      <c r="D734" s="1" t="s">
        <v>7</v>
      </c>
      <c r="E734" s="1">
        <v>57880.86</v>
      </c>
      <c r="F734" s="1">
        <v>374587</v>
      </c>
      <c r="G734">
        <v>0.15451913707630002</v>
      </c>
    </row>
    <row r="735" spans="1:7" x14ac:dyDescent="0.35">
      <c r="A735">
        <v>2021</v>
      </c>
      <c r="B735" s="1" t="s">
        <v>158</v>
      </c>
      <c r="C735" s="1" t="s">
        <v>159</v>
      </c>
      <c r="D735" s="1" t="s">
        <v>8</v>
      </c>
      <c r="E735" s="1">
        <v>46490.7</v>
      </c>
      <c r="F735" s="1">
        <v>374587</v>
      </c>
      <c r="G735">
        <v>0.12411188855993401</v>
      </c>
    </row>
    <row r="736" spans="1:7" x14ac:dyDescent="0.35">
      <c r="A736">
        <v>2021</v>
      </c>
      <c r="B736" s="1" t="s">
        <v>158</v>
      </c>
      <c r="C736" s="1" t="s">
        <v>159</v>
      </c>
      <c r="D736" s="1" t="s">
        <v>9</v>
      </c>
      <c r="E736" s="1">
        <v>97631.13</v>
      </c>
      <c r="F736" s="1">
        <v>374587</v>
      </c>
      <c r="G736">
        <v>0.26063672791634523</v>
      </c>
    </row>
    <row r="737" spans="1:7" x14ac:dyDescent="0.35">
      <c r="A737">
        <v>2021</v>
      </c>
      <c r="B737" s="1" t="s">
        <v>112</v>
      </c>
      <c r="C737" s="1" t="s">
        <v>113</v>
      </c>
      <c r="D737" s="1" t="s">
        <v>7</v>
      </c>
      <c r="E737" s="1">
        <v>145836.26</v>
      </c>
      <c r="F737" s="1">
        <v>566252</v>
      </c>
      <c r="G737">
        <v>0.25754656937194043</v>
      </c>
    </row>
    <row r="738" spans="1:7" x14ac:dyDescent="0.35">
      <c r="A738">
        <v>2021</v>
      </c>
      <c r="B738" s="1" t="s">
        <v>112</v>
      </c>
      <c r="C738" s="1" t="s">
        <v>113</v>
      </c>
      <c r="D738" s="1" t="s">
        <v>8</v>
      </c>
      <c r="E738" s="1">
        <v>82469.009999999995</v>
      </c>
      <c r="F738" s="1">
        <v>566252</v>
      </c>
      <c r="G738">
        <v>0.14564012135939475</v>
      </c>
    </row>
    <row r="739" spans="1:7" x14ac:dyDescent="0.35">
      <c r="A739">
        <v>2021</v>
      </c>
      <c r="B739" s="1" t="s">
        <v>112</v>
      </c>
      <c r="C739" s="1" t="s">
        <v>113</v>
      </c>
      <c r="D739" s="1" t="s">
        <v>9</v>
      </c>
      <c r="E739" s="1">
        <v>128598.86</v>
      </c>
      <c r="F739" s="1">
        <v>566252</v>
      </c>
      <c r="G739">
        <v>0.22710535238727633</v>
      </c>
    </row>
    <row r="740" spans="1:7" x14ac:dyDescent="0.35">
      <c r="A740">
        <v>2011</v>
      </c>
      <c r="B740" s="1" t="s">
        <v>158</v>
      </c>
      <c r="C740" s="1" t="s">
        <v>159</v>
      </c>
      <c r="D740" s="1" t="s">
        <v>7</v>
      </c>
      <c r="E740" s="1">
        <v>75841.899999999994</v>
      </c>
      <c r="F740" s="1">
        <v>370939</v>
      </c>
      <c r="G740">
        <v>0.20445922375377082</v>
      </c>
    </row>
    <row r="741" spans="1:7" x14ac:dyDescent="0.35">
      <c r="A741">
        <v>2011</v>
      </c>
      <c r="B741" s="1" t="s">
        <v>158</v>
      </c>
      <c r="C741" s="1" t="s">
        <v>159</v>
      </c>
      <c r="D741" s="1" t="s">
        <v>8</v>
      </c>
      <c r="E741" s="1">
        <v>39305.160000000003</v>
      </c>
      <c r="F741" s="1">
        <v>370939</v>
      </c>
      <c r="G741">
        <v>0.10596124969334582</v>
      </c>
    </row>
    <row r="742" spans="1:7" x14ac:dyDescent="0.35">
      <c r="A742">
        <v>2011</v>
      </c>
      <c r="B742" s="1" t="s">
        <v>158</v>
      </c>
      <c r="C742" s="1" t="s">
        <v>159</v>
      </c>
      <c r="D742" s="1" t="s">
        <v>9</v>
      </c>
      <c r="E742" s="1">
        <v>72519.259999999995</v>
      </c>
      <c r="F742" s="1">
        <v>370939</v>
      </c>
      <c r="G742">
        <v>0.195501848012746</v>
      </c>
    </row>
    <row r="743" spans="1:7" x14ac:dyDescent="0.35">
      <c r="A743">
        <v>2021</v>
      </c>
      <c r="B743" s="1" t="s">
        <v>186</v>
      </c>
      <c r="C743" s="1" t="s">
        <v>187</v>
      </c>
      <c r="D743" s="1" t="s">
        <v>7</v>
      </c>
      <c r="E743" s="1">
        <v>90277.34</v>
      </c>
      <c r="F743" s="1">
        <v>393572</v>
      </c>
      <c r="G743">
        <v>0.22937947821491364</v>
      </c>
    </row>
    <row r="744" spans="1:7" x14ac:dyDescent="0.35">
      <c r="A744">
        <v>2021</v>
      </c>
      <c r="B744" s="1" t="s">
        <v>186</v>
      </c>
      <c r="C744" s="1" t="s">
        <v>187</v>
      </c>
      <c r="D744" s="1" t="s">
        <v>8</v>
      </c>
      <c r="E744" s="1">
        <v>39586.74</v>
      </c>
      <c r="F744" s="1">
        <v>393572</v>
      </c>
      <c r="G744">
        <v>0.10058322238370615</v>
      </c>
    </row>
    <row r="745" spans="1:7" x14ac:dyDescent="0.35">
      <c r="A745">
        <v>2021</v>
      </c>
      <c r="B745" s="1" t="s">
        <v>186</v>
      </c>
      <c r="C745" s="1" t="s">
        <v>187</v>
      </c>
      <c r="D745" s="1" t="s">
        <v>9</v>
      </c>
      <c r="E745" s="1">
        <v>85677.119999999995</v>
      </c>
      <c r="F745" s="1">
        <v>393572</v>
      </c>
      <c r="G745">
        <v>0.21769109591129449</v>
      </c>
    </row>
    <row r="746" spans="1:7" x14ac:dyDescent="0.35">
      <c r="A746">
        <v>2021</v>
      </c>
      <c r="B746" s="1" t="s">
        <v>188</v>
      </c>
      <c r="C746" s="1" t="s">
        <v>189</v>
      </c>
      <c r="D746" s="1" t="s">
        <v>7</v>
      </c>
      <c r="E746" s="1">
        <v>64115.69</v>
      </c>
      <c r="F746" s="1">
        <v>263377</v>
      </c>
      <c r="G746">
        <v>0.24343693640674774</v>
      </c>
    </row>
    <row r="747" spans="1:7" x14ac:dyDescent="0.35">
      <c r="A747">
        <v>2021</v>
      </c>
      <c r="B747" s="1" t="s">
        <v>188</v>
      </c>
      <c r="C747" s="1" t="s">
        <v>189</v>
      </c>
      <c r="D747" s="1" t="s">
        <v>8</v>
      </c>
      <c r="E747" s="1">
        <v>32671.9</v>
      </c>
      <c r="F747" s="1">
        <v>263377</v>
      </c>
      <c r="G747">
        <v>0.12404993602326703</v>
      </c>
    </row>
    <row r="748" spans="1:7" x14ac:dyDescent="0.35">
      <c r="A748">
        <v>2021</v>
      </c>
      <c r="B748" s="1" t="s">
        <v>188</v>
      </c>
      <c r="C748" s="1" t="s">
        <v>189</v>
      </c>
      <c r="D748" s="1" t="s">
        <v>9</v>
      </c>
      <c r="E748" s="1">
        <v>52247.16</v>
      </c>
      <c r="F748" s="1">
        <v>263377</v>
      </c>
      <c r="G748">
        <v>0.19837404177281998</v>
      </c>
    </row>
    <row r="749" spans="1:7" x14ac:dyDescent="0.35">
      <c r="A749">
        <v>2021</v>
      </c>
      <c r="B749" s="1" t="s">
        <v>208</v>
      </c>
      <c r="C749" s="1" t="s">
        <v>209</v>
      </c>
      <c r="D749" s="1" t="s">
        <v>7</v>
      </c>
      <c r="E749" s="1">
        <v>428995.59</v>
      </c>
      <c r="F749" s="1">
        <v>1095337</v>
      </c>
      <c r="G749">
        <v>0.39165625738927839</v>
      </c>
    </row>
    <row r="750" spans="1:7" x14ac:dyDescent="0.35">
      <c r="A750">
        <v>2021</v>
      </c>
      <c r="B750" s="1" t="s">
        <v>208</v>
      </c>
      <c r="C750" s="1" t="s">
        <v>209</v>
      </c>
      <c r="D750" s="1" t="s">
        <v>8</v>
      </c>
      <c r="E750" s="1">
        <v>116972.88</v>
      </c>
      <c r="F750" s="1">
        <v>1095337</v>
      </c>
      <c r="G750">
        <v>0.10679168146424343</v>
      </c>
    </row>
    <row r="751" spans="1:7" x14ac:dyDescent="0.35">
      <c r="A751">
        <v>2021</v>
      </c>
      <c r="B751" s="1" t="s">
        <v>208</v>
      </c>
      <c r="C751" s="1" t="s">
        <v>209</v>
      </c>
      <c r="D751" s="1" t="s">
        <v>9</v>
      </c>
      <c r="E751" s="1">
        <v>263640.44</v>
      </c>
      <c r="F751" s="1">
        <v>1095337</v>
      </c>
      <c r="G751">
        <v>0.24069344868291676</v>
      </c>
    </row>
    <row r="752" spans="1:7" x14ac:dyDescent="0.35">
      <c r="A752">
        <v>2011</v>
      </c>
      <c r="B752" s="1" t="s">
        <v>160</v>
      </c>
      <c r="C752" s="1" t="s">
        <v>161</v>
      </c>
      <c r="D752" s="1" t="s">
        <v>7</v>
      </c>
      <c r="E752" s="1">
        <v>98400.76</v>
      </c>
      <c r="F752" s="1">
        <v>428447</v>
      </c>
      <c r="G752">
        <v>0.22966845374106948</v>
      </c>
    </row>
    <row r="753" spans="1:7" x14ac:dyDescent="0.35">
      <c r="A753">
        <v>2011</v>
      </c>
      <c r="B753" s="1" t="s">
        <v>160</v>
      </c>
      <c r="C753" s="1" t="s">
        <v>161</v>
      </c>
      <c r="D753" s="1" t="s">
        <v>8</v>
      </c>
      <c r="E753" s="1">
        <v>37141.06</v>
      </c>
      <c r="F753" s="1">
        <v>428447</v>
      </c>
      <c r="G753">
        <v>8.6687641645291011E-2</v>
      </c>
    </row>
    <row r="754" spans="1:7" x14ac:dyDescent="0.35">
      <c r="A754">
        <v>2011</v>
      </c>
      <c r="B754" s="1" t="s">
        <v>160</v>
      </c>
      <c r="C754" s="1" t="s">
        <v>161</v>
      </c>
      <c r="D754" s="1" t="s">
        <v>9</v>
      </c>
      <c r="E754" s="1">
        <v>83741.17</v>
      </c>
      <c r="F754" s="1">
        <v>428447</v>
      </c>
      <c r="G754">
        <v>0.19545280979911167</v>
      </c>
    </row>
    <row r="755" spans="1:7" x14ac:dyDescent="0.35">
      <c r="A755">
        <v>2021</v>
      </c>
      <c r="B755" s="1" t="s">
        <v>210</v>
      </c>
      <c r="C755" s="1" t="s">
        <v>211</v>
      </c>
      <c r="D755" s="1" t="s">
        <v>7</v>
      </c>
      <c r="E755" s="1">
        <v>187924.41</v>
      </c>
      <c r="F755" s="1">
        <v>564566</v>
      </c>
      <c r="G755">
        <v>0.3328652628744912</v>
      </c>
    </row>
    <row r="756" spans="1:7" x14ac:dyDescent="0.35">
      <c r="A756">
        <v>2021</v>
      </c>
      <c r="B756" s="1" t="s">
        <v>210</v>
      </c>
      <c r="C756" s="1" t="s">
        <v>211</v>
      </c>
      <c r="D756" s="1" t="s">
        <v>8</v>
      </c>
      <c r="E756" s="1">
        <v>46117.69</v>
      </c>
      <c r="F756" s="1">
        <v>564566</v>
      </c>
      <c r="G756">
        <v>8.16869772533238E-2</v>
      </c>
    </row>
    <row r="757" spans="1:7" x14ac:dyDescent="0.35">
      <c r="A757">
        <v>2021</v>
      </c>
      <c r="B757" s="1" t="s">
        <v>210</v>
      </c>
      <c r="C757" s="1" t="s">
        <v>211</v>
      </c>
      <c r="D757" s="1" t="s">
        <v>9</v>
      </c>
      <c r="E757" s="1">
        <v>117772.56</v>
      </c>
      <c r="F757" s="1">
        <v>564566</v>
      </c>
      <c r="G757">
        <v>0.20860724875391007</v>
      </c>
    </row>
    <row r="758" spans="1:7" x14ac:dyDescent="0.35">
      <c r="A758">
        <v>2021</v>
      </c>
      <c r="B758" s="1" t="s">
        <v>198</v>
      </c>
      <c r="C758" s="1" t="s">
        <v>199</v>
      </c>
      <c r="D758" s="1" t="s">
        <v>7</v>
      </c>
      <c r="E758" s="1">
        <v>111538.88</v>
      </c>
      <c r="F758" s="1">
        <v>699459</v>
      </c>
      <c r="G758">
        <v>0.15946450042103968</v>
      </c>
    </row>
    <row r="759" spans="1:7" x14ac:dyDescent="0.35">
      <c r="A759">
        <v>2021</v>
      </c>
      <c r="B759" s="1" t="s">
        <v>198</v>
      </c>
      <c r="C759" s="1" t="s">
        <v>199</v>
      </c>
      <c r="D759" s="1" t="s">
        <v>8</v>
      </c>
      <c r="E759" s="1">
        <v>88754.58</v>
      </c>
      <c r="F759" s="1">
        <v>699459</v>
      </c>
      <c r="G759">
        <v>0.12689032523707608</v>
      </c>
    </row>
    <row r="760" spans="1:7" x14ac:dyDescent="0.35">
      <c r="A760">
        <v>2021</v>
      </c>
      <c r="B760" s="1" t="s">
        <v>198</v>
      </c>
      <c r="C760" s="1" t="s">
        <v>199</v>
      </c>
      <c r="D760" s="1" t="s">
        <v>9</v>
      </c>
      <c r="E760" s="1">
        <v>208247.51</v>
      </c>
      <c r="F760" s="1">
        <v>699459</v>
      </c>
      <c r="G760">
        <v>0.29772654294247414</v>
      </c>
    </row>
    <row r="761" spans="1:7" x14ac:dyDescent="0.35">
      <c r="A761">
        <v>2021</v>
      </c>
      <c r="B761" s="1" t="s">
        <v>160</v>
      </c>
      <c r="C761" s="1" t="s">
        <v>161</v>
      </c>
      <c r="D761" s="1" t="s">
        <v>7</v>
      </c>
      <c r="E761" s="1">
        <v>85252.7</v>
      </c>
      <c r="F761" s="1">
        <v>439385</v>
      </c>
      <c r="G761">
        <v>0.19402733365954686</v>
      </c>
    </row>
    <row r="762" spans="1:7" x14ac:dyDescent="0.35">
      <c r="A762">
        <v>2021</v>
      </c>
      <c r="B762" s="1" t="s">
        <v>160</v>
      </c>
      <c r="C762" s="1" t="s">
        <v>161</v>
      </c>
      <c r="D762" s="1" t="s">
        <v>8</v>
      </c>
      <c r="E762" s="1">
        <v>42105.16</v>
      </c>
      <c r="F762" s="1">
        <v>439385</v>
      </c>
      <c r="G762">
        <v>9.58274861454078E-2</v>
      </c>
    </row>
    <row r="763" spans="1:7" x14ac:dyDescent="0.35">
      <c r="A763">
        <v>2021</v>
      </c>
      <c r="B763" s="1" t="s">
        <v>160</v>
      </c>
      <c r="C763" s="1" t="s">
        <v>161</v>
      </c>
      <c r="D763" s="1" t="s">
        <v>9</v>
      </c>
      <c r="E763" s="1">
        <v>95925.88</v>
      </c>
      <c r="F763" s="1">
        <v>439385</v>
      </c>
      <c r="G763">
        <v>0.21831851337665148</v>
      </c>
    </row>
    <row r="764" spans="1:7" x14ac:dyDescent="0.35">
      <c r="A764">
        <v>2011</v>
      </c>
      <c r="B764" s="1" t="s">
        <v>162</v>
      </c>
      <c r="C764" s="1" t="s">
        <v>163</v>
      </c>
      <c r="D764" s="1" t="s">
        <v>7</v>
      </c>
      <c r="E764" s="1">
        <v>90529.04</v>
      </c>
      <c r="F764" s="1">
        <v>376058</v>
      </c>
      <c r="G764">
        <v>0.24073158927612229</v>
      </c>
    </row>
    <row r="765" spans="1:7" x14ac:dyDescent="0.35">
      <c r="A765">
        <v>2011</v>
      </c>
      <c r="B765" s="1" t="s">
        <v>162</v>
      </c>
      <c r="C765" s="1" t="s">
        <v>163</v>
      </c>
      <c r="D765" s="1" t="s">
        <v>8</v>
      </c>
      <c r="E765" s="1">
        <v>36552.18</v>
      </c>
      <c r="F765" s="1">
        <v>376058</v>
      </c>
      <c r="G765">
        <v>9.7198251333570893E-2</v>
      </c>
    </row>
    <row r="766" spans="1:7" x14ac:dyDescent="0.35">
      <c r="A766">
        <v>2011</v>
      </c>
      <c r="B766" s="1" t="s">
        <v>162</v>
      </c>
      <c r="C766" s="1" t="s">
        <v>163</v>
      </c>
      <c r="D766" s="1" t="s">
        <v>9</v>
      </c>
      <c r="E766" s="1">
        <v>54900.06</v>
      </c>
      <c r="F766" s="1">
        <v>376058</v>
      </c>
      <c r="G766">
        <v>0.14598827840386322</v>
      </c>
    </row>
    <row r="767" spans="1:7" x14ac:dyDescent="0.35">
      <c r="A767">
        <v>2021</v>
      </c>
      <c r="B767" s="1" t="s">
        <v>162</v>
      </c>
      <c r="C767" s="1" t="s">
        <v>163</v>
      </c>
      <c r="D767" s="1" t="s">
        <v>7</v>
      </c>
      <c r="E767" s="1">
        <v>75475.05</v>
      </c>
      <c r="F767" s="1">
        <v>371691</v>
      </c>
      <c r="G767">
        <v>0.20305858898924106</v>
      </c>
    </row>
    <row r="768" spans="1:7" x14ac:dyDescent="0.35">
      <c r="A768">
        <v>2021</v>
      </c>
      <c r="B768" s="1" t="s">
        <v>162</v>
      </c>
      <c r="C768" s="1" t="s">
        <v>163</v>
      </c>
      <c r="D768" s="1" t="s">
        <v>8</v>
      </c>
      <c r="E768" s="1">
        <v>37051.410000000003</v>
      </c>
      <c r="F768" s="1">
        <v>371691</v>
      </c>
      <c r="G768">
        <v>9.968336602177616E-2</v>
      </c>
    </row>
    <row r="769" spans="1:7" x14ac:dyDescent="0.35">
      <c r="A769">
        <v>2021</v>
      </c>
      <c r="B769" s="1" t="s">
        <v>162</v>
      </c>
      <c r="C769" s="1" t="s">
        <v>163</v>
      </c>
      <c r="D769" s="1" t="s">
        <v>9</v>
      </c>
      <c r="E769" s="1">
        <v>69603.289999999994</v>
      </c>
      <c r="F769" s="1">
        <v>371691</v>
      </c>
      <c r="G769">
        <v>0.18726116586088981</v>
      </c>
    </row>
    <row r="770" spans="1:7" x14ac:dyDescent="0.35">
      <c r="A770">
        <v>2021</v>
      </c>
      <c r="B770" s="1" t="s">
        <v>102</v>
      </c>
      <c r="C770" s="1" t="s">
        <v>103</v>
      </c>
      <c r="D770" s="1" t="s">
        <v>7</v>
      </c>
      <c r="E770" s="1">
        <v>74199.23</v>
      </c>
      <c r="F770" s="1">
        <v>360673</v>
      </c>
      <c r="G770">
        <v>0.2057243819193563</v>
      </c>
    </row>
    <row r="771" spans="1:7" x14ac:dyDescent="0.35">
      <c r="A771">
        <v>2021</v>
      </c>
      <c r="B771" s="1" t="s">
        <v>102</v>
      </c>
      <c r="C771" s="1" t="s">
        <v>103</v>
      </c>
      <c r="D771" s="1" t="s">
        <v>8</v>
      </c>
      <c r="E771" s="1">
        <v>40712.29</v>
      </c>
      <c r="F771" s="1">
        <v>360673</v>
      </c>
      <c r="G771">
        <v>0.11287867403437463</v>
      </c>
    </row>
    <row r="772" spans="1:7" x14ac:dyDescent="0.35">
      <c r="A772">
        <v>2021</v>
      </c>
      <c r="B772" s="1" t="s">
        <v>102</v>
      </c>
      <c r="C772" s="1" t="s">
        <v>103</v>
      </c>
      <c r="D772" s="1" t="s">
        <v>9</v>
      </c>
      <c r="E772" s="1">
        <v>84383.35</v>
      </c>
      <c r="F772" s="1">
        <v>360673</v>
      </c>
      <c r="G772">
        <v>0.23396081769358951</v>
      </c>
    </row>
    <row r="773" spans="1:7" x14ac:dyDescent="0.35">
      <c r="A773">
        <v>2021</v>
      </c>
      <c r="B773" s="1" t="s">
        <v>44</v>
      </c>
      <c r="C773" s="1" t="s">
        <v>45</v>
      </c>
      <c r="D773" s="1" t="s">
        <v>7</v>
      </c>
      <c r="E773" s="1">
        <v>66488.570000000007</v>
      </c>
      <c r="F773" s="1">
        <v>333385</v>
      </c>
      <c r="G773">
        <v>0.19943479760637103</v>
      </c>
    </row>
    <row r="774" spans="1:7" x14ac:dyDescent="0.35">
      <c r="A774">
        <v>2021</v>
      </c>
      <c r="B774" s="1" t="s">
        <v>44</v>
      </c>
      <c r="C774" s="1" t="s">
        <v>45</v>
      </c>
      <c r="D774" s="1" t="s">
        <v>8</v>
      </c>
      <c r="E774" s="1">
        <v>48848.95</v>
      </c>
      <c r="F774" s="1">
        <v>333385</v>
      </c>
      <c r="G774">
        <v>0.14652413875849243</v>
      </c>
    </row>
    <row r="775" spans="1:7" x14ac:dyDescent="0.35">
      <c r="A775">
        <v>2021</v>
      </c>
      <c r="B775" s="1" t="s">
        <v>44</v>
      </c>
      <c r="C775" s="1" t="s">
        <v>45</v>
      </c>
      <c r="D775" s="1" t="s">
        <v>9</v>
      </c>
      <c r="E775" s="1">
        <v>78698.62</v>
      </c>
      <c r="F775" s="1">
        <v>333385</v>
      </c>
      <c r="G775">
        <v>0.23605927081302397</v>
      </c>
    </row>
    <row r="776" spans="1:7" x14ac:dyDescent="0.35">
      <c r="A776">
        <v>2011</v>
      </c>
      <c r="B776" s="1" t="s">
        <v>164</v>
      </c>
      <c r="C776" s="1" t="s">
        <v>165</v>
      </c>
      <c r="D776" s="1" t="s">
        <v>7</v>
      </c>
      <c r="E776" s="1">
        <v>47020.08</v>
      </c>
      <c r="F776" s="1">
        <v>152286</v>
      </c>
      <c r="G776">
        <v>0.30876167211693789</v>
      </c>
    </row>
    <row r="777" spans="1:7" x14ac:dyDescent="0.35">
      <c r="A777">
        <v>2011</v>
      </c>
      <c r="B777" s="1" t="s">
        <v>164</v>
      </c>
      <c r="C777" s="1" t="s">
        <v>165</v>
      </c>
      <c r="D777" s="1" t="s">
        <v>8</v>
      </c>
      <c r="E777" s="1">
        <v>22379.35</v>
      </c>
      <c r="F777" s="1">
        <v>152286</v>
      </c>
      <c r="G777">
        <v>0.14695605636762407</v>
      </c>
    </row>
    <row r="778" spans="1:7" x14ac:dyDescent="0.35">
      <c r="A778">
        <v>2011</v>
      </c>
      <c r="B778" s="1" t="s">
        <v>164</v>
      </c>
      <c r="C778" s="1" t="s">
        <v>165</v>
      </c>
      <c r="D778" s="1" t="s">
        <v>9</v>
      </c>
      <c r="E778" s="1">
        <v>28181.71</v>
      </c>
      <c r="F778" s="1">
        <v>152286</v>
      </c>
      <c r="G778">
        <v>0.18505778600790618</v>
      </c>
    </row>
    <row r="779" spans="1:7" x14ac:dyDescent="0.35">
      <c r="A779">
        <v>2021</v>
      </c>
      <c r="B779" s="1" t="s">
        <v>46</v>
      </c>
      <c r="C779" s="1" t="s">
        <v>47</v>
      </c>
      <c r="D779" s="1" t="s">
        <v>7</v>
      </c>
      <c r="E779" s="1">
        <v>27849.200000000001</v>
      </c>
      <c r="F779" s="1">
        <v>139654</v>
      </c>
      <c r="G779">
        <v>0.19941569879845905</v>
      </c>
    </row>
    <row r="780" spans="1:7" x14ac:dyDescent="0.35">
      <c r="A780">
        <v>2021</v>
      </c>
      <c r="B780" s="1" t="s">
        <v>46</v>
      </c>
      <c r="C780" s="1" t="s">
        <v>47</v>
      </c>
      <c r="D780" s="1" t="s">
        <v>8</v>
      </c>
      <c r="E780" s="1">
        <v>33678.92</v>
      </c>
      <c r="F780" s="1">
        <v>139654</v>
      </c>
      <c r="G780">
        <v>0.24115972331619573</v>
      </c>
    </row>
    <row r="781" spans="1:7" x14ac:dyDescent="0.35">
      <c r="A781">
        <v>2021</v>
      </c>
      <c r="B781" s="1" t="s">
        <v>46</v>
      </c>
      <c r="C781" s="1" t="s">
        <v>47</v>
      </c>
      <c r="D781" s="1" t="s">
        <v>9</v>
      </c>
      <c r="E781" s="1">
        <v>22720.84</v>
      </c>
      <c r="F781" s="1">
        <v>139654</v>
      </c>
      <c r="G781">
        <v>0.16269380039239836</v>
      </c>
    </row>
    <row r="782" spans="1:7" x14ac:dyDescent="0.35">
      <c r="A782">
        <v>2021</v>
      </c>
      <c r="B782" s="1" t="s">
        <v>120</v>
      </c>
      <c r="C782" s="1" t="s">
        <v>121</v>
      </c>
      <c r="D782" s="1" t="s">
        <v>7</v>
      </c>
      <c r="E782" s="1">
        <v>312134.38</v>
      </c>
      <c r="F782" s="1">
        <v>1313768</v>
      </c>
      <c r="G782">
        <v>0.23758713867288594</v>
      </c>
    </row>
    <row r="783" spans="1:7" x14ac:dyDescent="0.35">
      <c r="A783">
        <v>2021</v>
      </c>
      <c r="B783" s="1" t="s">
        <v>120</v>
      </c>
      <c r="C783" s="1" t="s">
        <v>121</v>
      </c>
      <c r="D783" s="1" t="s">
        <v>8</v>
      </c>
      <c r="E783" s="1">
        <v>207427.37</v>
      </c>
      <c r="F783" s="1">
        <v>1313768</v>
      </c>
      <c r="G783">
        <v>0.15788736671923809</v>
      </c>
    </row>
    <row r="784" spans="1:7" x14ac:dyDescent="0.35">
      <c r="A784">
        <v>2021</v>
      </c>
      <c r="B784" s="1" t="s">
        <v>120</v>
      </c>
      <c r="C784" s="1" t="s">
        <v>121</v>
      </c>
      <c r="D784" s="1" t="s">
        <v>9</v>
      </c>
      <c r="E784" s="1">
        <v>151658.09</v>
      </c>
      <c r="F784" s="1">
        <v>1313768</v>
      </c>
      <c r="G784">
        <v>0.11543749733590709</v>
      </c>
    </row>
    <row r="785" spans="1:7" x14ac:dyDescent="0.35">
      <c r="A785">
        <v>2021</v>
      </c>
      <c r="B785" s="1" t="s">
        <v>122</v>
      </c>
      <c r="C785" s="1" t="s">
        <v>123</v>
      </c>
      <c r="D785" s="1" t="s">
        <v>7</v>
      </c>
      <c r="E785" s="1">
        <v>424846.75</v>
      </c>
      <c r="F785" s="1">
        <v>1635291</v>
      </c>
      <c r="G785">
        <v>0.25979886760215765</v>
      </c>
    </row>
    <row r="786" spans="1:7" x14ac:dyDescent="0.35">
      <c r="A786">
        <v>2021</v>
      </c>
      <c r="B786" s="1" t="s">
        <v>122</v>
      </c>
      <c r="C786" s="1" t="s">
        <v>123</v>
      </c>
      <c r="D786" s="1" t="s">
        <v>8</v>
      </c>
      <c r="E786" s="1">
        <v>157518.09</v>
      </c>
      <c r="F786" s="1">
        <v>1635291</v>
      </c>
      <c r="G786">
        <v>9.6324195510156904E-2</v>
      </c>
    </row>
    <row r="787" spans="1:7" x14ac:dyDescent="0.35">
      <c r="A787">
        <v>2021</v>
      </c>
      <c r="B787" s="1" t="s">
        <v>122</v>
      </c>
      <c r="C787" s="1" t="s">
        <v>123</v>
      </c>
      <c r="D787" s="1" t="s">
        <v>9</v>
      </c>
      <c r="E787" s="1">
        <v>59246.52</v>
      </c>
      <c r="F787" s="1">
        <v>1635291</v>
      </c>
      <c r="G787">
        <v>3.6229955402432956E-2</v>
      </c>
    </row>
    <row r="788" spans="1:7" x14ac:dyDescent="0.35">
      <c r="A788">
        <v>2011</v>
      </c>
      <c r="B788" s="1" t="s">
        <v>166</v>
      </c>
      <c r="C788" s="1" t="s">
        <v>167</v>
      </c>
      <c r="D788" s="1" t="s">
        <v>7</v>
      </c>
      <c r="E788" s="1">
        <v>122543.97</v>
      </c>
      <c r="F788" s="1">
        <v>359967</v>
      </c>
      <c r="G788">
        <v>0.3404311228529282</v>
      </c>
    </row>
    <row r="789" spans="1:7" x14ac:dyDescent="0.35">
      <c r="A789">
        <v>2011</v>
      </c>
      <c r="B789" s="1" t="s">
        <v>166</v>
      </c>
      <c r="C789" s="1" t="s">
        <v>167</v>
      </c>
      <c r="D789" s="1" t="s">
        <v>8</v>
      </c>
      <c r="E789" s="1">
        <v>29040</v>
      </c>
      <c r="F789" s="1">
        <v>359967</v>
      </c>
      <c r="G789">
        <v>8.0674061788997331E-2</v>
      </c>
    </row>
    <row r="790" spans="1:7" x14ac:dyDescent="0.35">
      <c r="A790">
        <v>2011</v>
      </c>
      <c r="B790" s="1" t="s">
        <v>166</v>
      </c>
      <c r="C790" s="1" t="s">
        <v>167</v>
      </c>
      <c r="D790" s="1" t="s">
        <v>9</v>
      </c>
      <c r="E790" s="1">
        <v>64423.42</v>
      </c>
      <c r="F790" s="1">
        <v>359967</v>
      </c>
      <c r="G790">
        <v>0.17897035005986658</v>
      </c>
    </row>
    <row r="791" spans="1:7" x14ac:dyDescent="0.35">
      <c r="A791">
        <v>2021</v>
      </c>
      <c r="B791" s="1" t="s">
        <v>124</v>
      </c>
      <c r="C791" s="1" t="s">
        <v>125</v>
      </c>
      <c r="D791" s="1" t="s">
        <v>7</v>
      </c>
      <c r="E791" s="1">
        <v>511866.84</v>
      </c>
      <c r="F791" s="1">
        <v>1668670</v>
      </c>
      <c r="G791">
        <v>0.30675138883062558</v>
      </c>
    </row>
    <row r="792" spans="1:7" x14ac:dyDescent="0.35">
      <c r="A792">
        <v>2021</v>
      </c>
      <c r="B792" s="1" t="s">
        <v>124</v>
      </c>
      <c r="C792" s="1" t="s">
        <v>125</v>
      </c>
      <c r="D792" s="1" t="s">
        <v>8</v>
      </c>
      <c r="E792" s="1">
        <v>127726.17</v>
      </c>
      <c r="F792" s="1">
        <v>1668670</v>
      </c>
      <c r="G792">
        <v>7.6543696476834844E-2</v>
      </c>
    </row>
    <row r="793" spans="1:7" x14ac:dyDescent="0.35">
      <c r="A793">
        <v>2021</v>
      </c>
      <c r="B793" s="1" t="s">
        <v>124</v>
      </c>
      <c r="C793" s="1" t="s">
        <v>125</v>
      </c>
      <c r="D793" s="1" t="s">
        <v>9</v>
      </c>
      <c r="E793" s="1">
        <v>90325.92</v>
      </c>
      <c r="F793" s="1">
        <v>1668670</v>
      </c>
      <c r="G793">
        <v>5.4130487154440361E-2</v>
      </c>
    </row>
    <row r="794" spans="1:7" x14ac:dyDescent="0.35">
      <c r="A794">
        <v>2021</v>
      </c>
      <c r="B794" s="1" t="s">
        <v>126</v>
      </c>
      <c r="C794" s="1" t="s">
        <v>127</v>
      </c>
      <c r="D794" s="1" t="s">
        <v>7</v>
      </c>
      <c r="E794" s="1">
        <v>373937.7</v>
      </c>
      <c r="F794" s="1">
        <v>1415367</v>
      </c>
      <c r="G794">
        <v>0.26419840225185415</v>
      </c>
    </row>
    <row r="795" spans="1:7" x14ac:dyDescent="0.35">
      <c r="A795">
        <v>2021</v>
      </c>
      <c r="B795" s="1" t="s">
        <v>126</v>
      </c>
      <c r="C795" s="1" t="s">
        <v>127</v>
      </c>
      <c r="D795" s="1" t="s">
        <v>8</v>
      </c>
      <c r="E795" s="1">
        <v>140273.10999999999</v>
      </c>
      <c r="F795" s="1">
        <v>1415367</v>
      </c>
      <c r="G795">
        <v>9.9107235084610557E-2</v>
      </c>
    </row>
    <row r="796" spans="1:7" x14ac:dyDescent="0.35">
      <c r="A796">
        <v>2021</v>
      </c>
      <c r="B796" s="1" t="s">
        <v>126</v>
      </c>
      <c r="C796" s="1" t="s">
        <v>127</v>
      </c>
      <c r="D796" s="1" t="s">
        <v>9</v>
      </c>
      <c r="E796" s="1">
        <v>35410.03</v>
      </c>
      <c r="F796" s="1">
        <v>1415367</v>
      </c>
      <c r="G796">
        <v>2.5018267346914261E-2</v>
      </c>
    </row>
    <row r="797" spans="1:7" x14ac:dyDescent="0.35">
      <c r="A797">
        <v>2021</v>
      </c>
      <c r="B797" s="1" t="s">
        <v>128</v>
      </c>
      <c r="C797" s="1" t="s">
        <v>129</v>
      </c>
      <c r="D797" s="1" t="s">
        <v>7</v>
      </c>
      <c r="E797" s="1">
        <v>354166.28</v>
      </c>
      <c r="F797" s="1">
        <v>1256607</v>
      </c>
      <c r="G797">
        <v>0.28184331298488713</v>
      </c>
    </row>
    <row r="798" spans="1:7" x14ac:dyDescent="0.35">
      <c r="A798">
        <v>2021</v>
      </c>
      <c r="B798" s="1" t="s">
        <v>128</v>
      </c>
      <c r="C798" s="1" t="s">
        <v>129</v>
      </c>
      <c r="D798" s="1" t="s">
        <v>8</v>
      </c>
      <c r="E798" s="1">
        <v>178528.59</v>
      </c>
      <c r="F798" s="1">
        <v>1256607</v>
      </c>
      <c r="G798">
        <v>0.14207193657205475</v>
      </c>
    </row>
    <row r="799" spans="1:7" x14ac:dyDescent="0.35">
      <c r="A799">
        <v>2021</v>
      </c>
      <c r="B799" s="1" t="s">
        <v>128</v>
      </c>
      <c r="C799" s="1" t="s">
        <v>129</v>
      </c>
      <c r="D799" s="1" t="s">
        <v>9</v>
      </c>
      <c r="E799" s="1">
        <v>107465.17</v>
      </c>
      <c r="F799" s="1">
        <v>1256607</v>
      </c>
      <c r="G799">
        <v>8.5520110901817353E-2</v>
      </c>
    </row>
    <row r="800" spans="1:7" x14ac:dyDescent="0.35">
      <c r="A800">
        <v>2011</v>
      </c>
      <c r="B800" s="1" t="s">
        <v>168</v>
      </c>
      <c r="C800" s="1" t="s">
        <v>169</v>
      </c>
      <c r="D800" s="1" t="s">
        <v>7</v>
      </c>
      <c r="E800" s="1">
        <v>65080.42</v>
      </c>
      <c r="F800" s="1">
        <v>275813</v>
      </c>
      <c r="G800">
        <v>0.23595849361705212</v>
      </c>
    </row>
    <row r="801" spans="1:7" x14ac:dyDescent="0.35">
      <c r="A801">
        <v>2011</v>
      </c>
      <c r="B801" s="1" t="s">
        <v>168</v>
      </c>
      <c r="C801" s="1" t="s">
        <v>169</v>
      </c>
      <c r="D801" s="1" t="s">
        <v>8</v>
      </c>
      <c r="E801" s="1">
        <v>26039.97</v>
      </c>
      <c r="F801" s="1">
        <v>275813</v>
      </c>
      <c r="G801">
        <v>9.4411684728421069E-2</v>
      </c>
    </row>
    <row r="802" spans="1:7" x14ac:dyDescent="0.35">
      <c r="A802">
        <v>2011</v>
      </c>
      <c r="B802" s="1" t="s">
        <v>168</v>
      </c>
      <c r="C802" s="1" t="s">
        <v>169</v>
      </c>
      <c r="D802" s="1" t="s">
        <v>9</v>
      </c>
      <c r="E802" s="1">
        <v>36763.019999999997</v>
      </c>
      <c r="F802" s="1">
        <v>275813</v>
      </c>
      <c r="G802">
        <v>0.13328965639763171</v>
      </c>
    </row>
    <row r="803" spans="1:7" x14ac:dyDescent="0.35">
      <c r="A803">
        <v>2011</v>
      </c>
      <c r="B803" s="1" t="s">
        <v>170</v>
      </c>
      <c r="C803" s="1" t="s">
        <v>171</v>
      </c>
      <c r="D803" s="1" t="s">
        <v>7</v>
      </c>
      <c r="E803" s="1">
        <v>222137.07</v>
      </c>
      <c r="F803" s="1">
        <v>718357</v>
      </c>
      <c r="G803">
        <v>0.30922935253641298</v>
      </c>
    </row>
    <row r="804" spans="1:7" x14ac:dyDescent="0.35">
      <c r="A804">
        <v>2011</v>
      </c>
      <c r="B804" s="1" t="s">
        <v>170</v>
      </c>
      <c r="C804" s="1" t="s">
        <v>171</v>
      </c>
      <c r="D804" s="1" t="s">
        <v>8</v>
      </c>
      <c r="E804" s="1">
        <v>70422.48</v>
      </c>
      <c r="F804" s="1">
        <v>718357</v>
      </c>
      <c r="G804">
        <v>9.8032705186975266E-2</v>
      </c>
    </row>
    <row r="805" spans="1:7" x14ac:dyDescent="0.35">
      <c r="A805">
        <v>2011</v>
      </c>
      <c r="B805" s="1" t="s">
        <v>170</v>
      </c>
      <c r="C805" s="1" t="s">
        <v>171</v>
      </c>
      <c r="D805" s="1" t="s">
        <v>9</v>
      </c>
      <c r="E805" s="1">
        <v>105595.69</v>
      </c>
      <c r="F805" s="1">
        <v>718357</v>
      </c>
      <c r="G805">
        <v>0.14699611752930647</v>
      </c>
    </row>
    <row r="806" spans="1:7" x14ac:dyDescent="0.35">
      <c r="A806">
        <v>2011</v>
      </c>
      <c r="B806" s="1" t="s">
        <v>172</v>
      </c>
      <c r="C806" s="1" t="s">
        <v>173</v>
      </c>
      <c r="D806" s="1" t="s">
        <v>7</v>
      </c>
      <c r="E806" s="1">
        <v>352016.16</v>
      </c>
      <c r="F806" s="1">
        <v>1260226</v>
      </c>
      <c r="G806">
        <v>0.27932780310833133</v>
      </c>
    </row>
    <row r="807" spans="1:7" x14ac:dyDescent="0.35">
      <c r="A807">
        <v>2011</v>
      </c>
      <c r="B807" s="1" t="s">
        <v>172</v>
      </c>
      <c r="C807" s="1" t="s">
        <v>173</v>
      </c>
      <c r="D807" s="1" t="s">
        <v>8</v>
      </c>
      <c r="E807" s="1">
        <v>133975.25</v>
      </c>
      <c r="F807" s="1">
        <v>1260226</v>
      </c>
      <c r="G807">
        <v>0.10631049510167224</v>
      </c>
    </row>
    <row r="808" spans="1:7" x14ac:dyDescent="0.35">
      <c r="A808">
        <v>2011</v>
      </c>
      <c r="B808" s="1" t="s">
        <v>172</v>
      </c>
      <c r="C808" s="1" t="s">
        <v>173</v>
      </c>
      <c r="D808" s="1" t="s">
        <v>9</v>
      </c>
      <c r="E808" s="1">
        <v>108482.46</v>
      </c>
      <c r="F808" s="1">
        <v>1260226</v>
      </c>
      <c r="G808">
        <v>8.6081750416195202E-2</v>
      </c>
    </row>
    <row r="809" spans="1:7" x14ac:dyDescent="0.35">
      <c r="A809">
        <v>2011</v>
      </c>
      <c r="B809" s="1" t="s">
        <v>174</v>
      </c>
      <c r="C809" s="1" t="s">
        <v>175</v>
      </c>
      <c r="D809" s="1" t="s">
        <v>7</v>
      </c>
      <c r="E809" s="1">
        <v>48682.28</v>
      </c>
      <c r="F809" s="1">
        <v>188893</v>
      </c>
      <c r="G809">
        <v>0.25772410835764165</v>
      </c>
    </row>
    <row r="810" spans="1:7" x14ac:dyDescent="0.35">
      <c r="A810">
        <v>2011</v>
      </c>
      <c r="B810" s="1" t="s">
        <v>174</v>
      </c>
      <c r="C810" s="1" t="s">
        <v>175</v>
      </c>
      <c r="D810" s="1" t="s">
        <v>8</v>
      </c>
      <c r="E810" s="1">
        <v>15698.78</v>
      </c>
      <c r="F810" s="1">
        <v>188893</v>
      </c>
      <c r="G810">
        <v>8.3109379384095766E-2</v>
      </c>
    </row>
    <row r="811" spans="1:7" x14ac:dyDescent="0.35">
      <c r="A811">
        <v>2011</v>
      </c>
      <c r="B811" s="1" t="s">
        <v>174</v>
      </c>
      <c r="C811" s="1" t="s">
        <v>175</v>
      </c>
      <c r="D811" s="1" t="s">
        <v>9</v>
      </c>
      <c r="E811" s="1">
        <v>22907.77</v>
      </c>
      <c r="F811" s="1">
        <v>188893</v>
      </c>
      <c r="G811">
        <v>0.12127378992339578</v>
      </c>
    </row>
    <row r="812" spans="1:7" x14ac:dyDescent="0.35">
      <c r="A812">
        <v>2011</v>
      </c>
      <c r="B812" s="1" t="s">
        <v>176</v>
      </c>
      <c r="C812" s="1" t="s">
        <v>177</v>
      </c>
      <c r="D812" s="1" t="s">
        <v>7</v>
      </c>
      <c r="E812" s="1">
        <v>348589.86</v>
      </c>
      <c r="F812" s="1">
        <v>1062036</v>
      </c>
      <c r="G812">
        <v>0.32822791317808436</v>
      </c>
    </row>
    <row r="813" spans="1:7" x14ac:dyDescent="0.35">
      <c r="A813">
        <v>2011</v>
      </c>
      <c r="B813" s="1" t="s">
        <v>176</v>
      </c>
      <c r="C813" s="1" t="s">
        <v>177</v>
      </c>
      <c r="D813" s="1" t="s">
        <v>8</v>
      </c>
      <c r="E813" s="1">
        <v>99609.47</v>
      </c>
      <c r="F813" s="1">
        <v>1062036</v>
      </c>
      <c r="G813">
        <v>9.3791048514362985E-2</v>
      </c>
    </row>
    <row r="814" spans="1:7" x14ac:dyDescent="0.35">
      <c r="A814">
        <v>2011</v>
      </c>
      <c r="B814" s="1" t="s">
        <v>176</v>
      </c>
      <c r="C814" s="1" t="s">
        <v>177</v>
      </c>
      <c r="D814" s="1" t="s">
        <v>9</v>
      </c>
      <c r="E814" s="1">
        <v>210809.28</v>
      </c>
      <c r="F814" s="1">
        <v>1062036</v>
      </c>
      <c r="G814">
        <v>0.19849541823441014</v>
      </c>
    </row>
    <row r="815" spans="1:7" x14ac:dyDescent="0.35">
      <c r="A815">
        <v>2011</v>
      </c>
      <c r="B815" s="1" t="s">
        <v>178</v>
      </c>
      <c r="C815" s="1" t="s">
        <v>179</v>
      </c>
      <c r="D815" s="1" t="s">
        <v>7</v>
      </c>
      <c r="E815" s="1">
        <v>42013.36</v>
      </c>
      <c r="F815" s="1">
        <v>174754</v>
      </c>
      <c r="G815">
        <v>0.24041429666845968</v>
      </c>
    </row>
    <row r="816" spans="1:7" x14ac:dyDescent="0.35">
      <c r="A816">
        <v>2011</v>
      </c>
      <c r="B816" s="1" t="s">
        <v>178</v>
      </c>
      <c r="C816" s="1" t="s">
        <v>179</v>
      </c>
      <c r="D816" s="1" t="s">
        <v>8</v>
      </c>
      <c r="E816" s="1">
        <v>22257.07</v>
      </c>
      <c r="F816" s="1">
        <v>174754</v>
      </c>
      <c r="G816">
        <v>0.12736229213637457</v>
      </c>
    </row>
    <row r="817" spans="1:7" x14ac:dyDescent="0.35">
      <c r="A817">
        <v>2011</v>
      </c>
      <c r="B817" s="1" t="s">
        <v>178</v>
      </c>
      <c r="C817" s="1" t="s">
        <v>179</v>
      </c>
      <c r="D817" s="1" t="s">
        <v>9</v>
      </c>
      <c r="E817" s="1">
        <v>26291.79</v>
      </c>
      <c r="F817" s="1">
        <v>174754</v>
      </c>
      <c r="G817">
        <v>0.15045029012211453</v>
      </c>
    </row>
    <row r="818" spans="1:7" x14ac:dyDescent="0.35">
      <c r="A818">
        <v>2011</v>
      </c>
      <c r="B818" s="1" t="s">
        <v>180</v>
      </c>
      <c r="C818" s="1" t="s">
        <v>181</v>
      </c>
      <c r="D818" s="1" t="s">
        <v>7</v>
      </c>
      <c r="E818" s="1">
        <v>21688.65</v>
      </c>
      <c r="F818" s="1">
        <v>77156</v>
      </c>
      <c r="G818">
        <v>0.28110127533827572</v>
      </c>
    </row>
    <row r="819" spans="1:7" x14ac:dyDescent="0.35">
      <c r="A819">
        <v>2011</v>
      </c>
      <c r="B819" s="1" t="s">
        <v>180</v>
      </c>
      <c r="C819" s="1" t="s">
        <v>181</v>
      </c>
      <c r="D819" s="1" t="s">
        <v>8</v>
      </c>
      <c r="E819" s="1">
        <v>5910.79</v>
      </c>
      <c r="F819" s="1">
        <v>77156</v>
      </c>
      <c r="G819">
        <v>7.6608300067395926E-2</v>
      </c>
    </row>
    <row r="820" spans="1:7" x14ac:dyDescent="0.35">
      <c r="A820">
        <v>2011</v>
      </c>
      <c r="B820" s="1" t="s">
        <v>180</v>
      </c>
      <c r="C820" s="1" t="s">
        <v>181</v>
      </c>
      <c r="D820" s="1" t="s">
        <v>9</v>
      </c>
      <c r="E820" s="1">
        <v>11638.14</v>
      </c>
      <c r="F820" s="1">
        <v>77156</v>
      </c>
      <c r="G820">
        <v>0.15083907926797657</v>
      </c>
    </row>
    <row r="821" spans="1:7" x14ac:dyDescent="0.35">
      <c r="A821">
        <v>2011</v>
      </c>
      <c r="B821" s="1" t="s">
        <v>182</v>
      </c>
      <c r="C821" s="1" t="s">
        <v>183</v>
      </c>
      <c r="D821" s="1" t="s">
        <v>7</v>
      </c>
      <c r="E821" s="1">
        <v>71777.119999999995</v>
      </c>
      <c r="F821" s="1">
        <v>229228</v>
      </c>
      <c r="G821">
        <v>0.31312544715305285</v>
      </c>
    </row>
    <row r="822" spans="1:7" x14ac:dyDescent="0.35">
      <c r="A822">
        <v>2011</v>
      </c>
      <c r="B822" s="1" t="s">
        <v>182</v>
      </c>
      <c r="C822" s="1" t="s">
        <v>183</v>
      </c>
      <c r="D822" s="1" t="s">
        <v>8</v>
      </c>
      <c r="E822" s="1">
        <v>19676.29</v>
      </c>
      <c r="F822" s="1">
        <v>229228</v>
      </c>
      <c r="G822">
        <v>8.5837201389010076E-2</v>
      </c>
    </row>
    <row r="823" spans="1:7" x14ac:dyDescent="0.35">
      <c r="A823">
        <v>2011</v>
      </c>
      <c r="B823" s="1" t="s">
        <v>182</v>
      </c>
      <c r="C823" s="1" t="s">
        <v>183</v>
      </c>
      <c r="D823" s="1" t="s">
        <v>9</v>
      </c>
      <c r="E823" s="1">
        <v>41517.89</v>
      </c>
      <c r="F823" s="1">
        <v>229228</v>
      </c>
      <c r="G823">
        <v>0.18112050011342418</v>
      </c>
    </row>
    <row r="824" spans="1:7" x14ac:dyDescent="0.35">
      <c r="A824">
        <v>2011</v>
      </c>
      <c r="B824" s="1" t="s">
        <v>184</v>
      </c>
      <c r="C824" s="1" t="s">
        <v>185</v>
      </c>
      <c r="D824" s="1" t="s">
        <v>7</v>
      </c>
      <c r="E824" s="1">
        <v>164274.19</v>
      </c>
      <c r="F824" s="1">
        <v>452530</v>
      </c>
      <c r="G824">
        <v>0.36301281682982345</v>
      </c>
    </row>
    <row r="825" spans="1:7" x14ac:dyDescent="0.35">
      <c r="A825">
        <v>2011</v>
      </c>
      <c r="B825" s="1" t="s">
        <v>184</v>
      </c>
      <c r="C825" s="1" t="s">
        <v>185</v>
      </c>
      <c r="D825" s="1" t="s">
        <v>8</v>
      </c>
      <c r="E825" s="1">
        <v>52166.05</v>
      </c>
      <c r="F825" s="1">
        <v>452530</v>
      </c>
      <c r="G825">
        <v>0.11527644576050207</v>
      </c>
    </row>
    <row r="826" spans="1:7" x14ac:dyDescent="0.35">
      <c r="A826">
        <v>2011</v>
      </c>
      <c r="B826" s="1" t="s">
        <v>184</v>
      </c>
      <c r="C826" s="1" t="s">
        <v>185</v>
      </c>
      <c r="D826" s="1" t="s">
        <v>9</v>
      </c>
      <c r="E826" s="1">
        <v>82166</v>
      </c>
      <c r="F826" s="1">
        <v>452530</v>
      </c>
      <c r="G826">
        <v>0.18157028263319558</v>
      </c>
    </row>
    <row r="827" spans="1:7" x14ac:dyDescent="0.35">
      <c r="A827">
        <v>2011</v>
      </c>
      <c r="B827" s="1" t="s">
        <v>186</v>
      </c>
      <c r="C827" s="1" t="s">
        <v>187</v>
      </c>
      <c r="D827" s="1" t="s">
        <v>7</v>
      </c>
      <c r="E827" s="1">
        <v>96771.92</v>
      </c>
      <c r="F827" s="1">
        <v>377675</v>
      </c>
      <c r="G827">
        <v>0.25623067452174486</v>
      </c>
    </row>
    <row r="828" spans="1:7" x14ac:dyDescent="0.35">
      <c r="A828">
        <v>2011</v>
      </c>
      <c r="B828" s="1" t="s">
        <v>186</v>
      </c>
      <c r="C828" s="1" t="s">
        <v>187</v>
      </c>
      <c r="D828" s="1" t="s">
        <v>8</v>
      </c>
      <c r="E828" s="1">
        <v>31384.37</v>
      </c>
      <c r="F828" s="1">
        <v>377675</v>
      </c>
      <c r="G828">
        <v>8.309888131329847E-2</v>
      </c>
    </row>
    <row r="829" spans="1:7" x14ac:dyDescent="0.35">
      <c r="A829">
        <v>2011</v>
      </c>
      <c r="B829" s="1" t="s">
        <v>186</v>
      </c>
      <c r="C829" s="1" t="s">
        <v>187</v>
      </c>
      <c r="D829" s="1" t="s">
        <v>9</v>
      </c>
      <c r="E829" s="1">
        <v>50968.05</v>
      </c>
      <c r="F829" s="1">
        <v>377675</v>
      </c>
      <c r="G829">
        <v>0.13495214139140796</v>
      </c>
    </row>
    <row r="830" spans="1:7" x14ac:dyDescent="0.35">
      <c r="A830">
        <v>2011</v>
      </c>
      <c r="B830" s="1" t="s">
        <v>188</v>
      </c>
      <c r="C830" s="1" t="s">
        <v>189</v>
      </c>
      <c r="D830" s="1" t="s">
        <v>7</v>
      </c>
      <c r="E830" s="1">
        <v>64433.7</v>
      </c>
      <c r="F830" s="1">
        <v>244545</v>
      </c>
      <c r="G830">
        <v>0.2634840213457646</v>
      </c>
    </row>
    <row r="831" spans="1:7" x14ac:dyDescent="0.35">
      <c r="A831">
        <v>2011</v>
      </c>
      <c r="B831" s="1" t="s">
        <v>188</v>
      </c>
      <c r="C831" s="1" t="s">
        <v>189</v>
      </c>
      <c r="D831" s="1" t="s">
        <v>8</v>
      </c>
      <c r="E831" s="1">
        <v>23711.16</v>
      </c>
      <c r="F831" s="1">
        <v>244545</v>
      </c>
      <c r="G831">
        <v>9.6960314052628352E-2</v>
      </c>
    </row>
    <row r="832" spans="1:7" x14ac:dyDescent="0.35">
      <c r="A832">
        <v>2011</v>
      </c>
      <c r="B832" s="1" t="s">
        <v>188</v>
      </c>
      <c r="C832" s="1" t="s">
        <v>189</v>
      </c>
      <c r="D832" s="1" t="s">
        <v>9</v>
      </c>
      <c r="E832" s="1">
        <v>26686.61</v>
      </c>
      <c r="F832" s="1">
        <v>244545</v>
      </c>
      <c r="G832">
        <v>0.1091276043264021</v>
      </c>
    </row>
    <row r="833" spans="1:7" x14ac:dyDescent="0.35">
      <c r="A833">
        <v>2011</v>
      </c>
      <c r="B833" s="1" t="s">
        <v>190</v>
      </c>
      <c r="C833" s="1" t="s">
        <v>191</v>
      </c>
      <c r="D833" s="1" t="s">
        <v>7</v>
      </c>
      <c r="E833" s="1">
        <v>298456.96999999997</v>
      </c>
      <c r="F833" s="1">
        <v>1296364</v>
      </c>
      <c r="G833">
        <v>0.23022620961396642</v>
      </c>
    </row>
    <row r="834" spans="1:7" x14ac:dyDescent="0.35">
      <c r="A834">
        <v>2011</v>
      </c>
      <c r="B834" s="1" t="s">
        <v>190</v>
      </c>
      <c r="C834" s="1" t="s">
        <v>191</v>
      </c>
      <c r="D834" s="1" t="s">
        <v>8</v>
      </c>
      <c r="E834" s="1">
        <v>132249.1</v>
      </c>
      <c r="F834" s="1">
        <v>1296364</v>
      </c>
      <c r="G834">
        <v>0.10201540616678649</v>
      </c>
    </row>
    <row r="835" spans="1:7" x14ac:dyDescent="0.35">
      <c r="A835">
        <v>2011</v>
      </c>
      <c r="B835" s="1" t="s">
        <v>190</v>
      </c>
      <c r="C835" s="1" t="s">
        <v>191</v>
      </c>
      <c r="D835" s="1" t="s">
        <v>9</v>
      </c>
      <c r="E835" s="1">
        <v>241176.01</v>
      </c>
      <c r="F835" s="1">
        <v>1296364</v>
      </c>
      <c r="G835">
        <v>0.18604034823552645</v>
      </c>
    </row>
    <row r="836" spans="1:7" x14ac:dyDescent="0.35">
      <c r="A836">
        <v>2011</v>
      </c>
      <c r="B836" s="1" t="s">
        <v>192</v>
      </c>
      <c r="C836" s="1" t="s">
        <v>193</v>
      </c>
      <c r="D836" s="1" t="s">
        <v>7</v>
      </c>
      <c r="E836" s="1">
        <v>143179.06</v>
      </c>
      <c r="F836" s="1">
        <v>790343</v>
      </c>
      <c r="G836">
        <v>0.18116066062456426</v>
      </c>
    </row>
    <row r="837" spans="1:7" x14ac:dyDescent="0.35">
      <c r="A837">
        <v>2011</v>
      </c>
      <c r="B837" s="1" t="s">
        <v>192</v>
      </c>
      <c r="C837" s="1" t="s">
        <v>193</v>
      </c>
      <c r="D837" s="1" t="s">
        <v>8</v>
      </c>
      <c r="E837" s="1">
        <v>73860.66</v>
      </c>
      <c r="F837" s="1">
        <v>790343</v>
      </c>
      <c r="G837">
        <v>9.3453930761707257E-2</v>
      </c>
    </row>
    <row r="838" spans="1:7" x14ac:dyDescent="0.35">
      <c r="A838">
        <v>2011</v>
      </c>
      <c r="B838" s="1" t="s">
        <v>192</v>
      </c>
      <c r="C838" s="1" t="s">
        <v>193</v>
      </c>
      <c r="D838" s="1" t="s">
        <v>9</v>
      </c>
      <c r="E838" s="1">
        <v>127201.63</v>
      </c>
      <c r="F838" s="1">
        <v>790343</v>
      </c>
      <c r="G838">
        <v>0.16094484293528252</v>
      </c>
    </row>
    <row r="839" spans="1:7" x14ac:dyDescent="0.35">
      <c r="A839">
        <v>2011</v>
      </c>
      <c r="B839" s="1" t="s">
        <v>194</v>
      </c>
      <c r="C839" s="1" t="s">
        <v>195</v>
      </c>
      <c r="D839" s="1" t="s">
        <v>7</v>
      </c>
      <c r="E839" s="1">
        <v>64514.22</v>
      </c>
      <c r="F839" s="1">
        <v>307031</v>
      </c>
      <c r="G839">
        <v>0.21012282147405312</v>
      </c>
    </row>
    <row r="840" spans="1:7" x14ac:dyDescent="0.35">
      <c r="A840">
        <v>2011</v>
      </c>
      <c r="B840" s="1" t="s">
        <v>194</v>
      </c>
      <c r="C840" s="1" t="s">
        <v>195</v>
      </c>
      <c r="D840" s="1" t="s">
        <v>8</v>
      </c>
      <c r="E840" s="1">
        <v>29570.58</v>
      </c>
      <c r="F840" s="1">
        <v>307031</v>
      </c>
      <c r="G840">
        <v>9.6311382238275622E-2</v>
      </c>
    </row>
    <row r="841" spans="1:7" x14ac:dyDescent="0.35">
      <c r="A841">
        <v>2011</v>
      </c>
      <c r="B841" s="1" t="s">
        <v>194</v>
      </c>
      <c r="C841" s="1" t="s">
        <v>195</v>
      </c>
      <c r="D841" s="1" t="s">
        <v>9</v>
      </c>
      <c r="E841" s="1">
        <v>54077.4</v>
      </c>
      <c r="F841" s="1">
        <v>307031</v>
      </c>
      <c r="G841">
        <v>0.17613009761229323</v>
      </c>
    </row>
    <row r="842" spans="1:7" x14ac:dyDescent="0.35">
      <c r="A842">
        <v>2011</v>
      </c>
      <c r="B842" s="1" t="s">
        <v>196</v>
      </c>
      <c r="C842" s="1" t="s">
        <v>197</v>
      </c>
      <c r="D842" s="1" t="s">
        <v>7</v>
      </c>
      <c r="E842" s="1">
        <v>124999.96</v>
      </c>
      <c r="F842" s="1">
        <v>565718</v>
      </c>
      <c r="G842">
        <v>0.22095807451769256</v>
      </c>
    </row>
    <row r="843" spans="1:7" x14ac:dyDescent="0.35">
      <c r="A843">
        <v>2011</v>
      </c>
      <c r="B843" s="1" t="s">
        <v>196</v>
      </c>
      <c r="C843" s="1" t="s">
        <v>197</v>
      </c>
      <c r="D843" s="1" t="s">
        <v>8</v>
      </c>
      <c r="E843" s="1">
        <v>56967.55</v>
      </c>
      <c r="F843" s="1">
        <v>565718</v>
      </c>
      <c r="G843">
        <v>0.10069955348778013</v>
      </c>
    </row>
    <row r="844" spans="1:7" x14ac:dyDescent="0.35">
      <c r="A844">
        <v>2011</v>
      </c>
      <c r="B844" s="1" t="s">
        <v>196</v>
      </c>
      <c r="C844" s="1" t="s">
        <v>197</v>
      </c>
      <c r="D844" s="1" t="s">
        <v>9</v>
      </c>
      <c r="E844" s="1">
        <v>86648.84</v>
      </c>
      <c r="F844" s="1">
        <v>565718</v>
      </c>
      <c r="G844">
        <v>0.15316613577789639</v>
      </c>
    </row>
    <row r="845" spans="1:7" x14ac:dyDescent="0.35">
      <c r="A845">
        <v>2011</v>
      </c>
      <c r="B845" s="1" t="s">
        <v>198</v>
      </c>
      <c r="C845" s="1" t="s">
        <v>199</v>
      </c>
      <c r="D845" s="1" t="s">
        <v>7</v>
      </c>
      <c r="E845" s="1">
        <v>143705.92000000001</v>
      </c>
      <c r="F845" s="1">
        <v>641657</v>
      </c>
      <c r="G845">
        <v>0.22396065187475553</v>
      </c>
    </row>
    <row r="846" spans="1:7" x14ac:dyDescent="0.35">
      <c r="A846">
        <v>2011</v>
      </c>
      <c r="B846" s="1" t="s">
        <v>198</v>
      </c>
      <c r="C846" s="1" t="s">
        <v>199</v>
      </c>
      <c r="D846" s="1" t="s">
        <v>8</v>
      </c>
      <c r="E846" s="1">
        <v>72712.47</v>
      </c>
      <c r="F846" s="1">
        <v>641657</v>
      </c>
      <c r="G846">
        <v>0.11331984222099969</v>
      </c>
    </row>
    <row r="847" spans="1:7" x14ac:dyDescent="0.35">
      <c r="A847">
        <v>2011</v>
      </c>
      <c r="B847" s="1" t="s">
        <v>198</v>
      </c>
      <c r="C847" s="1" t="s">
        <v>199</v>
      </c>
      <c r="D847" s="1" t="s">
        <v>9</v>
      </c>
      <c r="E847" s="1">
        <v>160143.65</v>
      </c>
      <c r="F847" s="1">
        <v>641657</v>
      </c>
      <c r="G847">
        <v>0.24957827936109167</v>
      </c>
    </row>
    <row r="848" spans="1:7" x14ac:dyDescent="0.35">
      <c r="A848">
        <v>2011</v>
      </c>
      <c r="B848" s="1" t="s">
        <v>200</v>
      </c>
      <c r="C848" s="1" t="s">
        <v>201</v>
      </c>
      <c r="D848" s="1" t="s">
        <v>7</v>
      </c>
      <c r="E848" s="1">
        <v>61117.39</v>
      </c>
      <c r="F848" s="1">
        <v>160959</v>
      </c>
      <c r="G848">
        <v>0.37970781379108964</v>
      </c>
    </row>
    <row r="849" spans="1:7" x14ac:dyDescent="0.35">
      <c r="A849">
        <v>2011</v>
      </c>
      <c r="B849" s="1" t="s">
        <v>200</v>
      </c>
      <c r="C849" s="1" t="s">
        <v>201</v>
      </c>
      <c r="D849" s="1" t="s">
        <v>8</v>
      </c>
      <c r="E849" s="1">
        <v>9510.07</v>
      </c>
      <c r="F849" s="1">
        <v>160959</v>
      </c>
      <c r="G849">
        <v>5.9083803950074239E-2</v>
      </c>
    </row>
    <row r="850" spans="1:7" x14ac:dyDescent="0.35">
      <c r="A850">
        <v>2011</v>
      </c>
      <c r="B850" s="1" t="s">
        <v>200</v>
      </c>
      <c r="C850" s="1" t="s">
        <v>201</v>
      </c>
      <c r="D850" s="1" t="s">
        <v>9</v>
      </c>
      <c r="E850" s="1">
        <v>31412.7</v>
      </c>
      <c r="F850" s="1">
        <v>160959</v>
      </c>
      <c r="G850">
        <v>0.19515963692617375</v>
      </c>
    </row>
    <row r="851" spans="1:7" x14ac:dyDescent="0.35">
      <c r="A851">
        <v>2011</v>
      </c>
      <c r="B851" s="1" t="s">
        <v>202</v>
      </c>
      <c r="C851" s="1" t="s">
        <v>203</v>
      </c>
      <c r="D851" s="1" t="s">
        <v>7</v>
      </c>
      <c r="E851" s="1">
        <v>49239.8</v>
      </c>
      <c r="F851" s="1">
        <v>138605</v>
      </c>
      <c r="G851">
        <v>0.35525269651166985</v>
      </c>
    </row>
    <row r="852" spans="1:7" x14ac:dyDescent="0.35">
      <c r="A852">
        <v>2011</v>
      </c>
      <c r="B852" s="1" t="s">
        <v>202</v>
      </c>
      <c r="C852" s="1" t="s">
        <v>203</v>
      </c>
      <c r="D852" s="1" t="s">
        <v>8</v>
      </c>
      <c r="E852" s="1">
        <v>13714.56</v>
      </c>
      <c r="F852" s="1">
        <v>138605</v>
      </c>
      <c r="G852">
        <v>9.8947079831174914E-2</v>
      </c>
    </row>
    <row r="853" spans="1:7" x14ac:dyDescent="0.35">
      <c r="A853">
        <v>2011</v>
      </c>
      <c r="B853" s="1" t="s">
        <v>202</v>
      </c>
      <c r="C853" s="1" t="s">
        <v>203</v>
      </c>
      <c r="D853" s="1" t="s">
        <v>9</v>
      </c>
      <c r="E853" s="1">
        <v>25961.15</v>
      </c>
      <c r="F853" s="1">
        <v>138605</v>
      </c>
      <c r="G853">
        <v>0.18730312759279968</v>
      </c>
    </row>
    <row r="854" spans="1:7" x14ac:dyDescent="0.35">
      <c r="A854">
        <v>2011</v>
      </c>
      <c r="B854" s="1" t="s">
        <v>204</v>
      </c>
      <c r="C854" s="1" t="s">
        <v>205</v>
      </c>
      <c r="D854" s="1" t="s">
        <v>7</v>
      </c>
      <c r="E854" s="1">
        <v>492445.17</v>
      </c>
      <c r="F854" s="1">
        <v>1081244</v>
      </c>
      <c r="G854">
        <v>0.45544314696775196</v>
      </c>
    </row>
    <row r="855" spans="1:7" x14ac:dyDescent="0.35">
      <c r="A855">
        <v>2011</v>
      </c>
      <c r="B855" s="1" t="s">
        <v>204</v>
      </c>
      <c r="C855" s="1" t="s">
        <v>205</v>
      </c>
      <c r="D855" s="1" t="s">
        <v>8</v>
      </c>
      <c r="E855" s="1">
        <v>104452.45</v>
      </c>
      <c r="F855" s="1">
        <v>1081244</v>
      </c>
      <c r="G855">
        <v>9.660395803352434E-2</v>
      </c>
    </row>
    <row r="856" spans="1:7" x14ac:dyDescent="0.35">
      <c r="A856">
        <v>2011</v>
      </c>
      <c r="B856" s="1" t="s">
        <v>204</v>
      </c>
      <c r="C856" s="1" t="s">
        <v>205</v>
      </c>
      <c r="D856" s="1" t="s">
        <v>9</v>
      </c>
      <c r="E856" s="1">
        <v>156936.9</v>
      </c>
      <c r="F856" s="1">
        <v>1081244</v>
      </c>
      <c r="G856">
        <v>0.14514475918479083</v>
      </c>
    </row>
    <row r="857" spans="1:7" x14ac:dyDescent="0.35">
      <c r="A857">
        <v>2011</v>
      </c>
      <c r="B857" s="1" t="s">
        <v>206</v>
      </c>
      <c r="C857" s="1" t="s">
        <v>207</v>
      </c>
      <c r="D857" s="1" t="s">
        <v>7</v>
      </c>
      <c r="E857" s="1">
        <v>789427.16</v>
      </c>
      <c r="F857" s="1">
        <v>1975896</v>
      </c>
      <c r="G857">
        <v>0.39952869989108741</v>
      </c>
    </row>
    <row r="858" spans="1:7" x14ac:dyDescent="0.35">
      <c r="A858">
        <v>2011</v>
      </c>
      <c r="B858" s="1" t="s">
        <v>206</v>
      </c>
      <c r="C858" s="1" t="s">
        <v>207</v>
      </c>
      <c r="D858" s="1" t="s">
        <v>8</v>
      </c>
      <c r="E858" s="1">
        <v>106682.76</v>
      </c>
      <c r="F858" s="1">
        <v>1975896</v>
      </c>
      <c r="G858">
        <v>5.3992092701235284E-2</v>
      </c>
    </row>
    <row r="859" spans="1:7" x14ac:dyDescent="0.35">
      <c r="A859">
        <v>2011</v>
      </c>
      <c r="B859" s="1" t="s">
        <v>206</v>
      </c>
      <c r="C859" s="1" t="s">
        <v>207</v>
      </c>
      <c r="D859" s="1" t="s">
        <v>9</v>
      </c>
      <c r="E859" s="1">
        <v>285446.46000000002</v>
      </c>
      <c r="F859" s="1">
        <v>1975896</v>
      </c>
      <c r="G859">
        <v>0.1444643139112585</v>
      </c>
    </row>
    <row r="860" spans="1:7" x14ac:dyDescent="0.35">
      <c r="A860">
        <v>2011</v>
      </c>
      <c r="B860" s="1" t="s">
        <v>208</v>
      </c>
      <c r="C860" s="1" t="s">
        <v>209</v>
      </c>
      <c r="D860" s="1" t="s">
        <v>7</v>
      </c>
      <c r="E860" s="1">
        <v>490318.1</v>
      </c>
      <c r="F860" s="1">
        <v>1012735</v>
      </c>
      <c r="G860">
        <v>0.4841524189447387</v>
      </c>
    </row>
    <row r="861" spans="1:7" x14ac:dyDescent="0.35">
      <c r="A861">
        <v>2011</v>
      </c>
      <c r="B861" s="1" t="s">
        <v>208</v>
      </c>
      <c r="C861" s="1" t="s">
        <v>209</v>
      </c>
      <c r="D861" s="1" t="s">
        <v>8</v>
      </c>
      <c r="E861" s="1">
        <v>89727.99</v>
      </c>
      <c r="F861" s="1">
        <v>1012735</v>
      </c>
      <c r="G861">
        <v>8.8599673162278389E-2</v>
      </c>
    </row>
    <row r="862" spans="1:7" x14ac:dyDescent="0.35">
      <c r="A862">
        <v>2011</v>
      </c>
      <c r="B862" s="1" t="s">
        <v>208</v>
      </c>
      <c r="C862" s="1" t="s">
        <v>209</v>
      </c>
      <c r="D862" s="1" t="s">
        <v>9</v>
      </c>
      <c r="E862" s="1">
        <v>155085.85999999999</v>
      </c>
      <c r="F862" s="1">
        <v>1012735</v>
      </c>
      <c r="G862">
        <v>0.15313567715147594</v>
      </c>
    </row>
    <row r="863" spans="1:7" x14ac:dyDescent="0.35">
      <c r="A863">
        <v>2011</v>
      </c>
      <c r="B863" s="1" t="s">
        <v>210</v>
      </c>
      <c r="C863" s="1" t="s">
        <v>211</v>
      </c>
      <c r="D863" s="1" t="s">
        <v>7</v>
      </c>
      <c r="E863" s="1">
        <v>201187.42</v>
      </c>
      <c r="F863" s="1">
        <v>546630</v>
      </c>
      <c r="G863">
        <v>0.36805045460366248</v>
      </c>
    </row>
    <row r="864" spans="1:7" x14ac:dyDescent="0.35">
      <c r="A864">
        <v>2011</v>
      </c>
      <c r="B864" s="1" t="s">
        <v>210</v>
      </c>
      <c r="C864" s="1" t="s">
        <v>211</v>
      </c>
      <c r="D864" s="1" t="s">
        <v>8</v>
      </c>
      <c r="E864" s="1">
        <v>33155.910000000003</v>
      </c>
      <c r="F864" s="1">
        <v>546630</v>
      </c>
      <c r="G864">
        <v>6.0655123209483568E-2</v>
      </c>
    </row>
    <row r="865" spans="1:7" x14ac:dyDescent="0.35">
      <c r="A865">
        <v>2011</v>
      </c>
      <c r="B865" s="1" t="s">
        <v>210</v>
      </c>
      <c r="C865" s="1" t="s">
        <v>211</v>
      </c>
      <c r="D865" s="1" t="s">
        <v>9</v>
      </c>
      <c r="E865" s="1">
        <v>102270.84</v>
      </c>
      <c r="F865" s="1">
        <v>546630</v>
      </c>
      <c r="G865">
        <v>0.18709335382251249</v>
      </c>
    </row>
    <row r="866" spans="1:7" x14ac:dyDescent="0.35">
      <c r="A866">
        <v>2013</v>
      </c>
      <c r="B866" s="1" t="s">
        <v>5</v>
      </c>
      <c r="C866" s="1" t="s">
        <v>6</v>
      </c>
      <c r="D866" s="1" t="s">
        <v>7</v>
      </c>
      <c r="E866" s="1">
        <v>125932.38</v>
      </c>
      <c r="F866" s="1">
        <v>619497</v>
      </c>
      <c r="G866">
        <v>0.20328166238093162</v>
      </c>
    </row>
    <row r="867" spans="1:7" x14ac:dyDescent="0.35">
      <c r="A867">
        <v>2013</v>
      </c>
      <c r="B867" s="1" t="s">
        <v>5</v>
      </c>
      <c r="C867" s="1" t="s">
        <v>6</v>
      </c>
      <c r="D867" s="1" t="s">
        <v>8</v>
      </c>
      <c r="E867" s="1">
        <v>48737.35</v>
      </c>
      <c r="F867" s="1">
        <v>619497</v>
      </c>
      <c r="G867">
        <v>7.8672455233842933E-2</v>
      </c>
    </row>
    <row r="868" spans="1:7" x14ac:dyDescent="0.35">
      <c r="A868">
        <v>2013</v>
      </c>
      <c r="B868" s="1" t="s">
        <v>5</v>
      </c>
      <c r="C868" s="1" t="s">
        <v>6</v>
      </c>
      <c r="D868" s="1" t="s">
        <v>9</v>
      </c>
      <c r="E868" s="1">
        <v>119930.4</v>
      </c>
      <c r="F868" s="1">
        <v>619497</v>
      </c>
      <c r="G868">
        <v>0.19359318931326544</v>
      </c>
    </row>
    <row r="869" spans="1:7" x14ac:dyDescent="0.35">
      <c r="A869">
        <v>2013</v>
      </c>
      <c r="B869" s="1" t="s">
        <v>10</v>
      </c>
      <c r="C869" s="1" t="s">
        <v>11</v>
      </c>
      <c r="D869" s="1" t="s">
        <v>7</v>
      </c>
      <c r="E869" s="1">
        <v>94243.8</v>
      </c>
      <c r="F869" s="1">
        <v>343431</v>
      </c>
      <c r="G869">
        <v>0.27441844213248079</v>
      </c>
    </row>
    <row r="870" spans="1:7" x14ac:dyDescent="0.35">
      <c r="A870">
        <v>2013</v>
      </c>
      <c r="B870" s="1" t="s">
        <v>10</v>
      </c>
      <c r="C870" s="1" t="s">
        <v>11</v>
      </c>
      <c r="D870" s="1" t="s">
        <v>8</v>
      </c>
      <c r="E870" s="1">
        <v>26605.56</v>
      </c>
      <c r="F870" s="1">
        <v>343431</v>
      </c>
      <c r="G870">
        <v>7.7469884780348899E-2</v>
      </c>
    </row>
    <row r="871" spans="1:7" x14ac:dyDescent="0.35">
      <c r="A871">
        <v>2013</v>
      </c>
      <c r="B871" s="1" t="s">
        <v>10</v>
      </c>
      <c r="C871" s="1" t="s">
        <v>11</v>
      </c>
      <c r="D871" s="1" t="s">
        <v>9</v>
      </c>
      <c r="E871" s="1">
        <v>58369.79</v>
      </c>
      <c r="F871" s="1">
        <v>343431</v>
      </c>
      <c r="G871">
        <v>0.16996074902964498</v>
      </c>
    </row>
    <row r="872" spans="1:7" x14ac:dyDescent="0.35">
      <c r="A872">
        <v>2013</v>
      </c>
      <c r="B872" s="1" t="s">
        <v>12</v>
      </c>
      <c r="C872" s="1" t="s">
        <v>13</v>
      </c>
      <c r="D872" s="1" t="s">
        <v>7</v>
      </c>
      <c r="E872" s="1">
        <v>83497.070000000007</v>
      </c>
      <c r="F872" s="1">
        <v>320379</v>
      </c>
      <c r="G872">
        <v>0.26061967232558941</v>
      </c>
    </row>
    <row r="873" spans="1:7" x14ac:dyDescent="0.35">
      <c r="A873">
        <v>2013</v>
      </c>
      <c r="B873" s="1" t="s">
        <v>12</v>
      </c>
      <c r="C873" s="1" t="s">
        <v>13</v>
      </c>
      <c r="D873" s="1" t="s">
        <v>8</v>
      </c>
      <c r="E873" s="1">
        <v>23480.85</v>
      </c>
      <c r="F873" s="1">
        <v>320379</v>
      </c>
      <c r="G873">
        <v>7.3290852396692668E-2</v>
      </c>
    </row>
    <row r="874" spans="1:7" x14ac:dyDescent="0.35">
      <c r="A874">
        <v>2013</v>
      </c>
      <c r="B874" s="1" t="s">
        <v>12</v>
      </c>
      <c r="C874" s="1" t="s">
        <v>13</v>
      </c>
      <c r="D874" s="1" t="s">
        <v>9</v>
      </c>
      <c r="E874" s="1">
        <v>50986.83</v>
      </c>
      <c r="F874" s="1">
        <v>320379</v>
      </c>
      <c r="G874">
        <v>0.15914535596902418</v>
      </c>
    </row>
    <row r="875" spans="1:7" x14ac:dyDescent="0.35">
      <c r="A875">
        <v>2013</v>
      </c>
      <c r="B875" s="1" t="s">
        <v>14</v>
      </c>
      <c r="C875" s="1" t="s">
        <v>15</v>
      </c>
      <c r="D875" s="1" t="s">
        <v>7</v>
      </c>
      <c r="E875" s="1">
        <v>39395.61</v>
      </c>
      <c r="F875" s="1">
        <v>147035</v>
      </c>
      <c r="G875">
        <v>0.26793355323562418</v>
      </c>
    </row>
    <row r="876" spans="1:7" x14ac:dyDescent="0.35">
      <c r="A876">
        <v>2013</v>
      </c>
      <c r="B876" s="1" t="s">
        <v>14</v>
      </c>
      <c r="C876" s="1" t="s">
        <v>15</v>
      </c>
      <c r="D876" s="1" t="s">
        <v>8</v>
      </c>
      <c r="E876" s="1">
        <v>12232.36</v>
      </c>
      <c r="F876" s="1">
        <v>147035</v>
      </c>
      <c r="G876">
        <v>8.3193525351106884E-2</v>
      </c>
    </row>
    <row r="877" spans="1:7" x14ac:dyDescent="0.35">
      <c r="A877">
        <v>2013</v>
      </c>
      <c r="B877" s="1" t="s">
        <v>14</v>
      </c>
      <c r="C877" s="1" t="s">
        <v>15</v>
      </c>
      <c r="D877" s="1" t="s">
        <v>9</v>
      </c>
      <c r="E877" s="1">
        <v>19960.66</v>
      </c>
      <c r="F877" s="1">
        <v>147035</v>
      </c>
      <c r="G877">
        <v>0.13575448022579659</v>
      </c>
    </row>
    <row r="878" spans="1:7" x14ac:dyDescent="0.35">
      <c r="A878">
        <v>2013</v>
      </c>
      <c r="B878" s="1" t="s">
        <v>16</v>
      </c>
      <c r="C878" s="1" t="s">
        <v>17</v>
      </c>
      <c r="D878" s="1" t="s">
        <v>7</v>
      </c>
      <c r="E878" s="1">
        <v>127278.75</v>
      </c>
      <c r="F878" s="1">
        <v>494712</v>
      </c>
      <c r="G878">
        <v>0.25727847717459856</v>
      </c>
    </row>
    <row r="879" spans="1:7" x14ac:dyDescent="0.35">
      <c r="A879">
        <v>2013</v>
      </c>
      <c r="B879" s="1" t="s">
        <v>16</v>
      </c>
      <c r="C879" s="1" t="s">
        <v>17</v>
      </c>
      <c r="D879" s="1" t="s">
        <v>8</v>
      </c>
      <c r="E879" s="1">
        <v>33669.46</v>
      </c>
      <c r="F879" s="1">
        <v>494712</v>
      </c>
      <c r="G879">
        <v>6.8058708905383333E-2</v>
      </c>
    </row>
    <row r="880" spans="1:7" x14ac:dyDescent="0.35">
      <c r="A880">
        <v>2013</v>
      </c>
      <c r="B880" s="1" t="s">
        <v>16</v>
      </c>
      <c r="C880" s="1" t="s">
        <v>17</v>
      </c>
      <c r="D880" s="1" t="s">
        <v>9</v>
      </c>
      <c r="E880" s="1">
        <v>90286.73</v>
      </c>
      <c r="F880" s="1">
        <v>494712</v>
      </c>
      <c r="G880">
        <v>0.18250361826678957</v>
      </c>
    </row>
    <row r="881" spans="1:7" x14ac:dyDescent="0.35">
      <c r="A881">
        <v>2013</v>
      </c>
      <c r="B881" s="1" t="s">
        <v>18</v>
      </c>
      <c r="C881" s="1" t="s">
        <v>19</v>
      </c>
      <c r="D881" s="1" t="s">
        <v>7</v>
      </c>
      <c r="E881" s="1">
        <v>275259.46999999997</v>
      </c>
      <c r="F881" s="1">
        <v>1235387</v>
      </c>
      <c r="G881">
        <v>0.22281234139585407</v>
      </c>
    </row>
    <row r="882" spans="1:7" x14ac:dyDescent="0.35">
      <c r="A882">
        <v>2013</v>
      </c>
      <c r="B882" s="1" t="s">
        <v>18</v>
      </c>
      <c r="C882" s="1" t="s">
        <v>19</v>
      </c>
      <c r="D882" s="1" t="s">
        <v>8</v>
      </c>
      <c r="E882" s="1">
        <v>97642.23</v>
      </c>
      <c r="F882" s="1">
        <v>1235387</v>
      </c>
      <c r="G882">
        <v>7.903776711265377E-2</v>
      </c>
    </row>
    <row r="883" spans="1:7" x14ac:dyDescent="0.35">
      <c r="A883">
        <v>2013</v>
      </c>
      <c r="B883" s="1" t="s">
        <v>18</v>
      </c>
      <c r="C883" s="1" t="s">
        <v>19</v>
      </c>
      <c r="D883" s="1" t="s">
        <v>9</v>
      </c>
      <c r="E883" s="1">
        <v>260143.02</v>
      </c>
      <c r="F883" s="1">
        <v>1235387</v>
      </c>
      <c r="G883">
        <v>0.21057613525154464</v>
      </c>
    </row>
    <row r="884" spans="1:7" x14ac:dyDescent="0.35">
      <c r="A884">
        <v>2013</v>
      </c>
      <c r="B884" s="1" t="s">
        <v>20</v>
      </c>
      <c r="C884" s="1" t="s">
        <v>21</v>
      </c>
      <c r="D884" s="1" t="s">
        <v>7</v>
      </c>
      <c r="E884" s="1">
        <v>176042.49</v>
      </c>
      <c r="F884" s="1">
        <v>756715</v>
      </c>
      <c r="G884">
        <v>0.23264041283706546</v>
      </c>
    </row>
    <row r="885" spans="1:7" x14ac:dyDescent="0.35">
      <c r="A885">
        <v>2013</v>
      </c>
      <c r="B885" s="1" t="s">
        <v>20</v>
      </c>
      <c r="C885" s="1" t="s">
        <v>21</v>
      </c>
      <c r="D885" s="1" t="s">
        <v>8</v>
      </c>
      <c r="E885" s="1">
        <v>56828.160000000003</v>
      </c>
      <c r="F885" s="1">
        <v>756715</v>
      </c>
      <c r="G885">
        <v>7.5098498113556622E-2</v>
      </c>
    </row>
    <row r="886" spans="1:7" x14ac:dyDescent="0.35">
      <c r="A886">
        <v>2013</v>
      </c>
      <c r="B886" s="1" t="s">
        <v>20</v>
      </c>
      <c r="C886" s="1" t="s">
        <v>21</v>
      </c>
      <c r="D886" s="1" t="s">
        <v>9</v>
      </c>
      <c r="E886" s="1">
        <v>117502.31</v>
      </c>
      <c r="F886" s="1">
        <v>756715</v>
      </c>
      <c r="G886">
        <v>0.15527947774261114</v>
      </c>
    </row>
    <row r="887" spans="1:7" x14ac:dyDescent="0.35">
      <c r="A887">
        <v>2013</v>
      </c>
      <c r="B887" s="1" t="s">
        <v>22</v>
      </c>
      <c r="C887" s="1" t="s">
        <v>23</v>
      </c>
      <c r="D887" s="1" t="s">
        <v>7</v>
      </c>
      <c r="E887" s="1">
        <v>51833.97</v>
      </c>
      <c r="F887" s="1">
        <v>226203</v>
      </c>
      <c r="G887">
        <v>0.22914802190952374</v>
      </c>
    </row>
    <row r="888" spans="1:7" x14ac:dyDescent="0.35">
      <c r="A888">
        <v>2013</v>
      </c>
      <c r="B888" s="1" t="s">
        <v>22</v>
      </c>
      <c r="C888" s="1" t="s">
        <v>23</v>
      </c>
      <c r="D888" s="1" t="s">
        <v>8</v>
      </c>
      <c r="E888" s="1">
        <v>18956.66</v>
      </c>
      <c r="F888" s="1">
        <v>226203</v>
      </c>
      <c r="G888">
        <v>8.3803751497548665E-2</v>
      </c>
    </row>
    <row r="889" spans="1:7" x14ac:dyDescent="0.35">
      <c r="A889">
        <v>2013</v>
      </c>
      <c r="B889" s="1" t="s">
        <v>22</v>
      </c>
      <c r="C889" s="1" t="s">
        <v>23</v>
      </c>
      <c r="D889" s="1" t="s">
        <v>9</v>
      </c>
      <c r="E889" s="1">
        <v>32610.75</v>
      </c>
      <c r="F889" s="1">
        <v>226203</v>
      </c>
      <c r="G889">
        <v>0.1441658598692325</v>
      </c>
    </row>
    <row r="890" spans="1:7" x14ac:dyDescent="0.35">
      <c r="A890">
        <v>2013</v>
      </c>
      <c r="B890" s="1" t="s">
        <v>24</v>
      </c>
      <c r="C890" s="1" t="s">
        <v>25</v>
      </c>
      <c r="D890" s="1" t="s">
        <v>7</v>
      </c>
      <c r="E890" s="1">
        <v>146400.01999999999</v>
      </c>
      <c r="F890" s="1">
        <v>640999</v>
      </c>
      <c r="G890">
        <v>0.22839352323482562</v>
      </c>
    </row>
    <row r="891" spans="1:7" x14ac:dyDescent="0.35">
      <c r="A891">
        <v>2013</v>
      </c>
      <c r="B891" s="1" t="s">
        <v>24</v>
      </c>
      <c r="C891" s="1" t="s">
        <v>25</v>
      </c>
      <c r="D891" s="1" t="s">
        <v>8</v>
      </c>
      <c r="E891" s="1">
        <v>70188.92</v>
      </c>
      <c r="F891" s="1">
        <v>640999</v>
      </c>
      <c r="G891">
        <v>0.10949926598949453</v>
      </c>
    </row>
    <row r="892" spans="1:7" x14ac:dyDescent="0.35">
      <c r="A892">
        <v>2013</v>
      </c>
      <c r="B892" s="1" t="s">
        <v>24</v>
      </c>
      <c r="C892" s="1" t="s">
        <v>25</v>
      </c>
      <c r="D892" s="1" t="s">
        <v>9</v>
      </c>
      <c r="E892" s="1">
        <v>93291.61</v>
      </c>
      <c r="F892" s="1">
        <v>640999</v>
      </c>
      <c r="G892">
        <v>0.14554096028230934</v>
      </c>
    </row>
    <row r="893" spans="1:7" x14ac:dyDescent="0.35">
      <c r="A893">
        <v>2013</v>
      </c>
      <c r="B893" s="1" t="s">
        <v>26</v>
      </c>
      <c r="C893" s="1" t="s">
        <v>27</v>
      </c>
      <c r="D893" s="1" t="s">
        <v>7</v>
      </c>
      <c r="E893" s="1">
        <v>401225.05</v>
      </c>
      <c r="F893" s="1">
        <v>1779845</v>
      </c>
      <c r="G893">
        <v>0.22542696133652088</v>
      </c>
    </row>
    <row r="894" spans="1:7" x14ac:dyDescent="0.35">
      <c r="A894">
        <v>2013</v>
      </c>
      <c r="B894" s="1" t="s">
        <v>26</v>
      </c>
      <c r="C894" s="1" t="s">
        <v>27</v>
      </c>
      <c r="D894" s="1" t="s">
        <v>8</v>
      </c>
      <c r="E894" s="1">
        <v>123041</v>
      </c>
      <c r="F894" s="1">
        <v>1779845</v>
      </c>
      <c r="G894">
        <v>6.9130177065980458E-2</v>
      </c>
    </row>
    <row r="895" spans="1:7" x14ac:dyDescent="0.35">
      <c r="A895">
        <v>2013</v>
      </c>
      <c r="B895" s="1" t="s">
        <v>26</v>
      </c>
      <c r="C895" s="1" t="s">
        <v>27</v>
      </c>
      <c r="D895" s="1" t="s">
        <v>9</v>
      </c>
      <c r="E895" s="1">
        <v>167613.9</v>
      </c>
      <c r="F895" s="1">
        <v>1779845</v>
      </c>
      <c r="G895">
        <v>9.4173312844657825E-2</v>
      </c>
    </row>
    <row r="896" spans="1:7" x14ac:dyDescent="0.35">
      <c r="A896">
        <v>2013</v>
      </c>
      <c r="B896" s="1" t="s">
        <v>28</v>
      </c>
      <c r="C896" s="1" t="s">
        <v>29</v>
      </c>
      <c r="D896" s="1" t="s">
        <v>7</v>
      </c>
      <c r="E896" s="1">
        <v>130554.75</v>
      </c>
      <c r="F896" s="1">
        <v>423715</v>
      </c>
      <c r="G896">
        <v>0.30811925468770279</v>
      </c>
    </row>
    <row r="897" spans="1:7" x14ac:dyDescent="0.35">
      <c r="A897">
        <v>2013</v>
      </c>
      <c r="B897" s="1" t="s">
        <v>28</v>
      </c>
      <c r="C897" s="1" t="s">
        <v>29</v>
      </c>
      <c r="D897" s="1" t="s">
        <v>8</v>
      </c>
      <c r="E897" s="1">
        <v>45422.400000000001</v>
      </c>
      <c r="F897" s="1">
        <v>423715</v>
      </c>
      <c r="G897">
        <v>0.10720035873169466</v>
      </c>
    </row>
    <row r="898" spans="1:7" x14ac:dyDescent="0.35">
      <c r="A898">
        <v>2013</v>
      </c>
      <c r="B898" s="1" t="s">
        <v>28</v>
      </c>
      <c r="C898" s="1" t="s">
        <v>29</v>
      </c>
      <c r="D898" s="1" t="s">
        <v>9</v>
      </c>
      <c r="E898" s="1">
        <v>95357.2</v>
      </c>
      <c r="F898" s="1">
        <v>423715</v>
      </c>
      <c r="G898">
        <v>0.22505032864071367</v>
      </c>
    </row>
    <row r="899" spans="1:7" x14ac:dyDescent="0.35">
      <c r="A899">
        <v>2013</v>
      </c>
      <c r="B899" s="1" t="s">
        <v>30</v>
      </c>
      <c r="C899" s="1" t="s">
        <v>31</v>
      </c>
      <c r="D899" s="1" t="s">
        <v>7</v>
      </c>
      <c r="E899" s="1">
        <v>231336</v>
      </c>
      <c r="F899" s="1">
        <v>769677</v>
      </c>
      <c r="G899">
        <v>0.30056244372639435</v>
      </c>
    </row>
    <row r="900" spans="1:7" x14ac:dyDescent="0.35">
      <c r="A900">
        <v>2013</v>
      </c>
      <c r="B900" s="1" t="s">
        <v>30</v>
      </c>
      <c r="C900" s="1" t="s">
        <v>31</v>
      </c>
      <c r="D900" s="1" t="s">
        <v>8</v>
      </c>
      <c r="E900" s="1">
        <v>66440.47</v>
      </c>
      <c r="F900" s="1">
        <v>769677</v>
      </c>
      <c r="G900">
        <v>8.6322535297274058E-2</v>
      </c>
    </row>
    <row r="901" spans="1:7" x14ac:dyDescent="0.35">
      <c r="A901">
        <v>2013</v>
      </c>
      <c r="B901" s="1" t="s">
        <v>30</v>
      </c>
      <c r="C901" s="1" t="s">
        <v>31</v>
      </c>
      <c r="D901" s="1" t="s">
        <v>9</v>
      </c>
      <c r="E901" s="1">
        <v>163625.13</v>
      </c>
      <c r="F901" s="1">
        <v>769677</v>
      </c>
      <c r="G901">
        <v>0.21258934592043158</v>
      </c>
    </row>
    <row r="902" spans="1:7" x14ac:dyDescent="0.35">
      <c r="A902">
        <v>2013</v>
      </c>
      <c r="B902" s="1" t="s">
        <v>32</v>
      </c>
      <c r="C902" s="1" t="s">
        <v>33</v>
      </c>
      <c r="D902" s="1" t="s">
        <v>7</v>
      </c>
      <c r="E902" s="1">
        <v>123566.32</v>
      </c>
      <c r="F902" s="1">
        <v>529761</v>
      </c>
      <c r="G902">
        <v>0.23324918217837856</v>
      </c>
    </row>
    <row r="903" spans="1:7" x14ac:dyDescent="0.35">
      <c r="A903">
        <v>2013</v>
      </c>
      <c r="B903" s="1" t="s">
        <v>32</v>
      </c>
      <c r="C903" s="1" t="s">
        <v>33</v>
      </c>
      <c r="D903" s="1" t="s">
        <v>8</v>
      </c>
      <c r="E903" s="1">
        <v>56068.39</v>
      </c>
      <c r="F903" s="1">
        <v>529761</v>
      </c>
      <c r="G903">
        <v>0.10583714165444418</v>
      </c>
    </row>
    <row r="904" spans="1:7" x14ac:dyDescent="0.35">
      <c r="A904">
        <v>2013</v>
      </c>
      <c r="B904" s="1" t="s">
        <v>32</v>
      </c>
      <c r="C904" s="1" t="s">
        <v>33</v>
      </c>
      <c r="D904" s="1" t="s">
        <v>9</v>
      </c>
      <c r="E904" s="1">
        <v>86318.86</v>
      </c>
      <c r="F904" s="1">
        <v>529761</v>
      </c>
      <c r="G904">
        <v>0.16293924996366285</v>
      </c>
    </row>
    <row r="905" spans="1:7" x14ac:dyDescent="0.35">
      <c r="A905">
        <v>2013</v>
      </c>
      <c r="B905" s="1" t="s">
        <v>34</v>
      </c>
      <c r="C905" s="1" t="s">
        <v>35</v>
      </c>
      <c r="D905" s="1" t="s">
        <v>7</v>
      </c>
      <c r="E905" s="1">
        <v>105883.56</v>
      </c>
      <c r="F905" s="1">
        <v>533320</v>
      </c>
      <c r="G905">
        <v>0.19853663841596039</v>
      </c>
    </row>
    <row r="906" spans="1:7" x14ac:dyDescent="0.35">
      <c r="A906">
        <v>2013</v>
      </c>
      <c r="B906" s="1" t="s">
        <v>34</v>
      </c>
      <c r="C906" s="1" t="s">
        <v>35</v>
      </c>
      <c r="D906" s="1" t="s">
        <v>8</v>
      </c>
      <c r="E906" s="1">
        <v>56479.74</v>
      </c>
      <c r="F906" s="1">
        <v>533320</v>
      </c>
      <c r="G906">
        <v>0.10590216005400134</v>
      </c>
    </row>
    <row r="907" spans="1:7" x14ac:dyDescent="0.35">
      <c r="A907">
        <v>2013</v>
      </c>
      <c r="B907" s="1" t="s">
        <v>34</v>
      </c>
      <c r="C907" s="1" t="s">
        <v>35</v>
      </c>
      <c r="D907" s="1" t="s">
        <v>9</v>
      </c>
      <c r="E907" s="1">
        <v>95351.52</v>
      </c>
      <c r="F907" s="1">
        <v>533320</v>
      </c>
      <c r="G907">
        <v>0.17878856971424287</v>
      </c>
    </row>
    <row r="908" spans="1:7" x14ac:dyDescent="0.35">
      <c r="A908">
        <v>2013</v>
      </c>
      <c r="B908" s="1" t="s">
        <v>36</v>
      </c>
      <c r="C908" s="1" t="s">
        <v>37</v>
      </c>
      <c r="D908" s="1" t="s">
        <v>7</v>
      </c>
      <c r="E908" s="1">
        <v>51156.13</v>
      </c>
      <c r="F908" s="1">
        <v>260502</v>
      </c>
      <c r="G908">
        <v>0.19637519097742051</v>
      </c>
    </row>
    <row r="909" spans="1:7" x14ac:dyDescent="0.35">
      <c r="A909">
        <v>2013</v>
      </c>
      <c r="B909" s="1" t="s">
        <v>36</v>
      </c>
      <c r="C909" s="1" t="s">
        <v>37</v>
      </c>
      <c r="D909" s="1" t="s">
        <v>8</v>
      </c>
      <c r="E909" s="1">
        <v>34999.33</v>
      </c>
      <c r="F909" s="1">
        <v>260502</v>
      </c>
      <c r="G909">
        <v>0.13435340227714182</v>
      </c>
    </row>
    <row r="910" spans="1:7" x14ac:dyDescent="0.35">
      <c r="A910">
        <v>2013</v>
      </c>
      <c r="B910" s="1" t="s">
        <v>36</v>
      </c>
      <c r="C910" s="1" t="s">
        <v>37</v>
      </c>
      <c r="D910" s="1" t="s">
        <v>9</v>
      </c>
      <c r="E910" s="1">
        <v>39904.36</v>
      </c>
      <c r="F910" s="1">
        <v>260502</v>
      </c>
      <c r="G910">
        <v>0.15318254754282118</v>
      </c>
    </row>
    <row r="911" spans="1:7" x14ac:dyDescent="0.35">
      <c r="A911">
        <v>2013</v>
      </c>
      <c r="B911" s="1" t="s">
        <v>38</v>
      </c>
      <c r="C911" s="1" t="s">
        <v>39</v>
      </c>
      <c r="D911" s="1" t="s">
        <v>7</v>
      </c>
      <c r="E911" s="1">
        <v>43433.85</v>
      </c>
      <c r="F911" s="1">
        <v>215221</v>
      </c>
      <c r="G911">
        <v>0.20181046459220986</v>
      </c>
    </row>
    <row r="912" spans="1:7" x14ac:dyDescent="0.35">
      <c r="A912">
        <v>2013</v>
      </c>
      <c r="B912" s="1" t="s">
        <v>38</v>
      </c>
      <c r="C912" s="1" t="s">
        <v>39</v>
      </c>
      <c r="D912" s="1" t="s">
        <v>8</v>
      </c>
      <c r="E912" s="1">
        <v>21895.53</v>
      </c>
      <c r="F912" s="1">
        <v>215221</v>
      </c>
      <c r="G912">
        <v>0.10173510019932999</v>
      </c>
    </row>
    <row r="913" spans="1:7" x14ac:dyDescent="0.35">
      <c r="A913">
        <v>2013</v>
      </c>
      <c r="B913" s="1" t="s">
        <v>38</v>
      </c>
      <c r="C913" s="1" t="s">
        <v>39</v>
      </c>
      <c r="D913" s="1" t="s">
        <v>9</v>
      </c>
      <c r="E913" s="1">
        <v>40679.57</v>
      </c>
      <c r="F913" s="1">
        <v>215221</v>
      </c>
      <c r="G913">
        <v>0.18901301452925132</v>
      </c>
    </row>
    <row r="914" spans="1:7" x14ac:dyDescent="0.35">
      <c r="A914">
        <v>2013</v>
      </c>
      <c r="B914" s="1" t="s">
        <v>40</v>
      </c>
      <c r="C914" s="1" t="s">
        <v>41</v>
      </c>
      <c r="D914" s="1" t="s">
        <v>7</v>
      </c>
      <c r="E914" s="1">
        <v>38244.31</v>
      </c>
      <c r="F914" s="1">
        <v>238956</v>
      </c>
      <c r="G914">
        <v>0.16004749828420295</v>
      </c>
    </row>
    <row r="915" spans="1:7" x14ac:dyDescent="0.35">
      <c r="A915">
        <v>2013</v>
      </c>
      <c r="B915" s="1" t="s">
        <v>40</v>
      </c>
      <c r="C915" s="1" t="s">
        <v>41</v>
      </c>
      <c r="D915" s="1" t="s">
        <v>8</v>
      </c>
      <c r="E915" s="1">
        <v>24583.87</v>
      </c>
      <c r="F915" s="1">
        <v>238956</v>
      </c>
      <c r="G915">
        <v>0.10288032106329198</v>
      </c>
    </row>
    <row r="916" spans="1:7" x14ac:dyDescent="0.35">
      <c r="A916">
        <v>2013</v>
      </c>
      <c r="B916" s="1" t="s">
        <v>40</v>
      </c>
      <c r="C916" s="1" t="s">
        <v>41</v>
      </c>
      <c r="D916" s="1" t="s">
        <v>9</v>
      </c>
      <c r="E916" s="1">
        <v>46781.33</v>
      </c>
      <c r="F916" s="1">
        <v>238956</v>
      </c>
      <c r="G916">
        <v>0.19577382446977687</v>
      </c>
    </row>
    <row r="917" spans="1:7" x14ac:dyDescent="0.35">
      <c r="A917">
        <v>2013</v>
      </c>
      <c r="B917" s="1" t="s">
        <v>42</v>
      </c>
      <c r="C917" s="1" t="s">
        <v>43</v>
      </c>
      <c r="D917" s="1" t="s">
        <v>7</v>
      </c>
      <c r="E917" s="1">
        <v>118035.02</v>
      </c>
      <c r="F917" s="1">
        <v>556222</v>
      </c>
      <c r="G917">
        <v>0.21220847071852605</v>
      </c>
    </row>
    <row r="918" spans="1:7" x14ac:dyDescent="0.35">
      <c r="A918">
        <v>2013</v>
      </c>
      <c r="B918" s="1" t="s">
        <v>42</v>
      </c>
      <c r="C918" s="1" t="s">
        <v>43</v>
      </c>
      <c r="D918" s="1" t="s">
        <v>8</v>
      </c>
      <c r="E918" s="1">
        <v>56098.83</v>
      </c>
      <c r="F918" s="1">
        <v>556222</v>
      </c>
      <c r="G918">
        <v>0.10085690605549583</v>
      </c>
    </row>
    <row r="919" spans="1:7" x14ac:dyDescent="0.35">
      <c r="A919">
        <v>2013</v>
      </c>
      <c r="B919" s="1" t="s">
        <v>42</v>
      </c>
      <c r="C919" s="1" t="s">
        <v>43</v>
      </c>
      <c r="D919" s="1" t="s">
        <v>9</v>
      </c>
      <c r="E919" s="1">
        <v>109813.85</v>
      </c>
      <c r="F919" s="1">
        <v>556222</v>
      </c>
      <c r="G919">
        <v>0.19742809525692981</v>
      </c>
    </row>
    <row r="920" spans="1:7" x14ac:dyDescent="0.35">
      <c r="A920">
        <v>2013</v>
      </c>
      <c r="B920" s="1" t="s">
        <v>44</v>
      </c>
      <c r="C920" s="1" t="s">
        <v>45</v>
      </c>
      <c r="D920" s="1" t="s">
        <v>7</v>
      </c>
      <c r="E920" s="1">
        <v>83674.880000000005</v>
      </c>
      <c r="F920" s="1">
        <v>341483</v>
      </c>
      <c r="G920">
        <v>0.24503380841798861</v>
      </c>
    </row>
    <row r="921" spans="1:7" x14ac:dyDescent="0.35">
      <c r="A921">
        <v>2013</v>
      </c>
      <c r="B921" s="1" t="s">
        <v>44</v>
      </c>
      <c r="C921" s="1" t="s">
        <v>45</v>
      </c>
      <c r="D921" s="1" t="s">
        <v>8</v>
      </c>
      <c r="E921" s="1">
        <v>32865.199999999997</v>
      </c>
      <c r="F921" s="1">
        <v>341483</v>
      </c>
      <c r="G921">
        <v>9.624256551570648E-2</v>
      </c>
    </row>
    <row r="922" spans="1:7" x14ac:dyDescent="0.35">
      <c r="A922">
        <v>2013</v>
      </c>
      <c r="B922" s="1" t="s">
        <v>44</v>
      </c>
      <c r="C922" s="1" t="s">
        <v>45</v>
      </c>
      <c r="D922" s="1" t="s">
        <v>9</v>
      </c>
      <c r="E922" s="1">
        <v>59557.79</v>
      </c>
      <c r="F922" s="1">
        <v>341483</v>
      </c>
      <c r="G922">
        <v>0.17440923852724732</v>
      </c>
    </row>
    <row r="923" spans="1:7" x14ac:dyDescent="0.35">
      <c r="A923">
        <v>2013</v>
      </c>
      <c r="B923" s="1" t="s">
        <v>46</v>
      </c>
      <c r="C923" s="1" t="s">
        <v>47</v>
      </c>
      <c r="D923" s="1" t="s">
        <v>7</v>
      </c>
      <c r="E923" s="1">
        <v>32798.61</v>
      </c>
      <c r="F923" s="1">
        <v>144318</v>
      </c>
      <c r="G923">
        <v>0.22726624537479734</v>
      </c>
    </row>
    <row r="924" spans="1:7" x14ac:dyDescent="0.35">
      <c r="A924">
        <v>2013</v>
      </c>
      <c r="B924" s="1" t="s">
        <v>46</v>
      </c>
      <c r="C924" s="1" t="s">
        <v>47</v>
      </c>
      <c r="D924" s="1" t="s">
        <v>8</v>
      </c>
      <c r="E924" s="1">
        <v>21456.31</v>
      </c>
      <c r="F924" s="1">
        <v>144318</v>
      </c>
      <c r="G924">
        <v>0.14867383140010257</v>
      </c>
    </row>
    <row r="925" spans="1:7" x14ac:dyDescent="0.35">
      <c r="A925">
        <v>2013</v>
      </c>
      <c r="B925" s="1" t="s">
        <v>46</v>
      </c>
      <c r="C925" s="1" t="s">
        <v>47</v>
      </c>
      <c r="D925" s="1" t="s">
        <v>9</v>
      </c>
      <c r="E925" s="1">
        <v>17899.919999999998</v>
      </c>
      <c r="F925" s="1">
        <v>144318</v>
      </c>
      <c r="G925">
        <v>0.12403109799193447</v>
      </c>
    </row>
    <row r="926" spans="1:7" x14ac:dyDescent="0.35">
      <c r="A926">
        <v>2013</v>
      </c>
      <c r="B926" s="1" t="s">
        <v>48</v>
      </c>
      <c r="C926" s="1" t="s">
        <v>49</v>
      </c>
      <c r="D926" s="1" t="s">
        <v>7</v>
      </c>
      <c r="E926" s="1">
        <v>134439.49</v>
      </c>
      <c r="F926" s="1">
        <v>597085</v>
      </c>
      <c r="G926">
        <v>0.22515971762814338</v>
      </c>
    </row>
    <row r="927" spans="1:7" x14ac:dyDescent="0.35">
      <c r="A927">
        <v>2013</v>
      </c>
      <c r="B927" s="1" t="s">
        <v>48</v>
      </c>
      <c r="C927" s="1" t="s">
        <v>49</v>
      </c>
      <c r="D927" s="1" t="s">
        <v>8</v>
      </c>
      <c r="E927" s="1">
        <v>62398.29</v>
      </c>
      <c r="F927" s="1">
        <v>597085</v>
      </c>
      <c r="G927">
        <v>0.10450486949094351</v>
      </c>
    </row>
    <row r="928" spans="1:7" x14ac:dyDescent="0.35">
      <c r="A928">
        <v>2013</v>
      </c>
      <c r="B928" s="1" t="s">
        <v>48</v>
      </c>
      <c r="C928" s="1" t="s">
        <v>49</v>
      </c>
      <c r="D928" s="1" t="s">
        <v>9</v>
      </c>
      <c r="E928" s="1">
        <v>180557.96</v>
      </c>
      <c r="F928" s="1">
        <v>597085</v>
      </c>
      <c r="G928">
        <v>0.30239908890693956</v>
      </c>
    </row>
    <row r="929" spans="1:7" x14ac:dyDescent="0.35">
      <c r="A929">
        <v>2019</v>
      </c>
      <c r="B929" s="1" t="s">
        <v>5</v>
      </c>
      <c r="C929" s="1" t="s">
        <v>6</v>
      </c>
      <c r="D929" s="1" t="s">
        <v>7</v>
      </c>
      <c r="E929" s="1">
        <v>122243.91</v>
      </c>
      <c r="F929" s="1">
        <v>652432</v>
      </c>
      <c r="G929">
        <v>0.18736651482453345</v>
      </c>
    </row>
    <row r="930" spans="1:7" x14ac:dyDescent="0.35">
      <c r="A930">
        <v>2019</v>
      </c>
      <c r="B930" s="1" t="s">
        <v>5</v>
      </c>
      <c r="C930" s="1" t="s">
        <v>6</v>
      </c>
      <c r="D930" s="1" t="s">
        <v>8</v>
      </c>
      <c r="E930" s="1">
        <v>54561.75</v>
      </c>
      <c r="F930" s="1">
        <v>652432</v>
      </c>
      <c r="G930">
        <v>8.3628255511685512E-2</v>
      </c>
    </row>
    <row r="931" spans="1:7" x14ac:dyDescent="0.35">
      <c r="A931">
        <v>2019</v>
      </c>
      <c r="B931" s="1" t="s">
        <v>5</v>
      </c>
      <c r="C931" s="1" t="s">
        <v>6</v>
      </c>
      <c r="D931" s="1" t="s">
        <v>9</v>
      </c>
      <c r="E931" s="1">
        <v>130680.29</v>
      </c>
      <c r="F931" s="1">
        <v>652432</v>
      </c>
      <c r="G931">
        <v>0.20029718039581135</v>
      </c>
    </row>
    <row r="932" spans="1:7" x14ac:dyDescent="0.35">
      <c r="A932">
        <v>2019</v>
      </c>
      <c r="B932" s="1" t="s">
        <v>104</v>
      </c>
      <c r="C932" s="1" t="s">
        <v>105</v>
      </c>
      <c r="D932" s="1" t="s">
        <v>7</v>
      </c>
      <c r="E932" s="1">
        <v>122526.19</v>
      </c>
      <c r="F932" s="1">
        <v>531345</v>
      </c>
      <c r="G932">
        <v>0.23059629807375623</v>
      </c>
    </row>
    <row r="933" spans="1:7" x14ac:dyDescent="0.35">
      <c r="A933">
        <v>2019</v>
      </c>
      <c r="B933" s="1" t="s">
        <v>104</v>
      </c>
      <c r="C933" s="1" t="s">
        <v>105</v>
      </c>
      <c r="D933" s="1" t="s">
        <v>8</v>
      </c>
      <c r="E933" s="1">
        <v>60257.31</v>
      </c>
      <c r="F933" s="1">
        <v>531345</v>
      </c>
      <c r="G933">
        <v>0.1134052451796855</v>
      </c>
    </row>
    <row r="934" spans="1:7" x14ac:dyDescent="0.35">
      <c r="A934">
        <v>2019</v>
      </c>
      <c r="B934" s="1" t="s">
        <v>104</v>
      </c>
      <c r="C934" s="1" t="s">
        <v>105</v>
      </c>
      <c r="D934" s="1" t="s">
        <v>9</v>
      </c>
      <c r="E934" s="1">
        <v>103491.49</v>
      </c>
      <c r="F934" s="1">
        <v>531345</v>
      </c>
      <c r="G934">
        <v>0.19477268065004846</v>
      </c>
    </row>
    <row r="935" spans="1:7" x14ac:dyDescent="0.35">
      <c r="A935">
        <v>2019</v>
      </c>
      <c r="B935" s="1" t="s">
        <v>10</v>
      </c>
      <c r="C935" s="1" t="s">
        <v>11</v>
      </c>
      <c r="D935" s="1" t="s">
        <v>7</v>
      </c>
      <c r="E935" s="1">
        <v>80535.179999999993</v>
      </c>
      <c r="F935" s="1">
        <v>335975</v>
      </c>
      <c r="G935">
        <v>0.23970587097254259</v>
      </c>
    </row>
    <row r="936" spans="1:7" x14ac:dyDescent="0.35">
      <c r="A936">
        <v>2019</v>
      </c>
      <c r="B936" s="1" t="s">
        <v>10</v>
      </c>
      <c r="C936" s="1" t="s">
        <v>11</v>
      </c>
      <c r="D936" s="1" t="s">
        <v>8</v>
      </c>
      <c r="E936" s="1">
        <v>34020.800000000003</v>
      </c>
      <c r="F936" s="1">
        <v>335975</v>
      </c>
      <c r="G936">
        <v>0.10125991517225985</v>
      </c>
    </row>
    <row r="937" spans="1:7" x14ac:dyDescent="0.35">
      <c r="A937">
        <v>2019</v>
      </c>
      <c r="B937" s="1" t="s">
        <v>10</v>
      </c>
      <c r="C937" s="1" t="s">
        <v>11</v>
      </c>
      <c r="D937" s="1" t="s">
        <v>9</v>
      </c>
      <c r="E937" s="1">
        <v>63313.8</v>
      </c>
      <c r="F937" s="1">
        <v>335975</v>
      </c>
      <c r="G937">
        <v>0.18844794999627951</v>
      </c>
    </row>
    <row r="938" spans="1:7" x14ac:dyDescent="0.35">
      <c r="A938">
        <v>2013</v>
      </c>
      <c r="B938" s="1" t="s">
        <v>50</v>
      </c>
      <c r="C938" s="1" t="s">
        <v>51</v>
      </c>
      <c r="D938" s="1" t="s">
        <v>7</v>
      </c>
      <c r="E938" s="1">
        <v>223760.14</v>
      </c>
      <c r="F938" s="1">
        <v>903921</v>
      </c>
      <c r="G938">
        <v>0.24754391147013954</v>
      </c>
    </row>
    <row r="939" spans="1:7" x14ac:dyDescent="0.35">
      <c r="A939">
        <v>2013</v>
      </c>
      <c r="B939" s="1" t="s">
        <v>50</v>
      </c>
      <c r="C939" s="1" t="s">
        <v>51</v>
      </c>
      <c r="D939" s="1" t="s">
        <v>8</v>
      </c>
      <c r="E939" s="1">
        <v>138239.54</v>
      </c>
      <c r="F939" s="1">
        <v>903921</v>
      </c>
      <c r="G939">
        <v>0.15293320987121664</v>
      </c>
    </row>
    <row r="940" spans="1:7" x14ac:dyDescent="0.35">
      <c r="A940">
        <v>2013</v>
      </c>
      <c r="B940" s="1" t="s">
        <v>50</v>
      </c>
      <c r="C940" s="1" t="s">
        <v>51</v>
      </c>
      <c r="D940" s="1" t="s">
        <v>9</v>
      </c>
      <c r="E940" s="1">
        <v>254438.17</v>
      </c>
      <c r="F940" s="1">
        <v>903921</v>
      </c>
      <c r="G940">
        <v>0.28148275125812988</v>
      </c>
    </row>
    <row r="941" spans="1:7" x14ac:dyDescent="0.35">
      <c r="A941">
        <v>2019</v>
      </c>
      <c r="B941" s="1" t="s">
        <v>200</v>
      </c>
      <c r="C941" s="1" t="s">
        <v>201</v>
      </c>
      <c r="D941" s="1" t="s">
        <v>7</v>
      </c>
      <c r="E941" s="1">
        <v>56766.5</v>
      </c>
      <c r="F941" s="1">
        <v>164308</v>
      </c>
      <c r="G941">
        <v>0.34548835114540982</v>
      </c>
    </row>
    <row r="942" spans="1:7" x14ac:dyDescent="0.35">
      <c r="A942">
        <v>2019</v>
      </c>
      <c r="B942" s="1" t="s">
        <v>200</v>
      </c>
      <c r="C942" s="1" t="s">
        <v>201</v>
      </c>
      <c r="D942" s="1" t="s">
        <v>8</v>
      </c>
      <c r="E942" s="1">
        <v>11446.06</v>
      </c>
      <c r="F942" s="1">
        <v>164308</v>
      </c>
      <c r="G942">
        <v>6.9662219733670913E-2</v>
      </c>
    </row>
    <row r="943" spans="1:7" x14ac:dyDescent="0.35">
      <c r="A943">
        <v>2019</v>
      </c>
      <c r="B943" s="1" t="s">
        <v>200</v>
      </c>
      <c r="C943" s="1" t="s">
        <v>201</v>
      </c>
      <c r="D943" s="1" t="s">
        <v>9</v>
      </c>
      <c r="E943" s="1">
        <v>40850.57</v>
      </c>
      <c r="F943" s="1">
        <v>164308</v>
      </c>
      <c r="G943">
        <v>0.24862191737468656</v>
      </c>
    </row>
    <row r="944" spans="1:7" x14ac:dyDescent="0.35">
      <c r="A944">
        <v>2019</v>
      </c>
      <c r="B944" s="1" t="s">
        <v>202</v>
      </c>
      <c r="C944" s="1" t="s">
        <v>203</v>
      </c>
      <c r="D944" s="1" t="s">
        <v>7</v>
      </c>
      <c r="E944" s="1">
        <v>41718.31</v>
      </c>
      <c r="F944" s="1">
        <v>141220</v>
      </c>
      <c r="G944">
        <v>0.29541360997025917</v>
      </c>
    </row>
    <row r="945" spans="1:7" x14ac:dyDescent="0.35">
      <c r="A945">
        <v>2019</v>
      </c>
      <c r="B945" s="1" t="s">
        <v>202</v>
      </c>
      <c r="C945" s="1" t="s">
        <v>203</v>
      </c>
      <c r="D945" s="1" t="s">
        <v>8</v>
      </c>
      <c r="E945" s="1">
        <v>15025.81</v>
      </c>
      <c r="F945" s="1">
        <v>141220</v>
      </c>
      <c r="G945">
        <v>0.10640001416229995</v>
      </c>
    </row>
    <row r="946" spans="1:7" x14ac:dyDescent="0.35">
      <c r="A946">
        <v>2019</v>
      </c>
      <c r="B946" s="1" t="s">
        <v>202</v>
      </c>
      <c r="C946" s="1" t="s">
        <v>203</v>
      </c>
      <c r="D946" s="1" t="s">
        <v>9</v>
      </c>
      <c r="E946" s="1">
        <v>33043.71</v>
      </c>
      <c r="F946" s="1">
        <v>141220</v>
      </c>
      <c r="G946">
        <v>0.2339874663645376</v>
      </c>
    </row>
    <row r="947" spans="1:7" x14ac:dyDescent="0.35">
      <c r="A947">
        <v>2019</v>
      </c>
      <c r="B947" s="1" t="s">
        <v>204</v>
      </c>
      <c r="C947" s="1" t="s">
        <v>205</v>
      </c>
      <c r="D947" s="1" t="s">
        <v>7</v>
      </c>
      <c r="E947" s="1">
        <v>417814</v>
      </c>
      <c r="F947" s="1">
        <v>1094283</v>
      </c>
      <c r="G947">
        <v>0.38181530737478331</v>
      </c>
    </row>
    <row r="948" spans="1:7" x14ac:dyDescent="0.35">
      <c r="A948">
        <v>2019</v>
      </c>
      <c r="B948" s="1" t="s">
        <v>204</v>
      </c>
      <c r="C948" s="1" t="s">
        <v>205</v>
      </c>
      <c r="D948" s="1" t="s">
        <v>8</v>
      </c>
      <c r="E948" s="1">
        <v>149340.1</v>
      </c>
      <c r="F948" s="1">
        <v>1094283</v>
      </c>
      <c r="G948">
        <v>0.13647301475029769</v>
      </c>
    </row>
    <row r="949" spans="1:7" x14ac:dyDescent="0.35">
      <c r="A949">
        <v>2019</v>
      </c>
      <c r="B949" s="1" t="s">
        <v>204</v>
      </c>
      <c r="C949" s="1" t="s">
        <v>205</v>
      </c>
      <c r="D949" s="1" t="s">
        <v>9</v>
      </c>
      <c r="E949" s="1">
        <v>190679.13</v>
      </c>
      <c r="F949" s="1">
        <v>1094283</v>
      </c>
      <c r="G949">
        <v>0.17425028991586272</v>
      </c>
    </row>
    <row r="950" spans="1:7" x14ac:dyDescent="0.35">
      <c r="A950">
        <v>2013</v>
      </c>
      <c r="B950" s="1" t="s">
        <v>52</v>
      </c>
      <c r="C950" s="1" t="s">
        <v>53</v>
      </c>
      <c r="D950" s="1" t="s">
        <v>7</v>
      </c>
      <c r="E950" s="1">
        <v>201675.09</v>
      </c>
      <c r="F950" s="1">
        <v>1019923</v>
      </c>
      <c r="G950">
        <v>0.19773560357007341</v>
      </c>
    </row>
    <row r="951" spans="1:7" x14ac:dyDescent="0.35">
      <c r="A951">
        <v>2013</v>
      </c>
      <c r="B951" s="1" t="s">
        <v>52</v>
      </c>
      <c r="C951" s="1" t="s">
        <v>53</v>
      </c>
      <c r="D951" s="1" t="s">
        <v>8</v>
      </c>
      <c r="E951" s="1">
        <v>107321.17</v>
      </c>
      <c r="F951" s="1">
        <v>1019923</v>
      </c>
      <c r="G951">
        <v>0.10522477677236419</v>
      </c>
    </row>
    <row r="952" spans="1:7" x14ac:dyDescent="0.35">
      <c r="A952">
        <v>2013</v>
      </c>
      <c r="B952" s="1" t="s">
        <v>52</v>
      </c>
      <c r="C952" s="1" t="s">
        <v>53</v>
      </c>
      <c r="D952" s="1" t="s">
        <v>9</v>
      </c>
      <c r="E952" s="1">
        <v>164826.78</v>
      </c>
      <c r="F952" s="1">
        <v>1019923</v>
      </c>
      <c r="G952">
        <v>0.16160708210325681</v>
      </c>
    </row>
    <row r="953" spans="1:7" x14ac:dyDescent="0.35">
      <c r="A953">
        <v>2019</v>
      </c>
      <c r="B953" s="1" t="s">
        <v>12</v>
      </c>
      <c r="C953" s="1" t="s">
        <v>13</v>
      </c>
      <c r="D953" s="1" t="s">
        <v>7</v>
      </c>
      <c r="E953" s="1">
        <v>76434.02</v>
      </c>
      <c r="F953" s="1">
        <v>328278</v>
      </c>
      <c r="G953">
        <v>0.23283320843918875</v>
      </c>
    </row>
    <row r="954" spans="1:7" x14ac:dyDescent="0.35">
      <c r="A954">
        <v>2019</v>
      </c>
      <c r="B954" s="1" t="s">
        <v>12</v>
      </c>
      <c r="C954" s="1" t="s">
        <v>13</v>
      </c>
      <c r="D954" s="1" t="s">
        <v>8</v>
      </c>
      <c r="E954" s="1">
        <v>29180.77</v>
      </c>
      <c r="F954" s="1">
        <v>328278</v>
      </c>
      <c r="G954">
        <v>8.8890422142208741E-2</v>
      </c>
    </row>
    <row r="955" spans="1:7" x14ac:dyDescent="0.35">
      <c r="A955">
        <v>2019</v>
      </c>
      <c r="B955" s="1" t="s">
        <v>12</v>
      </c>
      <c r="C955" s="1" t="s">
        <v>13</v>
      </c>
      <c r="D955" s="1" t="s">
        <v>9</v>
      </c>
      <c r="E955" s="1">
        <v>74834.59</v>
      </c>
      <c r="F955" s="1">
        <v>328278</v>
      </c>
      <c r="G955">
        <v>0.22796102693448844</v>
      </c>
    </row>
    <row r="956" spans="1:7" x14ac:dyDescent="0.35">
      <c r="A956">
        <v>2019</v>
      </c>
      <c r="B956" s="1" t="s">
        <v>84</v>
      </c>
      <c r="C956" s="1" t="s">
        <v>85</v>
      </c>
      <c r="D956" s="1" t="s">
        <v>7</v>
      </c>
      <c r="E956" s="1">
        <v>61424.72</v>
      </c>
      <c r="F956" s="1">
        <v>270582</v>
      </c>
      <c r="G956">
        <v>0.22700963109149908</v>
      </c>
    </row>
    <row r="957" spans="1:7" x14ac:dyDescent="0.35">
      <c r="A957">
        <v>2019</v>
      </c>
      <c r="B957" s="1" t="s">
        <v>84</v>
      </c>
      <c r="C957" s="1" t="s">
        <v>85</v>
      </c>
      <c r="D957" s="1" t="s">
        <v>8</v>
      </c>
      <c r="E957" s="1">
        <v>28506.67</v>
      </c>
      <c r="F957" s="1">
        <v>270582</v>
      </c>
      <c r="G957">
        <v>0.10535316465988129</v>
      </c>
    </row>
    <row r="958" spans="1:7" x14ac:dyDescent="0.35">
      <c r="A958">
        <v>2019</v>
      </c>
      <c r="B958" s="1" t="s">
        <v>84</v>
      </c>
      <c r="C958" s="1" t="s">
        <v>85</v>
      </c>
      <c r="D958" s="1" t="s">
        <v>9</v>
      </c>
      <c r="E958" s="1">
        <v>50246.44</v>
      </c>
      <c r="F958" s="1">
        <v>270582</v>
      </c>
      <c r="G958">
        <v>0.18569764433702168</v>
      </c>
    </row>
    <row r="959" spans="1:7" x14ac:dyDescent="0.35">
      <c r="A959">
        <v>2019</v>
      </c>
      <c r="B959" s="1" t="s">
        <v>164</v>
      </c>
      <c r="C959" s="1" t="s">
        <v>165</v>
      </c>
      <c r="D959" s="1" t="s">
        <v>7</v>
      </c>
      <c r="E959" s="1">
        <v>38521.440000000002</v>
      </c>
      <c r="F959" s="1">
        <v>153287</v>
      </c>
      <c r="G959">
        <v>0.25130271973487645</v>
      </c>
    </row>
    <row r="960" spans="1:7" x14ac:dyDescent="0.35">
      <c r="A960">
        <v>2019</v>
      </c>
      <c r="B960" s="1" t="s">
        <v>164</v>
      </c>
      <c r="C960" s="1" t="s">
        <v>165</v>
      </c>
      <c r="D960" s="1" t="s">
        <v>8</v>
      </c>
      <c r="E960" s="1">
        <v>22348.48</v>
      </c>
      <c r="F960" s="1">
        <v>153287</v>
      </c>
      <c r="G960">
        <v>0.14579501197100864</v>
      </c>
    </row>
    <row r="961" spans="1:7" x14ac:dyDescent="0.35">
      <c r="A961">
        <v>2019</v>
      </c>
      <c r="B961" s="1" t="s">
        <v>164</v>
      </c>
      <c r="C961" s="1" t="s">
        <v>165</v>
      </c>
      <c r="D961" s="1" t="s">
        <v>9</v>
      </c>
      <c r="E961" s="1">
        <v>46387.72</v>
      </c>
      <c r="F961" s="1">
        <v>153287</v>
      </c>
      <c r="G961">
        <v>0.30262005258110602</v>
      </c>
    </row>
    <row r="962" spans="1:7" x14ac:dyDescent="0.35">
      <c r="A962">
        <v>2013</v>
      </c>
      <c r="B962" s="1" t="s">
        <v>54</v>
      </c>
      <c r="C962" s="1" t="s">
        <v>55</v>
      </c>
      <c r="D962" s="1" t="s">
        <v>7</v>
      </c>
      <c r="E962" s="1">
        <v>156787.28</v>
      </c>
      <c r="F962" s="1">
        <v>737778</v>
      </c>
      <c r="G962">
        <v>0.2125128155081881</v>
      </c>
    </row>
    <row r="963" spans="1:7" x14ac:dyDescent="0.35">
      <c r="A963">
        <v>2013</v>
      </c>
      <c r="B963" s="1" t="s">
        <v>54</v>
      </c>
      <c r="C963" s="1" t="s">
        <v>55</v>
      </c>
      <c r="D963" s="1" t="s">
        <v>8</v>
      </c>
      <c r="E963" s="1">
        <v>87282.27</v>
      </c>
      <c r="F963" s="1">
        <v>737778</v>
      </c>
      <c r="G963">
        <v>0.118304245992697</v>
      </c>
    </row>
    <row r="964" spans="1:7" x14ac:dyDescent="0.35">
      <c r="A964">
        <v>2013</v>
      </c>
      <c r="B964" s="1" t="s">
        <v>54</v>
      </c>
      <c r="C964" s="1" t="s">
        <v>55</v>
      </c>
      <c r="D964" s="1" t="s">
        <v>9</v>
      </c>
      <c r="E964" s="1">
        <v>174145.15</v>
      </c>
      <c r="F964" s="1">
        <v>737778</v>
      </c>
      <c r="G964">
        <v>0.23604004185540908</v>
      </c>
    </row>
    <row r="965" spans="1:7" x14ac:dyDescent="0.35">
      <c r="A965">
        <v>2019</v>
      </c>
      <c r="B965" s="1" t="s">
        <v>86</v>
      </c>
      <c r="C965" s="1" t="s">
        <v>87</v>
      </c>
      <c r="D965" s="1" t="s">
        <v>7</v>
      </c>
      <c r="E965" s="1">
        <v>76098.64</v>
      </c>
      <c r="F965" s="1">
        <v>310242</v>
      </c>
      <c r="G965">
        <v>0.24528800097988021</v>
      </c>
    </row>
    <row r="966" spans="1:7" x14ac:dyDescent="0.35">
      <c r="A966">
        <v>2019</v>
      </c>
      <c r="B966" s="1" t="s">
        <v>86</v>
      </c>
      <c r="C966" s="1" t="s">
        <v>87</v>
      </c>
      <c r="D966" s="1" t="s">
        <v>8</v>
      </c>
      <c r="E966" s="1">
        <v>36507.46</v>
      </c>
      <c r="F966" s="1">
        <v>310242</v>
      </c>
      <c r="G966">
        <v>0.11767413825336349</v>
      </c>
    </row>
    <row r="967" spans="1:7" x14ac:dyDescent="0.35">
      <c r="A967">
        <v>2019</v>
      </c>
      <c r="B967" s="1" t="s">
        <v>86</v>
      </c>
      <c r="C967" s="1" t="s">
        <v>87</v>
      </c>
      <c r="D967" s="1" t="s">
        <v>9</v>
      </c>
      <c r="E967" s="1">
        <v>44154.51</v>
      </c>
      <c r="F967" s="1">
        <v>310242</v>
      </c>
      <c r="G967">
        <v>0.14232279962094108</v>
      </c>
    </row>
    <row r="968" spans="1:7" x14ac:dyDescent="0.35">
      <c r="A968">
        <v>2019</v>
      </c>
      <c r="B968" s="1" t="s">
        <v>166</v>
      </c>
      <c r="C968" s="1" t="s">
        <v>167</v>
      </c>
      <c r="D968" s="1" t="s">
        <v>7</v>
      </c>
      <c r="E968" s="1">
        <v>118684.94</v>
      </c>
      <c r="F968" s="1">
        <v>374070</v>
      </c>
      <c r="G968">
        <v>0.31728002780228298</v>
      </c>
    </row>
    <row r="969" spans="1:7" x14ac:dyDescent="0.35">
      <c r="A969">
        <v>2019</v>
      </c>
      <c r="B969" s="1" t="s">
        <v>166</v>
      </c>
      <c r="C969" s="1" t="s">
        <v>167</v>
      </c>
      <c r="D969" s="1" t="s">
        <v>8</v>
      </c>
      <c r="E969" s="1">
        <v>31793.52</v>
      </c>
      <c r="F969" s="1">
        <v>374070</v>
      </c>
      <c r="G969">
        <v>8.4993503889646327E-2</v>
      </c>
    </row>
    <row r="970" spans="1:7" x14ac:dyDescent="0.35">
      <c r="A970">
        <v>2019</v>
      </c>
      <c r="B970" s="1" t="s">
        <v>166</v>
      </c>
      <c r="C970" s="1" t="s">
        <v>167</v>
      </c>
      <c r="D970" s="1" t="s">
        <v>9</v>
      </c>
      <c r="E970" s="1">
        <v>78872.789999999994</v>
      </c>
      <c r="F970" s="1">
        <v>374070</v>
      </c>
      <c r="G970">
        <v>0.21085034886518564</v>
      </c>
    </row>
    <row r="971" spans="1:7" x14ac:dyDescent="0.35">
      <c r="A971">
        <v>2019</v>
      </c>
      <c r="B971" s="1" t="s">
        <v>168</v>
      </c>
      <c r="C971" s="1" t="s">
        <v>169</v>
      </c>
      <c r="D971" s="1" t="s">
        <v>7</v>
      </c>
      <c r="E971" s="1">
        <v>61950.95</v>
      </c>
      <c r="F971" s="1">
        <v>279595</v>
      </c>
      <c r="G971">
        <v>0.22157388365314115</v>
      </c>
    </row>
    <row r="972" spans="1:7" x14ac:dyDescent="0.35">
      <c r="A972">
        <v>2019</v>
      </c>
      <c r="B972" s="1" t="s">
        <v>168</v>
      </c>
      <c r="C972" s="1" t="s">
        <v>169</v>
      </c>
      <c r="D972" s="1" t="s">
        <v>8</v>
      </c>
      <c r="E972" s="1">
        <v>26851.09</v>
      </c>
      <c r="F972" s="1">
        <v>279595</v>
      </c>
      <c r="G972">
        <v>9.6035658720649508E-2</v>
      </c>
    </row>
    <row r="973" spans="1:7" x14ac:dyDescent="0.35">
      <c r="A973">
        <v>2019</v>
      </c>
      <c r="B973" s="1" t="s">
        <v>168</v>
      </c>
      <c r="C973" s="1" t="s">
        <v>169</v>
      </c>
      <c r="D973" s="1" t="s">
        <v>9</v>
      </c>
      <c r="E973" s="1">
        <v>53140.21</v>
      </c>
      <c r="F973" s="1">
        <v>279595</v>
      </c>
      <c r="G973">
        <v>0.19006137448809884</v>
      </c>
    </row>
    <row r="974" spans="1:7" x14ac:dyDescent="0.35">
      <c r="A974">
        <v>2013</v>
      </c>
      <c r="B974" s="1" t="s">
        <v>56</v>
      </c>
      <c r="C974" s="1" t="s">
        <v>57</v>
      </c>
      <c r="D974" s="1" t="s">
        <v>7</v>
      </c>
      <c r="E974" s="1">
        <v>65386.99</v>
      </c>
      <c r="F974" s="1">
        <v>311650</v>
      </c>
      <c r="G974">
        <v>0.20980904861222524</v>
      </c>
    </row>
    <row r="975" spans="1:7" x14ac:dyDescent="0.35">
      <c r="A975">
        <v>2013</v>
      </c>
      <c r="B975" s="1" t="s">
        <v>56</v>
      </c>
      <c r="C975" s="1" t="s">
        <v>57</v>
      </c>
      <c r="D975" s="1" t="s">
        <v>8</v>
      </c>
      <c r="E975" s="1">
        <v>28659.66</v>
      </c>
      <c r="F975" s="1">
        <v>311650</v>
      </c>
      <c r="G975">
        <v>9.1961046045243064E-2</v>
      </c>
    </row>
    <row r="976" spans="1:7" x14ac:dyDescent="0.35">
      <c r="A976">
        <v>2013</v>
      </c>
      <c r="B976" s="1" t="s">
        <v>56</v>
      </c>
      <c r="C976" s="1" t="s">
        <v>57</v>
      </c>
      <c r="D976" s="1" t="s">
        <v>9</v>
      </c>
      <c r="E976" s="1">
        <v>57324.1</v>
      </c>
      <c r="F976" s="1">
        <v>311650</v>
      </c>
      <c r="G976">
        <v>0.1839374298090807</v>
      </c>
    </row>
    <row r="977" spans="1:7" x14ac:dyDescent="0.35">
      <c r="A977">
        <v>2019</v>
      </c>
      <c r="B977" s="1" t="s">
        <v>206</v>
      </c>
      <c r="C977" s="1" t="s">
        <v>207</v>
      </c>
      <c r="D977" s="1" t="s">
        <v>7</v>
      </c>
      <c r="E977" s="1">
        <v>748149.22</v>
      </c>
      <c r="F977" s="1">
        <v>2043110</v>
      </c>
      <c r="G977">
        <v>0.36618156633759319</v>
      </c>
    </row>
    <row r="978" spans="1:7" x14ac:dyDescent="0.35">
      <c r="A978">
        <v>2019</v>
      </c>
      <c r="B978" s="1" t="s">
        <v>206</v>
      </c>
      <c r="C978" s="1" t="s">
        <v>207</v>
      </c>
      <c r="D978" s="1" t="s">
        <v>8</v>
      </c>
      <c r="E978" s="1">
        <v>122649.38</v>
      </c>
      <c r="F978" s="1">
        <v>2043110</v>
      </c>
      <c r="G978">
        <v>6.0030727665177107E-2</v>
      </c>
    </row>
    <row r="979" spans="1:7" x14ac:dyDescent="0.35">
      <c r="A979">
        <v>2019</v>
      </c>
      <c r="B979" s="1" t="s">
        <v>206</v>
      </c>
      <c r="C979" s="1" t="s">
        <v>207</v>
      </c>
      <c r="D979" s="1" t="s">
        <v>9</v>
      </c>
      <c r="E979" s="1">
        <v>260932.12</v>
      </c>
      <c r="F979" s="1">
        <v>2043110</v>
      </c>
      <c r="G979">
        <v>0.12771320193234822</v>
      </c>
    </row>
    <row r="980" spans="1:7" x14ac:dyDescent="0.35">
      <c r="A980">
        <v>2019</v>
      </c>
      <c r="B980" s="1" t="s">
        <v>130</v>
      </c>
      <c r="C980" s="1" t="s">
        <v>131</v>
      </c>
      <c r="D980" s="1" t="s">
        <v>7</v>
      </c>
      <c r="E980" s="1">
        <v>184618.06</v>
      </c>
      <c r="F980" s="1">
        <v>694905</v>
      </c>
      <c r="G980">
        <v>0.26567381152819453</v>
      </c>
    </row>
    <row r="981" spans="1:7" x14ac:dyDescent="0.35">
      <c r="A981">
        <v>2019</v>
      </c>
      <c r="B981" s="1" t="s">
        <v>130</v>
      </c>
      <c r="C981" s="1" t="s">
        <v>131</v>
      </c>
      <c r="D981" s="1" t="s">
        <v>8</v>
      </c>
      <c r="E981" s="1">
        <v>104704.72</v>
      </c>
      <c r="F981" s="1">
        <v>694905</v>
      </c>
      <c r="G981">
        <v>0.15067486922672885</v>
      </c>
    </row>
    <row r="982" spans="1:7" x14ac:dyDescent="0.35">
      <c r="A982">
        <v>2019</v>
      </c>
      <c r="B982" s="1" t="s">
        <v>130</v>
      </c>
      <c r="C982" s="1" t="s">
        <v>131</v>
      </c>
      <c r="D982" s="1" t="s">
        <v>9</v>
      </c>
      <c r="E982" s="1">
        <v>165273.42000000001</v>
      </c>
      <c r="F982" s="1">
        <v>694905</v>
      </c>
      <c r="G982">
        <v>0.23783599197012542</v>
      </c>
    </row>
    <row r="983" spans="1:7" x14ac:dyDescent="0.35">
      <c r="A983">
        <v>2019</v>
      </c>
      <c r="B983" s="1" t="s">
        <v>14</v>
      </c>
      <c r="C983" s="1" t="s">
        <v>15</v>
      </c>
      <c r="D983" s="1" t="s">
        <v>7</v>
      </c>
      <c r="E983" s="1">
        <v>34068.15</v>
      </c>
      <c r="F983" s="1">
        <v>144692</v>
      </c>
      <c r="G983">
        <v>0.2354528930417715</v>
      </c>
    </row>
    <row r="984" spans="1:7" x14ac:dyDescent="0.35">
      <c r="A984">
        <v>2019</v>
      </c>
      <c r="B984" s="1" t="s">
        <v>14</v>
      </c>
      <c r="C984" s="1" t="s">
        <v>15</v>
      </c>
      <c r="D984" s="1" t="s">
        <v>8</v>
      </c>
      <c r="E984" s="1">
        <v>13093.43</v>
      </c>
      <c r="F984" s="1">
        <v>144692</v>
      </c>
      <c r="G984">
        <v>9.0491734166367188E-2</v>
      </c>
    </row>
    <row r="985" spans="1:7" x14ac:dyDescent="0.35">
      <c r="A985">
        <v>2019</v>
      </c>
      <c r="B985" s="1" t="s">
        <v>14</v>
      </c>
      <c r="C985" s="1" t="s">
        <v>15</v>
      </c>
      <c r="D985" s="1" t="s">
        <v>9</v>
      </c>
      <c r="E985" s="1">
        <v>23581.19</v>
      </c>
      <c r="F985" s="1">
        <v>144692</v>
      </c>
      <c r="G985">
        <v>0.1629750780969231</v>
      </c>
    </row>
    <row r="986" spans="1:7" x14ac:dyDescent="0.35">
      <c r="A986">
        <v>2013</v>
      </c>
      <c r="B986" s="1" t="s">
        <v>58</v>
      </c>
      <c r="C986" s="1" t="s">
        <v>59</v>
      </c>
      <c r="D986" s="1" t="s">
        <v>7</v>
      </c>
      <c r="E986" s="1">
        <v>108357.68</v>
      </c>
      <c r="F986" s="1">
        <v>432967</v>
      </c>
      <c r="G986">
        <v>0.25026775712698657</v>
      </c>
    </row>
    <row r="987" spans="1:7" x14ac:dyDescent="0.35">
      <c r="A987">
        <v>2013</v>
      </c>
      <c r="B987" s="1" t="s">
        <v>58</v>
      </c>
      <c r="C987" s="1" t="s">
        <v>59</v>
      </c>
      <c r="D987" s="1" t="s">
        <v>8</v>
      </c>
      <c r="E987" s="1">
        <v>43162.33</v>
      </c>
      <c r="F987" s="1">
        <v>432967</v>
      </c>
      <c r="G987">
        <v>9.9689653022054805E-2</v>
      </c>
    </row>
    <row r="988" spans="1:7" x14ac:dyDescent="0.35">
      <c r="A988">
        <v>2013</v>
      </c>
      <c r="B988" s="1" t="s">
        <v>58</v>
      </c>
      <c r="C988" s="1" t="s">
        <v>59</v>
      </c>
      <c r="D988" s="1" t="s">
        <v>9</v>
      </c>
      <c r="E988" s="1">
        <v>75805.5</v>
      </c>
      <c r="F988" s="1">
        <v>432967</v>
      </c>
      <c r="G988">
        <v>0.17508378236678546</v>
      </c>
    </row>
    <row r="989" spans="1:7" x14ac:dyDescent="0.35">
      <c r="A989">
        <v>2019</v>
      </c>
      <c r="B989" s="1" t="s">
        <v>140</v>
      </c>
      <c r="C989" s="1" t="s">
        <v>141</v>
      </c>
      <c r="D989" s="1" t="s">
        <v>7</v>
      </c>
      <c r="E989" s="1">
        <v>64543.7</v>
      </c>
      <c r="F989" s="1">
        <v>352015</v>
      </c>
      <c r="G989">
        <v>0.18335497066886353</v>
      </c>
    </row>
    <row r="990" spans="1:7" x14ac:dyDescent="0.35">
      <c r="A990">
        <v>2019</v>
      </c>
      <c r="B990" s="1" t="s">
        <v>140</v>
      </c>
      <c r="C990" s="1" t="s">
        <v>141</v>
      </c>
      <c r="D990" s="1" t="s">
        <v>8</v>
      </c>
      <c r="E990" s="1">
        <v>38873.17</v>
      </c>
      <c r="F990" s="1">
        <v>352015</v>
      </c>
      <c r="G990">
        <v>0.1104304362030027</v>
      </c>
    </row>
    <row r="991" spans="1:7" x14ac:dyDescent="0.35">
      <c r="A991">
        <v>2019</v>
      </c>
      <c r="B991" s="1" t="s">
        <v>140</v>
      </c>
      <c r="C991" s="1" t="s">
        <v>141</v>
      </c>
      <c r="D991" s="1" t="s">
        <v>9</v>
      </c>
      <c r="E991" s="1">
        <v>78143.16</v>
      </c>
      <c r="F991" s="1">
        <v>352015</v>
      </c>
      <c r="G991">
        <v>0.22198815391389573</v>
      </c>
    </row>
    <row r="992" spans="1:7" x14ac:dyDescent="0.35">
      <c r="A992">
        <v>2019</v>
      </c>
      <c r="B992" s="1" t="s">
        <v>142</v>
      </c>
      <c r="C992" s="1" t="s">
        <v>143</v>
      </c>
      <c r="D992" s="1" t="s">
        <v>7</v>
      </c>
      <c r="E992" s="1">
        <v>165080.01999999999</v>
      </c>
      <c r="F992" s="1">
        <v>651358</v>
      </c>
      <c r="G992">
        <v>0.25343976737830809</v>
      </c>
    </row>
    <row r="993" spans="1:7" x14ac:dyDescent="0.35">
      <c r="A993">
        <v>2019</v>
      </c>
      <c r="B993" s="1" t="s">
        <v>142</v>
      </c>
      <c r="C993" s="1" t="s">
        <v>143</v>
      </c>
      <c r="D993" s="1" t="s">
        <v>8</v>
      </c>
      <c r="E993" s="1">
        <v>96426.42</v>
      </c>
      <c r="F993" s="1">
        <v>651358</v>
      </c>
      <c r="G993">
        <v>0.14803905072172291</v>
      </c>
    </row>
    <row r="994" spans="1:7" x14ac:dyDescent="0.35">
      <c r="A994">
        <v>2019</v>
      </c>
      <c r="B994" s="1" t="s">
        <v>142</v>
      </c>
      <c r="C994" s="1" t="s">
        <v>143</v>
      </c>
      <c r="D994" s="1" t="s">
        <v>9</v>
      </c>
      <c r="E994" s="1">
        <v>171024.62</v>
      </c>
      <c r="F994" s="1">
        <v>651358</v>
      </c>
      <c r="G994">
        <v>0.26256623853549044</v>
      </c>
    </row>
    <row r="995" spans="1:7" x14ac:dyDescent="0.35">
      <c r="A995">
        <v>2019</v>
      </c>
      <c r="B995" s="1" t="s">
        <v>56</v>
      </c>
      <c r="C995" s="1" t="s">
        <v>57</v>
      </c>
      <c r="D995" s="1" t="s">
        <v>7</v>
      </c>
      <c r="E995" s="1">
        <v>59435.51</v>
      </c>
      <c r="F995" s="1">
        <v>302306</v>
      </c>
      <c r="G995">
        <v>0.19660711332226288</v>
      </c>
    </row>
    <row r="996" spans="1:7" x14ac:dyDescent="0.35">
      <c r="A996">
        <v>2019</v>
      </c>
      <c r="B996" s="1" t="s">
        <v>56</v>
      </c>
      <c r="C996" s="1" t="s">
        <v>57</v>
      </c>
      <c r="D996" s="1" t="s">
        <v>8</v>
      </c>
      <c r="E996" s="1">
        <v>29283.07</v>
      </c>
      <c r="F996" s="1">
        <v>302306</v>
      </c>
      <c r="G996">
        <v>9.6865659298856127E-2</v>
      </c>
    </row>
    <row r="997" spans="1:7" x14ac:dyDescent="0.35">
      <c r="A997">
        <v>2019</v>
      </c>
      <c r="B997" s="1" t="s">
        <v>56</v>
      </c>
      <c r="C997" s="1" t="s">
        <v>57</v>
      </c>
      <c r="D997" s="1" t="s">
        <v>9</v>
      </c>
      <c r="E997" s="1">
        <v>64561.25</v>
      </c>
      <c r="F997" s="1">
        <v>302306</v>
      </c>
      <c r="G997">
        <v>0.21356258228417563</v>
      </c>
    </row>
    <row r="998" spans="1:7" x14ac:dyDescent="0.35">
      <c r="A998">
        <v>2013</v>
      </c>
      <c r="B998" s="1" t="s">
        <v>60</v>
      </c>
      <c r="C998" s="1" t="s">
        <v>61</v>
      </c>
      <c r="D998" s="1" t="s">
        <v>7</v>
      </c>
      <c r="E998" s="1">
        <v>57562</v>
      </c>
      <c r="F998" s="1">
        <v>228091</v>
      </c>
      <c r="G998">
        <v>0.2523641879776054</v>
      </c>
    </row>
    <row r="999" spans="1:7" x14ac:dyDescent="0.35">
      <c r="A999">
        <v>2013</v>
      </c>
      <c r="B999" s="1" t="s">
        <v>60</v>
      </c>
      <c r="C999" s="1" t="s">
        <v>61</v>
      </c>
      <c r="D999" s="1" t="s">
        <v>8</v>
      </c>
      <c r="E999" s="1">
        <v>16956.34</v>
      </c>
      <c r="F999" s="1">
        <v>228091</v>
      </c>
      <c r="G999">
        <v>7.4340241394881865E-2</v>
      </c>
    </row>
    <row r="1000" spans="1:7" x14ac:dyDescent="0.35">
      <c r="A1000">
        <v>2013</v>
      </c>
      <c r="B1000" s="1" t="s">
        <v>60</v>
      </c>
      <c r="C1000" s="1" t="s">
        <v>61</v>
      </c>
      <c r="D1000" s="1" t="s">
        <v>9</v>
      </c>
      <c r="E1000" s="1">
        <v>42588.93</v>
      </c>
      <c r="F1000" s="1">
        <v>228091</v>
      </c>
      <c r="G1000">
        <v>0.18671902880867725</v>
      </c>
    </row>
    <row r="1001" spans="1:7" x14ac:dyDescent="0.35">
      <c r="A1001">
        <v>2019</v>
      </c>
      <c r="B1001" s="1" t="s">
        <v>144</v>
      </c>
      <c r="C1001" s="1" t="s">
        <v>145</v>
      </c>
      <c r="D1001" s="1" t="s">
        <v>7</v>
      </c>
      <c r="E1001" s="1">
        <v>53698.07</v>
      </c>
      <c r="F1001" s="1">
        <v>240073</v>
      </c>
      <c r="G1001">
        <v>0.22367392418139481</v>
      </c>
    </row>
    <row r="1002" spans="1:7" x14ac:dyDescent="0.35">
      <c r="A1002">
        <v>2019</v>
      </c>
      <c r="B1002" s="1" t="s">
        <v>144</v>
      </c>
      <c r="C1002" s="1" t="s">
        <v>145</v>
      </c>
      <c r="D1002" s="1" t="s">
        <v>8</v>
      </c>
      <c r="E1002" s="1">
        <v>22411.22</v>
      </c>
      <c r="F1002" s="1">
        <v>240073</v>
      </c>
      <c r="G1002">
        <v>9.3351688861304696E-2</v>
      </c>
    </row>
    <row r="1003" spans="1:7" x14ac:dyDescent="0.35">
      <c r="A1003">
        <v>2019</v>
      </c>
      <c r="B1003" s="1" t="s">
        <v>144</v>
      </c>
      <c r="C1003" s="1" t="s">
        <v>145</v>
      </c>
      <c r="D1003" s="1" t="s">
        <v>9</v>
      </c>
      <c r="E1003" s="1">
        <v>51045.77</v>
      </c>
      <c r="F1003" s="1">
        <v>240073</v>
      </c>
      <c r="G1003">
        <v>0.21262603458114823</v>
      </c>
    </row>
    <row r="1004" spans="1:7" x14ac:dyDescent="0.35">
      <c r="A1004">
        <v>2019</v>
      </c>
      <c r="B1004" s="1" t="s">
        <v>68</v>
      </c>
      <c r="C1004" s="1" t="s">
        <v>69</v>
      </c>
      <c r="D1004" s="1" t="s">
        <v>7</v>
      </c>
      <c r="E1004" s="1">
        <v>72913</v>
      </c>
      <c r="F1004" s="1">
        <v>158507</v>
      </c>
      <c r="G1004">
        <v>0.45999861204867926</v>
      </c>
    </row>
    <row r="1005" spans="1:7" x14ac:dyDescent="0.35">
      <c r="A1005">
        <v>2019</v>
      </c>
      <c r="B1005" s="1" t="s">
        <v>68</v>
      </c>
      <c r="C1005" s="1" t="s">
        <v>69</v>
      </c>
      <c r="D1005" s="1" t="s">
        <v>8</v>
      </c>
      <c r="E1005" s="1">
        <v>18476.150000000001</v>
      </c>
      <c r="F1005" s="1">
        <v>158507</v>
      </c>
      <c r="G1005">
        <v>0.11656362179588284</v>
      </c>
    </row>
    <row r="1006" spans="1:7" x14ac:dyDescent="0.35">
      <c r="A1006">
        <v>2019</v>
      </c>
      <c r="B1006" s="1" t="s">
        <v>68</v>
      </c>
      <c r="C1006" s="1" t="s">
        <v>69</v>
      </c>
      <c r="D1006" s="1" t="s">
        <v>9</v>
      </c>
      <c r="E1006" s="1">
        <v>30042.53</v>
      </c>
      <c r="F1006" s="1">
        <v>158507</v>
      </c>
      <c r="G1006">
        <v>0.18953440542058078</v>
      </c>
    </row>
    <row r="1007" spans="1:7" x14ac:dyDescent="0.35">
      <c r="A1007">
        <v>2019</v>
      </c>
      <c r="B1007" s="1" t="s">
        <v>70</v>
      </c>
      <c r="C1007" s="1" t="s">
        <v>71</v>
      </c>
      <c r="D1007" s="1" t="s">
        <v>7</v>
      </c>
      <c r="E1007" s="1">
        <v>65457.91</v>
      </c>
      <c r="F1007" s="1">
        <v>181933</v>
      </c>
      <c r="G1007">
        <v>0.3597912967960733</v>
      </c>
    </row>
    <row r="1008" spans="1:7" x14ac:dyDescent="0.35">
      <c r="A1008">
        <v>2019</v>
      </c>
      <c r="B1008" s="1" t="s">
        <v>70</v>
      </c>
      <c r="C1008" s="1" t="s">
        <v>71</v>
      </c>
      <c r="D1008" s="1" t="s">
        <v>8</v>
      </c>
      <c r="E1008" s="1">
        <v>25087.63</v>
      </c>
      <c r="F1008" s="1">
        <v>181933</v>
      </c>
      <c r="G1008">
        <v>0.1378948843805137</v>
      </c>
    </row>
    <row r="1009" spans="1:7" x14ac:dyDescent="0.35">
      <c r="A1009">
        <v>2019</v>
      </c>
      <c r="B1009" s="1" t="s">
        <v>70</v>
      </c>
      <c r="C1009" s="1" t="s">
        <v>71</v>
      </c>
      <c r="D1009" s="1" t="s">
        <v>9</v>
      </c>
      <c r="E1009" s="1">
        <v>31969.32</v>
      </c>
      <c r="F1009" s="1">
        <v>181933</v>
      </c>
      <c r="G1009">
        <v>0.17572029263520086</v>
      </c>
    </row>
    <row r="1010" spans="1:7" x14ac:dyDescent="0.35">
      <c r="A1010">
        <v>2013</v>
      </c>
      <c r="B1010" s="1" t="s">
        <v>62</v>
      </c>
      <c r="C1010" s="1" t="s">
        <v>63</v>
      </c>
      <c r="D1010" s="1" t="s">
        <v>7</v>
      </c>
      <c r="E1010" s="1">
        <v>127148.85</v>
      </c>
      <c r="F1010" s="1">
        <v>600252</v>
      </c>
      <c r="G1010">
        <v>0.21182578317106815</v>
      </c>
    </row>
    <row r="1011" spans="1:7" x14ac:dyDescent="0.35">
      <c r="A1011">
        <v>2013</v>
      </c>
      <c r="B1011" s="1" t="s">
        <v>62</v>
      </c>
      <c r="C1011" s="1" t="s">
        <v>63</v>
      </c>
      <c r="D1011" s="1" t="s">
        <v>8</v>
      </c>
      <c r="E1011" s="1">
        <v>72754.02</v>
      </c>
      <c r="F1011" s="1">
        <v>600252</v>
      </c>
      <c r="G1011">
        <v>0.121205793566702</v>
      </c>
    </row>
    <row r="1012" spans="1:7" x14ac:dyDescent="0.35">
      <c r="A1012">
        <v>2013</v>
      </c>
      <c r="B1012" s="1" t="s">
        <v>62</v>
      </c>
      <c r="C1012" s="1" t="s">
        <v>63</v>
      </c>
      <c r="D1012" s="1" t="s">
        <v>9</v>
      </c>
      <c r="E1012" s="1">
        <v>84124.49</v>
      </c>
      <c r="F1012" s="1">
        <v>600252</v>
      </c>
      <c r="G1012">
        <v>0.14014862091255006</v>
      </c>
    </row>
    <row r="1013" spans="1:7" x14ac:dyDescent="0.35">
      <c r="A1013">
        <v>2019</v>
      </c>
      <c r="B1013" s="1" t="s">
        <v>32</v>
      </c>
      <c r="C1013" s="1" t="s">
        <v>33</v>
      </c>
      <c r="D1013" s="1" t="s">
        <v>7</v>
      </c>
      <c r="E1013" s="1">
        <v>111795.53</v>
      </c>
      <c r="F1013" s="1">
        <v>534124</v>
      </c>
      <c r="G1013">
        <v>0.20930632212744607</v>
      </c>
    </row>
    <row r="1014" spans="1:7" x14ac:dyDescent="0.35">
      <c r="A1014">
        <v>2019</v>
      </c>
      <c r="B1014" s="1" t="s">
        <v>32</v>
      </c>
      <c r="C1014" s="1" t="s">
        <v>33</v>
      </c>
      <c r="D1014" s="1" t="s">
        <v>8</v>
      </c>
      <c r="E1014" s="1">
        <v>56369.98</v>
      </c>
      <c r="F1014" s="1">
        <v>534124</v>
      </c>
      <c r="G1014">
        <v>0.10553725352165415</v>
      </c>
    </row>
    <row r="1015" spans="1:7" x14ac:dyDescent="0.35">
      <c r="A1015">
        <v>2019</v>
      </c>
      <c r="B1015" s="1" t="s">
        <v>32</v>
      </c>
      <c r="C1015" s="1" t="s">
        <v>33</v>
      </c>
      <c r="D1015" s="1" t="s">
        <v>9</v>
      </c>
      <c r="E1015" s="1">
        <v>87646.42</v>
      </c>
      <c r="F1015" s="1">
        <v>534124</v>
      </c>
      <c r="G1015">
        <v>0.16409376848821622</v>
      </c>
    </row>
    <row r="1016" spans="1:7" x14ac:dyDescent="0.35">
      <c r="A1016">
        <v>2019</v>
      </c>
      <c r="B1016" s="1" t="s">
        <v>48</v>
      </c>
      <c r="C1016" s="1" t="s">
        <v>49</v>
      </c>
      <c r="D1016" s="1" t="s">
        <v>7</v>
      </c>
      <c r="E1016" s="1">
        <v>121719.63</v>
      </c>
      <c r="F1016" s="1">
        <v>600582</v>
      </c>
      <c r="G1016">
        <v>0.20266946062319552</v>
      </c>
    </row>
    <row r="1017" spans="1:7" x14ac:dyDescent="0.35">
      <c r="A1017">
        <v>2019</v>
      </c>
      <c r="B1017" s="1" t="s">
        <v>48</v>
      </c>
      <c r="C1017" s="1" t="s">
        <v>49</v>
      </c>
      <c r="D1017" s="1" t="s">
        <v>8</v>
      </c>
      <c r="E1017" s="1">
        <v>86724.87</v>
      </c>
      <c r="F1017" s="1">
        <v>600582</v>
      </c>
      <c r="G1017">
        <v>0.14440138066075905</v>
      </c>
    </row>
    <row r="1018" spans="1:7" x14ac:dyDescent="0.35">
      <c r="A1018">
        <v>2019</v>
      </c>
      <c r="B1018" s="1" t="s">
        <v>48</v>
      </c>
      <c r="C1018" s="1" t="s">
        <v>49</v>
      </c>
      <c r="D1018" s="1" t="s">
        <v>9</v>
      </c>
      <c r="E1018" s="1">
        <v>223121.81</v>
      </c>
      <c r="F1018" s="1">
        <v>600582</v>
      </c>
      <c r="G1018">
        <v>0.37150931929361852</v>
      </c>
    </row>
    <row r="1019" spans="1:7" x14ac:dyDescent="0.35">
      <c r="A1019">
        <v>2019</v>
      </c>
      <c r="B1019" s="1" t="s">
        <v>146</v>
      </c>
      <c r="C1019" s="1" t="s">
        <v>147</v>
      </c>
      <c r="D1019" s="1" t="s">
        <v>7</v>
      </c>
      <c r="E1019" s="1">
        <v>23173.7</v>
      </c>
      <c r="F1019" s="1">
        <v>116617</v>
      </c>
      <c r="G1019">
        <v>0.19871631065796583</v>
      </c>
    </row>
    <row r="1020" spans="1:7" x14ac:dyDescent="0.35">
      <c r="A1020">
        <v>2019</v>
      </c>
      <c r="B1020" s="1" t="s">
        <v>146</v>
      </c>
      <c r="C1020" s="1" t="s">
        <v>147</v>
      </c>
      <c r="D1020" s="1" t="s">
        <v>8</v>
      </c>
      <c r="E1020" s="1">
        <v>12057.72</v>
      </c>
      <c r="F1020" s="1">
        <v>116617</v>
      </c>
      <c r="G1020">
        <v>0.10339590282720358</v>
      </c>
    </row>
    <row r="1021" spans="1:7" x14ac:dyDescent="0.35">
      <c r="A1021">
        <v>2019</v>
      </c>
      <c r="B1021" s="1" t="s">
        <v>146</v>
      </c>
      <c r="C1021" s="1" t="s">
        <v>147</v>
      </c>
      <c r="D1021" s="1" t="s">
        <v>9</v>
      </c>
      <c r="E1021" s="1">
        <v>22567.64</v>
      </c>
      <c r="F1021" s="1">
        <v>116617</v>
      </c>
      <c r="G1021">
        <v>0.19351929821552602</v>
      </c>
    </row>
    <row r="1022" spans="1:7" x14ac:dyDescent="0.35">
      <c r="A1022">
        <v>2013</v>
      </c>
      <c r="B1022" s="1" t="s">
        <v>64</v>
      </c>
      <c r="C1022" s="1" t="s">
        <v>65</v>
      </c>
      <c r="D1022" s="1" t="s">
        <v>7</v>
      </c>
      <c r="E1022" s="1">
        <v>76600.960000000006</v>
      </c>
      <c r="F1022" s="1">
        <v>332001</v>
      </c>
      <c r="G1022">
        <v>0.23072508817744528</v>
      </c>
    </row>
    <row r="1023" spans="1:7" x14ac:dyDescent="0.35">
      <c r="A1023">
        <v>2013</v>
      </c>
      <c r="B1023" s="1" t="s">
        <v>64</v>
      </c>
      <c r="C1023" s="1" t="s">
        <v>65</v>
      </c>
      <c r="D1023" s="1" t="s">
        <v>8</v>
      </c>
      <c r="E1023" s="1">
        <v>27148.53</v>
      </c>
      <c r="F1023" s="1">
        <v>332001</v>
      </c>
      <c r="G1023">
        <v>8.1772434420378251E-2</v>
      </c>
    </row>
    <row r="1024" spans="1:7" x14ac:dyDescent="0.35">
      <c r="A1024">
        <v>2013</v>
      </c>
      <c r="B1024" s="1" t="s">
        <v>64</v>
      </c>
      <c r="C1024" s="1" t="s">
        <v>65</v>
      </c>
      <c r="D1024" s="1" t="s">
        <v>9</v>
      </c>
      <c r="E1024" s="1">
        <v>69474.39</v>
      </c>
      <c r="F1024" s="1">
        <v>332001</v>
      </c>
      <c r="G1024">
        <v>0.20925958054343211</v>
      </c>
    </row>
    <row r="1025" spans="1:7" x14ac:dyDescent="0.35">
      <c r="A1025">
        <v>2019</v>
      </c>
      <c r="B1025" s="1" t="s">
        <v>148</v>
      </c>
      <c r="C1025" s="1" t="s">
        <v>149</v>
      </c>
      <c r="D1025" s="1" t="s">
        <v>7</v>
      </c>
      <c r="E1025" s="1">
        <v>100648.55</v>
      </c>
      <c r="F1025" s="1">
        <v>413223</v>
      </c>
      <c r="G1025">
        <v>0.2435695738136551</v>
      </c>
    </row>
    <row r="1026" spans="1:7" x14ac:dyDescent="0.35">
      <c r="A1026">
        <v>2019</v>
      </c>
      <c r="B1026" s="1" t="s">
        <v>148</v>
      </c>
      <c r="C1026" s="1" t="s">
        <v>149</v>
      </c>
      <c r="D1026" s="1" t="s">
        <v>8</v>
      </c>
      <c r="E1026" s="1">
        <v>50070.71</v>
      </c>
      <c r="F1026" s="1">
        <v>413223</v>
      </c>
      <c r="G1026">
        <v>0.12117115939819419</v>
      </c>
    </row>
    <row r="1027" spans="1:7" x14ac:dyDescent="0.35">
      <c r="A1027">
        <v>2019</v>
      </c>
      <c r="B1027" s="1" t="s">
        <v>148</v>
      </c>
      <c r="C1027" s="1" t="s">
        <v>149</v>
      </c>
      <c r="D1027" s="1" t="s">
        <v>9</v>
      </c>
      <c r="E1027" s="1">
        <v>92697.57</v>
      </c>
      <c r="F1027" s="1">
        <v>413223</v>
      </c>
      <c r="G1027">
        <v>0.22432819567158654</v>
      </c>
    </row>
    <row r="1028" spans="1:7" x14ac:dyDescent="0.35">
      <c r="A1028">
        <v>2019</v>
      </c>
      <c r="B1028" s="1" t="s">
        <v>34</v>
      </c>
      <c r="C1028" s="1" t="s">
        <v>35</v>
      </c>
      <c r="D1028" s="1" t="s">
        <v>7</v>
      </c>
      <c r="E1028" s="1">
        <v>90052.36</v>
      </c>
      <c r="F1028" s="1">
        <v>543974</v>
      </c>
      <c r="G1028">
        <v>0.16554533856397549</v>
      </c>
    </row>
    <row r="1029" spans="1:7" x14ac:dyDescent="0.35">
      <c r="A1029">
        <v>2019</v>
      </c>
      <c r="B1029" s="1" t="s">
        <v>34</v>
      </c>
      <c r="C1029" s="1" t="s">
        <v>35</v>
      </c>
      <c r="D1029" s="1" t="s">
        <v>8</v>
      </c>
      <c r="E1029" s="1">
        <v>55692</v>
      </c>
      <c r="F1029" s="1">
        <v>543974</v>
      </c>
      <c r="G1029">
        <v>0.10237989315665823</v>
      </c>
    </row>
    <row r="1030" spans="1:7" x14ac:dyDescent="0.35">
      <c r="A1030">
        <v>2019</v>
      </c>
      <c r="B1030" s="1" t="s">
        <v>34</v>
      </c>
      <c r="C1030" s="1" t="s">
        <v>35</v>
      </c>
      <c r="D1030" s="1" t="s">
        <v>9</v>
      </c>
      <c r="E1030" s="1">
        <v>99790.34</v>
      </c>
      <c r="F1030" s="1">
        <v>543974</v>
      </c>
      <c r="G1030">
        <v>0.18344689268237085</v>
      </c>
    </row>
    <row r="1031" spans="1:7" x14ac:dyDescent="0.35">
      <c r="A1031">
        <v>2019</v>
      </c>
      <c r="B1031" s="1" t="s">
        <v>16</v>
      </c>
      <c r="C1031" s="1" t="s">
        <v>17</v>
      </c>
      <c r="D1031" s="1" t="s">
        <v>7</v>
      </c>
      <c r="E1031" s="1">
        <v>124316.25</v>
      </c>
      <c r="F1031" s="1">
        <v>516762</v>
      </c>
      <c r="G1031">
        <v>0.24056770815191519</v>
      </c>
    </row>
    <row r="1032" spans="1:7" x14ac:dyDescent="0.35">
      <c r="A1032">
        <v>2019</v>
      </c>
      <c r="B1032" s="1" t="s">
        <v>16</v>
      </c>
      <c r="C1032" s="1" t="s">
        <v>17</v>
      </c>
      <c r="D1032" s="1" t="s">
        <v>8</v>
      </c>
      <c r="E1032" s="1">
        <v>38701.58</v>
      </c>
      <c r="F1032" s="1">
        <v>516762</v>
      </c>
      <c r="G1032">
        <v>7.489246500323167E-2</v>
      </c>
    </row>
    <row r="1033" spans="1:7" x14ac:dyDescent="0.35">
      <c r="A1033">
        <v>2019</v>
      </c>
      <c r="B1033" s="1" t="s">
        <v>16</v>
      </c>
      <c r="C1033" s="1" t="s">
        <v>17</v>
      </c>
      <c r="D1033" s="1" t="s">
        <v>9</v>
      </c>
      <c r="E1033" s="1">
        <v>116251.45</v>
      </c>
      <c r="F1033" s="1">
        <v>516762</v>
      </c>
      <c r="G1033">
        <v>0.22496129746382279</v>
      </c>
    </row>
    <row r="1034" spans="1:7" x14ac:dyDescent="0.35">
      <c r="A1034">
        <v>2013</v>
      </c>
      <c r="B1034" s="1" t="s">
        <v>66</v>
      </c>
      <c r="C1034" s="1" t="s">
        <v>67</v>
      </c>
      <c r="D1034" s="1" t="s">
        <v>7</v>
      </c>
      <c r="E1034" s="1">
        <v>151004.47</v>
      </c>
      <c r="F1034" s="1">
        <v>665587</v>
      </c>
      <c r="G1034">
        <v>0.22687412764972872</v>
      </c>
    </row>
    <row r="1035" spans="1:7" x14ac:dyDescent="0.35">
      <c r="A1035">
        <v>2013</v>
      </c>
      <c r="B1035" s="1" t="s">
        <v>66</v>
      </c>
      <c r="C1035" s="1" t="s">
        <v>67</v>
      </c>
      <c r="D1035" s="1" t="s">
        <v>8</v>
      </c>
      <c r="E1035" s="1">
        <v>47725.71</v>
      </c>
      <c r="F1035" s="1">
        <v>665587</v>
      </c>
      <c r="G1035">
        <v>7.1704690746664218E-2</v>
      </c>
    </row>
    <row r="1036" spans="1:7" x14ac:dyDescent="0.35">
      <c r="A1036">
        <v>2013</v>
      </c>
      <c r="B1036" s="1" t="s">
        <v>66</v>
      </c>
      <c r="C1036" s="1" t="s">
        <v>67</v>
      </c>
      <c r="D1036" s="1" t="s">
        <v>9</v>
      </c>
      <c r="E1036" s="1">
        <v>134054.20000000001</v>
      </c>
      <c r="F1036" s="1">
        <v>665587</v>
      </c>
      <c r="G1036">
        <v>0.20140747941290923</v>
      </c>
    </row>
    <row r="1037" spans="1:7" x14ac:dyDescent="0.35">
      <c r="A1037">
        <v>2019</v>
      </c>
      <c r="B1037" s="1" t="s">
        <v>132</v>
      </c>
      <c r="C1037" s="1" t="s">
        <v>133</v>
      </c>
      <c r="D1037" s="1" t="s">
        <v>7</v>
      </c>
      <c r="E1037" s="1">
        <v>148980.04999999999</v>
      </c>
      <c r="F1037" s="1">
        <v>599507</v>
      </c>
      <c r="G1037">
        <v>0.248504271009346</v>
      </c>
    </row>
    <row r="1038" spans="1:7" x14ac:dyDescent="0.35">
      <c r="A1038">
        <v>2019</v>
      </c>
      <c r="B1038" s="1" t="s">
        <v>132</v>
      </c>
      <c r="C1038" s="1" t="s">
        <v>133</v>
      </c>
      <c r="D1038" s="1" t="s">
        <v>8</v>
      </c>
      <c r="E1038" s="1">
        <v>59395.64</v>
      </c>
      <c r="F1038" s="1">
        <v>599507</v>
      </c>
      <c r="G1038">
        <v>9.9074139251084645E-2</v>
      </c>
    </row>
    <row r="1039" spans="1:7" x14ac:dyDescent="0.35">
      <c r="A1039">
        <v>2019</v>
      </c>
      <c r="B1039" s="1" t="s">
        <v>132</v>
      </c>
      <c r="C1039" s="1" t="s">
        <v>133</v>
      </c>
      <c r="D1039" s="1" t="s">
        <v>9</v>
      </c>
      <c r="E1039" s="1">
        <v>132346.43</v>
      </c>
      <c r="F1039" s="1">
        <v>599507</v>
      </c>
      <c r="G1039">
        <v>0.22075877345885869</v>
      </c>
    </row>
    <row r="1040" spans="1:7" x14ac:dyDescent="0.35">
      <c r="A1040">
        <v>2019</v>
      </c>
      <c r="B1040" s="1" t="s">
        <v>58</v>
      </c>
      <c r="C1040" s="1" t="s">
        <v>59</v>
      </c>
      <c r="D1040" s="1" t="s">
        <v>7</v>
      </c>
      <c r="E1040" s="1">
        <v>104183.21</v>
      </c>
      <c r="F1040" s="1">
        <v>431575</v>
      </c>
      <c r="G1040">
        <v>0.24140232867983549</v>
      </c>
    </row>
    <row r="1041" spans="1:7" x14ac:dyDescent="0.35">
      <c r="A1041">
        <v>2019</v>
      </c>
      <c r="B1041" s="1" t="s">
        <v>58</v>
      </c>
      <c r="C1041" s="1" t="s">
        <v>59</v>
      </c>
      <c r="D1041" s="1" t="s">
        <v>8</v>
      </c>
      <c r="E1041" s="1">
        <v>50007.67</v>
      </c>
      <c r="F1041" s="1">
        <v>431575</v>
      </c>
      <c r="G1041">
        <v>0.11587249029716735</v>
      </c>
    </row>
    <row r="1042" spans="1:7" x14ac:dyDescent="0.35">
      <c r="A1042">
        <v>2019</v>
      </c>
      <c r="B1042" s="1" t="s">
        <v>58</v>
      </c>
      <c r="C1042" s="1" t="s">
        <v>59</v>
      </c>
      <c r="D1042" s="1" t="s">
        <v>9</v>
      </c>
      <c r="E1042" s="1">
        <v>66996.13</v>
      </c>
      <c r="F1042" s="1">
        <v>431575</v>
      </c>
      <c r="G1042">
        <v>0.15523635521056597</v>
      </c>
    </row>
    <row r="1043" spans="1:7" x14ac:dyDescent="0.35">
      <c r="A1043">
        <v>2019</v>
      </c>
      <c r="B1043" s="1" t="s">
        <v>50</v>
      </c>
      <c r="C1043" s="1" t="s">
        <v>51</v>
      </c>
      <c r="D1043" s="1" t="s">
        <v>7</v>
      </c>
      <c r="E1043" s="1">
        <v>201840.96</v>
      </c>
      <c r="F1043" s="1">
        <v>915090</v>
      </c>
      <c r="G1043">
        <v>0.22056951775235223</v>
      </c>
    </row>
    <row r="1044" spans="1:7" x14ac:dyDescent="0.35">
      <c r="A1044">
        <v>2019</v>
      </c>
      <c r="B1044" s="1" t="s">
        <v>50</v>
      </c>
      <c r="C1044" s="1" t="s">
        <v>51</v>
      </c>
      <c r="D1044" s="1" t="s">
        <v>8</v>
      </c>
      <c r="E1044" s="1">
        <v>140920.79999999999</v>
      </c>
      <c r="F1044" s="1">
        <v>915090</v>
      </c>
      <c r="G1044">
        <v>0.15399665606661639</v>
      </c>
    </row>
    <row r="1045" spans="1:7" x14ac:dyDescent="0.35">
      <c r="A1045">
        <v>2019</v>
      </c>
      <c r="B1045" s="1" t="s">
        <v>50</v>
      </c>
      <c r="C1045" s="1" t="s">
        <v>51</v>
      </c>
      <c r="D1045" s="1" t="s">
        <v>9</v>
      </c>
      <c r="E1045" s="1">
        <v>282871.17</v>
      </c>
      <c r="F1045" s="1">
        <v>915090</v>
      </c>
      <c r="G1045">
        <v>0.30911841458217221</v>
      </c>
    </row>
    <row r="1046" spans="1:7" x14ac:dyDescent="0.35">
      <c r="A1046">
        <v>2013</v>
      </c>
      <c r="B1046" s="1" t="s">
        <v>68</v>
      </c>
      <c r="C1046" s="1" t="s">
        <v>69</v>
      </c>
      <c r="D1046" s="1" t="s">
        <v>7</v>
      </c>
      <c r="E1046" s="1">
        <v>78061.56</v>
      </c>
      <c r="F1046" s="1">
        <v>149234</v>
      </c>
      <c r="G1046">
        <v>0.52308160338796783</v>
      </c>
    </row>
    <row r="1047" spans="1:7" x14ac:dyDescent="0.35">
      <c r="A1047">
        <v>2013</v>
      </c>
      <c r="B1047" s="1" t="s">
        <v>68</v>
      </c>
      <c r="C1047" s="1" t="s">
        <v>69</v>
      </c>
      <c r="D1047" s="1" t="s">
        <v>8</v>
      </c>
      <c r="E1047" s="1">
        <v>8518.33</v>
      </c>
      <c r="F1047" s="1">
        <v>149234</v>
      </c>
      <c r="G1047">
        <v>5.7080357023198469E-2</v>
      </c>
    </row>
    <row r="1048" spans="1:7" x14ac:dyDescent="0.35">
      <c r="A1048">
        <v>2013</v>
      </c>
      <c r="B1048" s="1" t="s">
        <v>68</v>
      </c>
      <c r="C1048" s="1" t="s">
        <v>69</v>
      </c>
      <c r="D1048" s="1" t="s">
        <v>9</v>
      </c>
      <c r="E1048" s="1">
        <v>14421.04</v>
      </c>
      <c r="F1048" s="1">
        <v>149234</v>
      </c>
      <c r="G1048">
        <v>9.6633742980822071E-2</v>
      </c>
    </row>
    <row r="1049" spans="1:7" x14ac:dyDescent="0.35">
      <c r="A1049">
        <v>2019</v>
      </c>
      <c r="B1049" s="1" t="s">
        <v>170</v>
      </c>
      <c r="C1049" s="1" t="s">
        <v>171</v>
      </c>
      <c r="D1049" s="1" t="s">
        <v>7</v>
      </c>
      <c r="E1049" s="1">
        <v>210994.86</v>
      </c>
      <c r="F1049" s="1">
        <v>748437</v>
      </c>
      <c r="G1049">
        <v>0.2819139887525603</v>
      </c>
    </row>
    <row r="1050" spans="1:7" x14ac:dyDescent="0.35">
      <c r="A1050">
        <v>2019</v>
      </c>
      <c r="B1050" s="1" t="s">
        <v>170</v>
      </c>
      <c r="C1050" s="1" t="s">
        <v>171</v>
      </c>
      <c r="D1050" s="1" t="s">
        <v>8</v>
      </c>
      <c r="E1050" s="1">
        <v>65550.83</v>
      </c>
      <c r="F1050" s="1">
        <v>748437</v>
      </c>
      <c r="G1050">
        <v>8.7583630953573924E-2</v>
      </c>
    </row>
    <row r="1051" spans="1:7" x14ac:dyDescent="0.35">
      <c r="A1051">
        <v>2019</v>
      </c>
      <c r="B1051" s="1" t="s">
        <v>170</v>
      </c>
      <c r="C1051" s="1" t="s">
        <v>171</v>
      </c>
      <c r="D1051" s="1" t="s">
        <v>9</v>
      </c>
      <c r="E1051" s="1">
        <v>160064.49</v>
      </c>
      <c r="F1051" s="1">
        <v>748437</v>
      </c>
      <c r="G1051">
        <v>0.21386501469061522</v>
      </c>
    </row>
    <row r="1052" spans="1:7" x14ac:dyDescent="0.35">
      <c r="A1052">
        <v>2019</v>
      </c>
      <c r="B1052" s="1" t="s">
        <v>172</v>
      </c>
      <c r="C1052" s="1" t="s">
        <v>173</v>
      </c>
      <c r="D1052" s="1" t="s">
        <v>7</v>
      </c>
      <c r="E1052" s="1">
        <v>344470.85</v>
      </c>
      <c r="F1052" s="1">
        <v>1400039</v>
      </c>
      <c r="G1052">
        <v>0.24604375306687884</v>
      </c>
    </row>
    <row r="1053" spans="1:7" x14ac:dyDescent="0.35">
      <c r="A1053">
        <v>2019</v>
      </c>
      <c r="B1053" s="1" t="s">
        <v>172</v>
      </c>
      <c r="C1053" s="1" t="s">
        <v>173</v>
      </c>
      <c r="D1053" s="1" t="s">
        <v>8</v>
      </c>
      <c r="E1053" s="1">
        <v>149903.9</v>
      </c>
      <c r="F1053" s="1">
        <v>1400039</v>
      </c>
      <c r="G1053">
        <v>0.10707123158712006</v>
      </c>
    </row>
    <row r="1054" spans="1:7" x14ac:dyDescent="0.35">
      <c r="A1054">
        <v>2019</v>
      </c>
      <c r="B1054" s="1" t="s">
        <v>172</v>
      </c>
      <c r="C1054" s="1" t="s">
        <v>173</v>
      </c>
      <c r="D1054" s="1" t="s">
        <v>9</v>
      </c>
      <c r="E1054" s="1">
        <v>164408.9</v>
      </c>
      <c r="F1054" s="1">
        <v>1400039</v>
      </c>
      <c r="G1054">
        <v>0.11743165726097629</v>
      </c>
    </row>
    <row r="1055" spans="1:7" x14ac:dyDescent="0.35">
      <c r="A1055">
        <v>2019</v>
      </c>
      <c r="B1055" s="1" t="s">
        <v>174</v>
      </c>
      <c r="C1055" s="1" t="s">
        <v>175</v>
      </c>
      <c r="D1055" s="1" t="s">
        <v>7</v>
      </c>
      <c r="E1055" s="1">
        <v>44035.1</v>
      </c>
      <c r="F1055" s="1">
        <v>191377</v>
      </c>
      <c r="G1055">
        <v>0.23009609305193413</v>
      </c>
    </row>
    <row r="1056" spans="1:7" x14ac:dyDescent="0.35">
      <c r="A1056">
        <v>2019</v>
      </c>
      <c r="B1056" s="1" t="s">
        <v>174</v>
      </c>
      <c r="C1056" s="1" t="s">
        <v>175</v>
      </c>
      <c r="D1056" s="1" t="s">
        <v>8</v>
      </c>
      <c r="E1056" s="1">
        <v>18578.88</v>
      </c>
      <c r="F1056" s="1">
        <v>191377</v>
      </c>
      <c r="G1056">
        <v>9.7080004389242178E-2</v>
      </c>
    </row>
    <row r="1057" spans="1:7" x14ac:dyDescent="0.35">
      <c r="A1057">
        <v>2019</v>
      </c>
      <c r="B1057" s="1" t="s">
        <v>174</v>
      </c>
      <c r="C1057" s="1" t="s">
        <v>175</v>
      </c>
      <c r="D1057" s="1" t="s">
        <v>9</v>
      </c>
      <c r="E1057" s="1">
        <v>34040.6</v>
      </c>
      <c r="F1057" s="1">
        <v>191377</v>
      </c>
      <c r="G1057">
        <v>0.17787194908479076</v>
      </c>
    </row>
    <row r="1058" spans="1:7" x14ac:dyDescent="0.35">
      <c r="A1058">
        <v>2013</v>
      </c>
      <c r="B1058" s="1" t="s">
        <v>70</v>
      </c>
      <c r="C1058" s="1" t="s">
        <v>71</v>
      </c>
      <c r="D1058" s="1" t="s">
        <v>7</v>
      </c>
      <c r="E1058" s="1">
        <v>78664.47</v>
      </c>
      <c r="F1058" s="1">
        <v>170974</v>
      </c>
      <c r="G1058">
        <v>0.4600960964825061</v>
      </c>
    </row>
    <row r="1059" spans="1:7" x14ac:dyDescent="0.35">
      <c r="A1059">
        <v>2013</v>
      </c>
      <c r="B1059" s="1" t="s">
        <v>70</v>
      </c>
      <c r="C1059" s="1" t="s">
        <v>71</v>
      </c>
      <c r="D1059" s="1" t="s">
        <v>8</v>
      </c>
      <c r="E1059" s="1">
        <v>9838.7199999999993</v>
      </c>
      <c r="F1059" s="1">
        <v>170974</v>
      </c>
      <c r="G1059">
        <v>5.7545123819996019E-2</v>
      </c>
    </row>
    <row r="1060" spans="1:7" x14ac:dyDescent="0.35">
      <c r="A1060">
        <v>2013</v>
      </c>
      <c r="B1060" s="1" t="s">
        <v>70</v>
      </c>
      <c r="C1060" s="1" t="s">
        <v>71</v>
      </c>
      <c r="D1060" s="1" t="s">
        <v>9</v>
      </c>
      <c r="E1060" s="1">
        <v>28093.59</v>
      </c>
      <c r="F1060" s="1">
        <v>170974</v>
      </c>
      <c r="G1060">
        <v>0.16431498356475255</v>
      </c>
    </row>
    <row r="1061" spans="1:7" x14ac:dyDescent="0.35">
      <c r="A1061">
        <v>2019</v>
      </c>
      <c r="B1061" s="1" t="s">
        <v>150</v>
      </c>
      <c r="C1061" s="1" t="s">
        <v>151</v>
      </c>
      <c r="D1061" s="1" t="s">
        <v>7</v>
      </c>
      <c r="E1061" s="1">
        <v>394555.79</v>
      </c>
      <c r="F1061" s="1">
        <v>1623749</v>
      </c>
      <c r="G1061">
        <v>0.24299062847767727</v>
      </c>
    </row>
    <row r="1062" spans="1:7" x14ac:dyDescent="0.35">
      <c r="A1062">
        <v>2019</v>
      </c>
      <c r="B1062" s="1" t="s">
        <v>150</v>
      </c>
      <c r="C1062" s="1" t="s">
        <v>151</v>
      </c>
      <c r="D1062" s="1" t="s">
        <v>8</v>
      </c>
      <c r="E1062" s="1">
        <v>162507.20000000001</v>
      </c>
      <c r="F1062" s="1">
        <v>1623749</v>
      </c>
      <c r="G1062">
        <v>0.10008147811022518</v>
      </c>
    </row>
    <row r="1063" spans="1:7" x14ac:dyDescent="0.35">
      <c r="A1063">
        <v>2019</v>
      </c>
      <c r="B1063" s="1" t="s">
        <v>150</v>
      </c>
      <c r="C1063" s="1" t="s">
        <v>151</v>
      </c>
      <c r="D1063" s="1" t="s">
        <v>9</v>
      </c>
      <c r="E1063" s="1">
        <v>333696.37</v>
      </c>
      <c r="F1063" s="1">
        <v>1623749</v>
      </c>
      <c r="G1063">
        <v>0.20550982325470254</v>
      </c>
    </row>
    <row r="1064" spans="1:7" x14ac:dyDescent="0.35">
      <c r="A1064">
        <v>2019</v>
      </c>
      <c r="B1064" s="1" t="s">
        <v>176</v>
      </c>
      <c r="C1064" s="1" t="s">
        <v>177</v>
      </c>
      <c r="D1064" s="1" t="s">
        <v>7</v>
      </c>
      <c r="E1064" s="1">
        <v>339967.42</v>
      </c>
      <c r="F1064" s="1">
        <v>1175623</v>
      </c>
      <c r="G1064">
        <v>0.28918064719727327</v>
      </c>
    </row>
    <row r="1065" spans="1:7" x14ac:dyDescent="0.35">
      <c r="A1065">
        <v>2019</v>
      </c>
      <c r="B1065" s="1" t="s">
        <v>176</v>
      </c>
      <c r="C1065" s="1" t="s">
        <v>177</v>
      </c>
      <c r="D1065" s="1" t="s">
        <v>8</v>
      </c>
      <c r="E1065" s="1">
        <v>116350.09</v>
      </c>
      <c r="F1065" s="1">
        <v>1175623</v>
      </c>
      <c r="G1065">
        <v>9.8968878628607981E-2</v>
      </c>
    </row>
    <row r="1066" spans="1:7" x14ac:dyDescent="0.35">
      <c r="A1066">
        <v>2019</v>
      </c>
      <c r="B1066" s="1" t="s">
        <v>176</v>
      </c>
      <c r="C1066" s="1" t="s">
        <v>177</v>
      </c>
      <c r="D1066" s="1" t="s">
        <v>9</v>
      </c>
      <c r="E1066" s="1">
        <v>229731.01</v>
      </c>
      <c r="F1066" s="1">
        <v>1175623</v>
      </c>
      <c r="G1066">
        <v>0.19541214317855299</v>
      </c>
    </row>
    <row r="1067" spans="1:7" x14ac:dyDescent="0.35">
      <c r="A1067">
        <v>2019</v>
      </c>
      <c r="B1067" s="1" t="s">
        <v>52</v>
      </c>
      <c r="C1067" s="1" t="s">
        <v>53</v>
      </c>
      <c r="D1067" s="1" t="s">
        <v>7</v>
      </c>
      <c r="E1067" s="1">
        <v>184587.19</v>
      </c>
      <c r="F1067" s="1">
        <v>1079498</v>
      </c>
      <c r="G1067">
        <v>0.17099354514783724</v>
      </c>
    </row>
    <row r="1068" spans="1:7" x14ac:dyDescent="0.35">
      <c r="A1068">
        <v>2019</v>
      </c>
      <c r="B1068" s="1" t="s">
        <v>52</v>
      </c>
      <c r="C1068" s="1" t="s">
        <v>53</v>
      </c>
      <c r="D1068" s="1" t="s">
        <v>8</v>
      </c>
      <c r="E1068" s="1">
        <v>114117.37</v>
      </c>
      <c r="F1068" s="1">
        <v>1079498</v>
      </c>
      <c r="G1068">
        <v>0.10571336862134066</v>
      </c>
    </row>
    <row r="1069" spans="1:7" x14ac:dyDescent="0.35">
      <c r="A1069">
        <v>2019</v>
      </c>
      <c r="B1069" s="1" t="s">
        <v>52</v>
      </c>
      <c r="C1069" s="1" t="s">
        <v>53</v>
      </c>
      <c r="D1069" s="1" t="s">
        <v>9</v>
      </c>
      <c r="E1069" s="1">
        <v>209849.49</v>
      </c>
      <c r="F1069" s="1">
        <v>1079498</v>
      </c>
      <c r="G1069">
        <v>0.19439544121434221</v>
      </c>
    </row>
    <row r="1070" spans="1:7" x14ac:dyDescent="0.35">
      <c r="A1070">
        <v>2019</v>
      </c>
      <c r="B1070" s="1" t="s">
        <v>60</v>
      </c>
      <c r="C1070" s="1" t="s">
        <v>61</v>
      </c>
      <c r="D1070" s="1" t="s">
        <v>7</v>
      </c>
      <c r="E1070" s="1">
        <v>37913.589999999997</v>
      </c>
      <c r="F1070" s="1">
        <v>219316</v>
      </c>
      <c r="G1070">
        <v>0.17287197468492949</v>
      </c>
    </row>
    <row r="1071" spans="1:7" x14ac:dyDescent="0.35">
      <c r="A1071">
        <v>2019</v>
      </c>
      <c r="B1071" s="1" t="s">
        <v>60</v>
      </c>
      <c r="C1071" s="1" t="s">
        <v>61</v>
      </c>
      <c r="D1071" s="1" t="s">
        <v>8</v>
      </c>
      <c r="E1071" s="1">
        <v>27755.62</v>
      </c>
      <c r="F1071" s="1">
        <v>219316</v>
      </c>
      <c r="G1071">
        <v>0.12655538127633187</v>
      </c>
    </row>
    <row r="1072" spans="1:7" x14ac:dyDescent="0.35">
      <c r="A1072">
        <v>2019</v>
      </c>
      <c r="B1072" s="1" t="s">
        <v>60</v>
      </c>
      <c r="C1072" s="1" t="s">
        <v>61</v>
      </c>
      <c r="D1072" s="1" t="s">
        <v>9</v>
      </c>
      <c r="E1072" s="1">
        <v>37704.080000000002</v>
      </c>
      <c r="F1072" s="1">
        <v>219316</v>
      </c>
      <c r="G1072">
        <v>0.17191668642506702</v>
      </c>
    </row>
    <row r="1073" spans="1:7" x14ac:dyDescent="0.35">
      <c r="A1073">
        <v>2019</v>
      </c>
      <c r="B1073" s="1" t="s">
        <v>62</v>
      </c>
      <c r="C1073" s="1" t="s">
        <v>63</v>
      </c>
      <c r="D1073" s="1" t="s">
        <v>7</v>
      </c>
      <c r="E1073" s="1">
        <v>125973.99</v>
      </c>
      <c r="F1073" s="1">
        <v>610079</v>
      </c>
      <c r="G1073">
        <v>0.20648799581693519</v>
      </c>
    </row>
    <row r="1074" spans="1:7" x14ac:dyDescent="0.35">
      <c r="A1074">
        <v>2019</v>
      </c>
      <c r="B1074" s="1" t="s">
        <v>62</v>
      </c>
      <c r="C1074" s="1" t="s">
        <v>63</v>
      </c>
      <c r="D1074" s="1" t="s">
        <v>8</v>
      </c>
      <c r="E1074" s="1">
        <v>79601.63</v>
      </c>
      <c r="F1074" s="1">
        <v>610079</v>
      </c>
      <c r="G1074">
        <v>0.13047757749406225</v>
      </c>
    </row>
    <row r="1075" spans="1:7" x14ac:dyDescent="0.35">
      <c r="A1075">
        <v>2019</v>
      </c>
      <c r="B1075" s="1" t="s">
        <v>62</v>
      </c>
      <c r="C1075" s="1" t="s">
        <v>63</v>
      </c>
      <c r="D1075" s="1" t="s">
        <v>9</v>
      </c>
      <c r="E1075" s="1">
        <v>93348.13</v>
      </c>
      <c r="F1075" s="1">
        <v>610079</v>
      </c>
      <c r="G1075">
        <v>0.15300990527456282</v>
      </c>
    </row>
    <row r="1076" spans="1:7" x14ac:dyDescent="0.35">
      <c r="A1076">
        <v>2019</v>
      </c>
      <c r="B1076" s="1" t="s">
        <v>18</v>
      </c>
      <c r="C1076" s="1" t="s">
        <v>19</v>
      </c>
      <c r="D1076" s="1" t="s">
        <v>7</v>
      </c>
      <c r="E1076" s="1">
        <v>266061.65999999997</v>
      </c>
      <c r="F1076" s="1">
        <v>1271166</v>
      </c>
      <c r="G1076">
        <v>0.2093052048276936</v>
      </c>
    </row>
    <row r="1077" spans="1:7" x14ac:dyDescent="0.35">
      <c r="A1077">
        <v>2019</v>
      </c>
      <c r="B1077" s="1" t="s">
        <v>18</v>
      </c>
      <c r="C1077" s="1" t="s">
        <v>19</v>
      </c>
      <c r="D1077" s="1" t="s">
        <v>8</v>
      </c>
      <c r="E1077" s="1">
        <v>106321.81</v>
      </c>
      <c r="F1077" s="1">
        <v>1271166</v>
      </c>
      <c r="G1077">
        <v>8.364116881666124E-2</v>
      </c>
    </row>
    <row r="1078" spans="1:7" x14ac:dyDescent="0.35">
      <c r="A1078">
        <v>2019</v>
      </c>
      <c r="B1078" s="1" t="s">
        <v>18</v>
      </c>
      <c r="C1078" s="1" t="s">
        <v>19</v>
      </c>
      <c r="D1078" s="1" t="s">
        <v>9</v>
      </c>
      <c r="E1078" s="1">
        <v>261984.21</v>
      </c>
      <c r="F1078" s="1">
        <v>1271166</v>
      </c>
      <c r="G1078">
        <v>0.20609755924875273</v>
      </c>
    </row>
    <row r="1079" spans="1:7" x14ac:dyDescent="0.35">
      <c r="A1079">
        <v>2019</v>
      </c>
      <c r="B1079" s="1" t="s">
        <v>36</v>
      </c>
      <c r="C1079" s="1" t="s">
        <v>37</v>
      </c>
      <c r="D1079" s="1" t="s">
        <v>7</v>
      </c>
      <c r="E1079" s="1">
        <v>47863.85</v>
      </c>
      <c r="F1079" s="1">
        <v>259199</v>
      </c>
      <c r="G1079">
        <v>0.1846606275487174</v>
      </c>
    </row>
    <row r="1080" spans="1:7" x14ac:dyDescent="0.35">
      <c r="A1080">
        <v>2019</v>
      </c>
      <c r="B1080" s="1" t="s">
        <v>36</v>
      </c>
      <c r="C1080" s="1" t="s">
        <v>37</v>
      </c>
      <c r="D1080" s="1" t="s">
        <v>8</v>
      </c>
      <c r="E1080" s="1">
        <v>34042.160000000003</v>
      </c>
      <c r="F1080" s="1">
        <v>259199</v>
      </c>
      <c r="G1080">
        <v>0.13133600052469341</v>
      </c>
    </row>
    <row r="1081" spans="1:7" x14ac:dyDescent="0.35">
      <c r="A1081">
        <v>2019</v>
      </c>
      <c r="B1081" s="1" t="s">
        <v>36</v>
      </c>
      <c r="C1081" s="1" t="s">
        <v>37</v>
      </c>
      <c r="D1081" s="1" t="s">
        <v>9</v>
      </c>
      <c r="E1081" s="1">
        <v>41642.129999999997</v>
      </c>
      <c r="F1081" s="1">
        <v>259199</v>
      </c>
      <c r="G1081">
        <v>0.16065698555935787</v>
      </c>
    </row>
    <row r="1082" spans="1:7" x14ac:dyDescent="0.35">
      <c r="A1082">
        <v>2019</v>
      </c>
      <c r="B1082" s="1" t="s">
        <v>152</v>
      </c>
      <c r="C1082" s="1" t="s">
        <v>153</v>
      </c>
      <c r="D1082" s="1" t="s">
        <v>7</v>
      </c>
      <c r="E1082" s="1">
        <v>122333.26</v>
      </c>
      <c r="F1082" s="1">
        <v>413690</v>
      </c>
      <c r="G1082">
        <v>0.2957123933380067</v>
      </c>
    </row>
    <row r="1083" spans="1:7" x14ac:dyDescent="0.35">
      <c r="A1083">
        <v>2019</v>
      </c>
      <c r="B1083" s="1" t="s">
        <v>152</v>
      </c>
      <c r="C1083" s="1" t="s">
        <v>153</v>
      </c>
      <c r="D1083" s="1" t="s">
        <v>8</v>
      </c>
      <c r="E1083" s="1">
        <v>42420.69</v>
      </c>
      <c r="F1083" s="1">
        <v>413690</v>
      </c>
      <c r="G1083">
        <v>0.10254221760255264</v>
      </c>
    </row>
    <row r="1084" spans="1:7" x14ac:dyDescent="0.35">
      <c r="A1084">
        <v>2019</v>
      </c>
      <c r="B1084" s="1" t="s">
        <v>152</v>
      </c>
      <c r="C1084" s="1" t="s">
        <v>153</v>
      </c>
      <c r="D1084" s="1" t="s">
        <v>9</v>
      </c>
      <c r="E1084" s="1">
        <v>202029.33</v>
      </c>
      <c r="F1084" s="1">
        <v>413690</v>
      </c>
      <c r="G1084">
        <v>0.48835923034156009</v>
      </c>
    </row>
    <row r="1085" spans="1:7" x14ac:dyDescent="0.35">
      <c r="A1085">
        <v>2019</v>
      </c>
      <c r="B1085" s="1" t="s">
        <v>64</v>
      </c>
      <c r="C1085" s="1" t="s">
        <v>65</v>
      </c>
      <c r="D1085" s="1" t="s">
        <v>7</v>
      </c>
      <c r="E1085" s="1">
        <v>71570.61</v>
      </c>
      <c r="F1085" s="1">
        <v>329470</v>
      </c>
      <c r="G1085">
        <v>0.2172295201384041</v>
      </c>
    </row>
    <row r="1086" spans="1:7" x14ac:dyDescent="0.35">
      <c r="A1086">
        <v>2019</v>
      </c>
      <c r="B1086" s="1" t="s">
        <v>64</v>
      </c>
      <c r="C1086" s="1" t="s">
        <v>65</v>
      </c>
      <c r="D1086" s="1" t="s">
        <v>8</v>
      </c>
      <c r="E1086" s="1">
        <v>27892.69</v>
      </c>
      <c r="F1086" s="1">
        <v>329470</v>
      </c>
      <c r="G1086">
        <v>8.4659270950314142E-2</v>
      </c>
    </row>
    <row r="1087" spans="1:7" x14ac:dyDescent="0.35">
      <c r="A1087">
        <v>2019</v>
      </c>
      <c r="B1087" s="1" t="s">
        <v>64</v>
      </c>
      <c r="C1087" s="1" t="s">
        <v>65</v>
      </c>
      <c r="D1087" s="1" t="s">
        <v>9</v>
      </c>
      <c r="E1087" s="1">
        <v>85137.93</v>
      </c>
      <c r="F1087" s="1">
        <v>329470</v>
      </c>
      <c r="G1087">
        <v>0.25840874738215919</v>
      </c>
    </row>
    <row r="1088" spans="1:7" x14ac:dyDescent="0.35">
      <c r="A1088">
        <v>2019</v>
      </c>
      <c r="B1088" s="1" t="s">
        <v>20</v>
      </c>
      <c r="C1088" s="1" t="s">
        <v>21</v>
      </c>
      <c r="D1088" s="1" t="s">
        <v>7</v>
      </c>
      <c r="E1088" s="1">
        <v>169040.52</v>
      </c>
      <c r="F1088" s="1">
        <v>765634</v>
      </c>
      <c r="G1088">
        <v>0.2207850226087138</v>
      </c>
    </row>
    <row r="1089" spans="1:7" x14ac:dyDescent="0.35">
      <c r="A1089">
        <v>2019</v>
      </c>
      <c r="B1089" s="1" t="s">
        <v>20</v>
      </c>
      <c r="C1089" s="1" t="s">
        <v>21</v>
      </c>
      <c r="D1089" s="1" t="s">
        <v>8</v>
      </c>
      <c r="E1089" s="1">
        <v>66280.740000000005</v>
      </c>
      <c r="F1089" s="1">
        <v>765634</v>
      </c>
      <c r="G1089">
        <v>8.6569744812795682E-2</v>
      </c>
    </row>
    <row r="1090" spans="1:7" x14ac:dyDescent="0.35">
      <c r="A1090">
        <v>2019</v>
      </c>
      <c r="B1090" s="1" t="s">
        <v>20</v>
      </c>
      <c r="C1090" s="1" t="s">
        <v>21</v>
      </c>
      <c r="D1090" s="1" t="s">
        <v>9</v>
      </c>
      <c r="E1090" s="1">
        <v>141639.20000000001</v>
      </c>
      <c r="F1090" s="1">
        <v>765634</v>
      </c>
      <c r="G1090">
        <v>0.18499596412907474</v>
      </c>
    </row>
    <row r="1091" spans="1:7" x14ac:dyDescent="0.35">
      <c r="A1091">
        <v>2019</v>
      </c>
      <c r="B1091" s="1" t="s">
        <v>22</v>
      </c>
      <c r="C1091" s="1" t="s">
        <v>23</v>
      </c>
      <c r="D1091" s="1" t="s">
        <v>7</v>
      </c>
      <c r="E1091" s="1">
        <v>47936.25</v>
      </c>
      <c r="F1091" s="1">
        <v>227570</v>
      </c>
      <c r="G1091">
        <v>0.21064397767719822</v>
      </c>
    </row>
    <row r="1092" spans="1:7" x14ac:dyDescent="0.35">
      <c r="A1092">
        <v>2019</v>
      </c>
      <c r="B1092" s="1" t="s">
        <v>22</v>
      </c>
      <c r="C1092" s="1" t="s">
        <v>23</v>
      </c>
      <c r="D1092" s="1" t="s">
        <v>8</v>
      </c>
      <c r="E1092" s="1">
        <v>20253.650000000001</v>
      </c>
      <c r="F1092" s="1">
        <v>227570</v>
      </c>
      <c r="G1092">
        <v>8.8999648459814562E-2</v>
      </c>
    </row>
    <row r="1093" spans="1:7" x14ac:dyDescent="0.35">
      <c r="A1093">
        <v>2019</v>
      </c>
      <c r="B1093" s="1" t="s">
        <v>22</v>
      </c>
      <c r="C1093" s="1" t="s">
        <v>23</v>
      </c>
      <c r="D1093" s="1" t="s">
        <v>9</v>
      </c>
      <c r="E1093" s="1">
        <v>41820.76</v>
      </c>
      <c r="F1093" s="1">
        <v>227570</v>
      </c>
      <c r="G1093">
        <v>0.18377097156918751</v>
      </c>
    </row>
    <row r="1094" spans="1:7" x14ac:dyDescent="0.35">
      <c r="A1094">
        <v>2019</v>
      </c>
      <c r="B1094" s="1" t="s">
        <v>190</v>
      </c>
      <c r="C1094" s="1" t="s">
        <v>191</v>
      </c>
      <c r="D1094" s="1" t="s">
        <v>7</v>
      </c>
      <c r="E1094" s="1">
        <v>265069.27</v>
      </c>
      <c r="F1094" s="1">
        <v>1429272</v>
      </c>
      <c r="G1094">
        <v>0.18545754062207895</v>
      </c>
    </row>
    <row r="1095" spans="1:7" x14ac:dyDescent="0.35">
      <c r="A1095">
        <v>2019</v>
      </c>
      <c r="B1095" s="1" t="s">
        <v>190</v>
      </c>
      <c r="C1095" s="1" t="s">
        <v>191</v>
      </c>
      <c r="D1095" s="1" t="s">
        <v>8</v>
      </c>
      <c r="E1095" s="1">
        <v>140476.75</v>
      </c>
      <c r="F1095" s="1">
        <v>1429272</v>
      </c>
      <c r="G1095">
        <v>9.8285525778158397E-2</v>
      </c>
    </row>
    <row r="1096" spans="1:7" x14ac:dyDescent="0.35">
      <c r="A1096">
        <v>2019</v>
      </c>
      <c r="B1096" s="1" t="s">
        <v>190</v>
      </c>
      <c r="C1096" s="1" t="s">
        <v>191</v>
      </c>
      <c r="D1096" s="1" t="s">
        <v>9</v>
      </c>
      <c r="E1096" s="1">
        <v>311226.59999999998</v>
      </c>
      <c r="F1096" s="1">
        <v>1429272</v>
      </c>
      <c r="G1096">
        <v>0.21775183450036101</v>
      </c>
    </row>
    <row r="1097" spans="1:7" x14ac:dyDescent="0.35">
      <c r="A1097">
        <v>2019</v>
      </c>
      <c r="B1097" s="1" t="s">
        <v>66</v>
      </c>
      <c r="C1097" s="1" t="s">
        <v>67</v>
      </c>
      <c r="D1097" s="1" t="s">
        <v>7</v>
      </c>
      <c r="E1097" s="1">
        <v>143997.56</v>
      </c>
      <c r="F1097" s="1">
        <v>680434</v>
      </c>
      <c r="G1097">
        <v>0.21162605043251806</v>
      </c>
    </row>
    <row r="1098" spans="1:7" x14ac:dyDescent="0.35">
      <c r="A1098">
        <v>2019</v>
      </c>
      <c r="B1098" s="1" t="s">
        <v>66</v>
      </c>
      <c r="C1098" s="1" t="s">
        <v>67</v>
      </c>
      <c r="D1098" s="1" t="s">
        <v>8</v>
      </c>
      <c r="E1098" s="1">
        <v>55269.75</v>
      </c>
      <c r="F1098" s="1">
        <v>680434</v>
      </c>
      <c r="G1098">
        <v>8.1227202050456027E-2</v>
      </c>
    </row>
    <row r="1099" spans="1:7" x14ac:dyDescent="0.35">
      <c r="A1099">
        <v>2019</v>
      </c>
      <c r="B1099" s="1" t="s">
        <v>66</v>
      </c>
      <c r="C1099" s="1" t="s">
        <v>67</v>
      </c>
      <c r="D1099" s="1" t="s">
        <v>9</v>
      </c>
      <c r="E1099" s="1">
        <v>163587.81</v>
      </c>
      <c r="F1099" s="1">
        <v>680434</v>
      </c>
      <c r="G1099">
        <v>0.24041686629415931</v>
      </c>
    </row>
    <row r="1100" spans="1:7" x14ac:dyDescent="0.35">
      <c r="A1100">
        <v>2019</v>
      </c>
      <c r="B1100" s="1" t="s">
        <v>178</v>
      </c>
      <c r="C1100" s="1" t="s">
        <v>179</v>
      </c>
      <c r="D1100" s="1" t="s">
        <v>7</v>
      </c>
      <c r="E1100" s="1">
        <v>37862.94</v>
      </c>
      <c r="F1100" s="1">
        <v>174094</v>
      </c>
      <c r="G1100">
        <v>0.21748561122152402</v>
      </c>
    </row>
    <row r="1101" spans="1:7" x14ac:dyDescent="0.35">
      <c r="A1101">
        <v>2019</v>
      </c>
      <c r="B1101" s="1" t="s">
        <v>178</v>
      </c>
      <c r="C1101" s="1" t="s">
        <v>179</v>
      </c>
      <c r="D1101" s="1" t="s">
        <v>8</v>
      </c>
      <c r="E1101" s="1">
        <v>25022.55</v>
      </c>
      <c r="F1101" s="1">
        <v>174094</v>
      </c>
      <c r="G1101">
        <v>0.1437301113191724</v>
      </c>
    </row>
    <row r="1102" spans="1:7" x14ac:dyDescent="0.35">
      <c r="A1102">
        <v>2019</v>
      </c>
      <c r="B1102" s="1" t="s">
        <v>178</v>
      </c>
      <c r="C1102" s="1" t="s">
        <v>179</v>
      </c>
      <c r="D1102" s="1" t="s">
        <v>9</v>
      </c>
      <c r="E1102" s="1">
        <v>39883.64</v>
      </c>
      <c r="F1102" s="1">
        <v>174094</v>
      </c>
      <c r="G1102">
        <v>0.22909255919216057</v>
      </c>
    </row>
    <row r="1103" spans="1:7" x14ac:dyDescent="0.35">
      <c r="A1103">
        <v>2019</v>
      </c>
      <c r="B1103" s="1" t="s">
        <v>154</v>
      </c>
      <c r="C1103" s="1" t="s">
        <v>155</v>
      </c>
      <c r="D1103" s="1" t="s">
        <v>7</v>
      </c>
      <c r="E1103" s="1">
        <v>81808.149999999994</v>
      </c>
      <c r="F1103" s="1">
        <v>331271</v>
      </c>
      <c r="G1103">
        <v>0.2469523441532763</v>
      </c>
    </row>
    <row r="1104" spans="1:7" x14ac:dyDescent="0.35">
      <c r="A1104">
        <v>2019</v>
      </c>
      <c r="B1104" s="1" t="s">
        <v>154</v>
      </c>
      <c r="C1104" s="1" t="s">
        <v>155</v>
      </c>
      <c r="D1104" s="1" t="s">
        <v>8</v>
      </c>
      <c r="E1104" s="1">
        <v>33846.519999999997</v>
      </c>
      <c r="F1104" s="1">
        <v>331271</v>
      </c>
      <c r="G1104">
        <v>0.10217169628491476</v>
      </c>
    </row>
    <row r="1105" spans="1:7" x14ac:dyDescent="0.35">
      <c r="A1105">
        <v>2019</v>
      </c>
      <c r="B1105" s="1" t="s">
        <v>154</v>
      </c>
      <c r="C1105" s="1" t="s">
        <v>155</v>
      </c>
      <c r="D1105" s="1" t="s">
        <v>9</v>
      </c>
      <c r="E1105" s="1">
        <v>76324.97</v>
      </c>
      <c r="F1105" s="1">
        <v>331271</v>
      </c>
      <c r="G1105">
        <v>0.23040039725783423</v>
      </c>
    </row>
    <row r="1106" spans="1:7" x14ac:dyDescent="0.35">
      <c r="A1106">
        <v>2019</v>
      </c>
      <c r="B1106" s="1" t="s">
        <v>180</v>
      </c>
      <c r="C1106" s="1" t="s">
        <v>181</v>
      </c>
      <c r="D1106" s="1" t="s">
        <v>7</v>
      </c>
      <c r="E1106" s="1">
        <v>19752.060000000001</v>
      </c>
      <c r="F1106" s="1">
        <v>76604</v>
      </c>
      <c r="G1106">
        <v>0.25784632656258161</v>
      </c>
    </row>
    <row r="1107" spans="1:7" x14ac:dyDescent="0.35">
      <c r="A1107">
        <v>2019</v>
      </c>
      <c r="B1107" s="1" t="s">
        <v>180</v>
      </c>
      <c r="C1107" s="1" t="s">
        <v>181</v>
      </c>
      <c r="D1107" s="1" t="s">
        <v>8</v>
      </c>
      <c r="E1107" s="1">
        <v>6366.18</v>
      </c>
      <c r="F1107" s="1">
        <v>76604</v>
      </c>
      <c r="G1107">
        <v>8.3105059788000632E-2</v>
      </c>
    </row>
    <row r="1108" spans="1:7" x14ac:dyDescent="0.35">
      <c r="A1108">
        <v>2019</v>
      </c>
      <c r="B1108" s="1" t="s">
        <v>180</v>
      </c>
      <c r="C1108" s="1" t="s">
        <v>181</v>
      </c>
      <c r="D1108" s="1" t="s">
        <v>9</v>
      </c>
      <c r="E1108" s="1">
        <v>13987.35</v>
      </c>
      <c r="F1108" s="1">
        <v>76604</v>
      </c>
      <c r="G1108">
        <v>0.18259294553809202</v>
      </c>
    </row>
    <row r="1109" spans="1:7" x14ac:dyDescent="0.35">
      <c r="A1109">
        <v>2019</v>
      </c>
      <c r="B1109" s="1" t="s">
        <v>192</v>
      </c>
      <c r="C1109" s="1" t="s">
        <v>193</v>
      </c>
      <c r="D1109" s="1" t="s">
        <v>7</v>
      </c>
      <c r="E1109" s="1">
        <v>119451.57</v>
      </c>
      <c r="F1109" s="1">
        <v>818273</v>
      </c>
      <c r="G1109">
        <v>0.14598009466278369</v>
      </c>
    </row>
    <row r="1110" spans="1:7" x14ac:dyDescent="0.35">
      <c r="A1110">
        <v>2019</v>
      </c>
      <c r="B1110" s="1" t="s">
        <v>192</v>
      </c>
      <c r="C1110" s="1" t="s">
        <v>193</v>
      </c>
      <c r="D1110" s="1" t="s">
        <v>8</v>
      </c>
      <c r="E1110" s="1">
        <v>79792.070000000007</v>
      </c>
      <c r="F1110" s="1">
        <v>818273</v>
      </c>
      <c r="G1110">
        <v>9.7512773854202706E-2</v>
      </c>
    </row>
    <row r="1111" spans="1:7" x14ac:dyDescent="0.35">
      <c r="A1111">
        <v>2019</v>
      </c>
      <c r="B1111" s="1" t="s">
        <v>192</v>
      </c>
      <c r="C1111" s="1" t="s">
        <v>193</v>
      </c>
      <c r="D1111" s="1" t="s">
        <v>9</v>
      </c>
      <c r="E1111" s="1">
        <v>141801.38</v>
      </c>
      <c r="F1111" s="1">
        <v>818273</v>
      </c>
      <c r="G1111">
        <v>0.17329348518159587</v>
      </c>
    </row>
    <row r="1112" spans="1:7" x14ac:dyDescent="0.35">
      <c r="A1112">
        <v>2019</v>
      </c>
      <c r="B1112" s="1" t="s">
        <v>134</v>
      </c>
      <c r="C1112" s="1" t="s">
        <v>135</v>
      </c>
      <c r="D1112" s="1" t="s">
        <v>7</v>
      </c>
      <c r="E1112" s="1">
        <v>108728.09</v>
      </c>
      <c r="F1112" s="1">
        <v>495045</v>
      </c>
      <c r="G1112">
        <v>0.21963274045793815</v>
      </c>
    </row>
    <row r="1113" spans="1:7" x14ac:dyDescent="0.35">
      <c r="A1113">
        <v>2019</v>
      </c>
      <c r="B1113" s="1" t="s">
        <v>134</v>
      </c>
      <c r="C1113" s="1" t="s">
        <v>135</v>
      </c>
      <c r="D1113" s="1" t="s">
        <v>8</v>
      </c>
      <c r="E1113" s="1">
        <v>50716.54</v>
      </c>
      <c r="F1113" s="1">
        <v>495045</v>
      </c>
      <c r="G1113">
        <v>0.10244834307992202</v>
      </c>
    </row>
    <row r="1114" spans="1:7" x14ac:dyDescent="0.35">
      <c r="A1114">
        <v>2019</v>
      </c>
      <c r="B1114" s="1" t="s">
        <v>134</v>
      </c>
      <c r="C1114" s="1" t="s">
        <v>135</v>
      </c>
      <c r="D1114" s="1" t="s">
        <v>9</v>
      </c>
      <c r="E1114" s="1">
        <v>155714.13</v>
      </c>
      <c r="F1114" s="1">
        <v>495045</v>
      </c>
      <c r="G1114">
        <v>0.31454540496318517</v>
      </c>
    </row>
    <row r="1115" spans="1:7" x14ac:dyDescent="0.35">
      <c r="A1115">
        <v>2013</v>
      </c>
      <c r="B1115" s="1" t="s">
        <v>84</v>
      </c>
      <c r="C1115" s="1" t="s">
        <v>85</v>
      </c>
      <c r="D1115" s="1" t="s">
        <v>7</v>
      </c>
      <c r="E1115" s="1">
        <v>70849.509999999995</v>
      </c>
      <c r="F1115" s="1">
        <v>280907</v>
      </c>
      <c r="G1115">
        <v>0.25221696148547385</v>
      </c>
    </row>
    <row r="1116" spans="1:7" x14ac:dyDescent="0.35">
      <c r="A1116">
        <v>2013</v>
      </c>
      <c r="B1116" s="1" t="s">
        <v>84</v>
      </c>
      <c r="C1116" s="1" t="s">
        <v>85</v>
      </c>
      <c r="D1116" s="1" t="s">
        <v>8</v>
      </c>
      <c r="E1116" s="1">
        <v>30491.26</v>
      </c>
      <c r="F1116" s="1">
        <v>280907</v>
      </c>
      <c r="G1116">
        <v>0.10854574645701245</v>
      </c>
    </row>
    <row r="1117" spans="1:7" x14ac:dyDescent="0.35">
      <c r="A1117">
        <v>2013</v>
      </c>
      <c r="B1117" s="1" t="s">
        <v>84</v>
      </c>
      <c r="C1117" s="1" t="s">
        <v>85</v>
      </c>
      <c r="D1117" s="1" t="s">
        <v>9</v>
      </c>
      <c r="E1117" s="1">
        <v>37095.82</v>
      </c>
      <c r="F1117" s="1">
        <v>280907</v>
      </c>
      <c r="G1117">
        <v>0.13205730010288103</v>
      </c>
    </row>
    <row r="1118" spans="1:7" x14ac:dyDescent="0.35">
      <c r="A1118">
        <v>2019</v>
      </c>
      <c r="B1118" s="1" t="s">
        <v>88</v>
      </c>
      <c r="C1118" s="1" t="s">
        <v>89</v>
      </c>
      <c r="D1118" s="1" t="s">
        <v>7</v>
      </c>
      <c r="E1118" s="1">
        <v>131355.96</v>
      </c>
      <c r="F1118" s="1">
        <v>566855</v>
      </c>
      <c r="G1118">
        <v>0.23172761993807939</v>
      </c>
    </row>
    <row r="1119" spans="1:7" x14ac:dyDescent="0.35">
      <c r="A1119">
        <v>2019</v>
      </c>
      <c r="B1119" s="1" t="s">
        <v>88</v>
      </c>
      <c r="C1119" s="1" t="s">
        <v>89</v>
      </c>
      <c r="D1119" s="1" t="s">
        <v>8</v>
      </c>
      <c r="E1119" s="1">
        <v>58930.67</v>
      </c>
      <c r="F1119" s="1">
        <v>566855</v>
      </c>
      <c r="G1119">
        <v>0.10396074833952244</v>
      </c>
    </row>
    <row r="1120" spans="1:7" x14ac:dyDescent="0.35">
      <c r="A1120">
        <v>2019</v>
      </c>
      <c r="B1120" s="1" t="s">
        <v>88</v>
      </c>
      <c r="C1120" s="1" t="s">
        <v>89</v>
      </c>
      <c r="D1120" s="1" t="s">
        <v>9</v>
      </c>
      <c r="E1120" s="1">
        <v>87487.44</v>
      </c>
      <c r="F1120" s="1">
        <v>566855</v>
      </c>
      <c r="G1120">
        <v>0.15433830521032715</v>
      </c>
    </row>
    <row r="1121" spans="1:7" x14ac:dyDescent="0.35">
      <c r="A1121">
        <v>2019</v>
      </c>
      <c r="B1121" s="1" t="s">
        <v>90</v>
      </c>
      <c r="C1121" s="1" t="s">
        <v>91</v>
      </c>
      <c r="D1121" s="1" t="s">
        <v>7</v>
      </c>
      <c r="E1121" s="1">
        <v>39835.19</v>
      </c>
      <c r="F1121" s="1">
        <v>172512</v>
      </c>
      <c r="G1121">
        <v>0.23091257419773698</v>
      </c>
    </row>
    <row r="1122" spans="1:7" x14ac:dyDescent="0.35">
      <c r="A1122">
        <v>2019</v>
      </c>
      <c r="B1122" s="1" t="s">
        <v>90</v>
      </c>
      <c r="C1122" s="1" t="s">
        <v>91</v>
      </c>
      <c r="D1122" s="1" t="s">
        <v>8</v>
      </c>
      <c r="E1122" s="1">
        <v>14186.43</v>
      </c>
      <c r="F1122" s="1">
        <v>172512</v>
      </c>
      <c r="G1122">
        <v>8.2234453255425707E-2</v>
      </c>
    </row>
    <row r="1123" spans="1:7" x14ac:dyDescent="0.35">
      <c r="A1123">
        <v>2019</v>
      </c>
      <c r="B1123" s="1" t="s">
        <v>90</v>
      </c>
      <c r="C1123" s="1" t="s">
        <v>91</v>
      </c>
      <c r="D1123" s="1" t="s">
        <v>9</v>
      </c>
      <c r="E1123" s="1">
        <v>31256.58</v>
      </c>
      <c r="F1123" s="1">
        <v>172512</v>
      </c>
      <c r="G1123">
        <v>0.18118496104618811</v>
      </c>
    </row>
    <row r="1124" spans="1:7" x14ac:dyDescent="0.35">
      <c r="A1124">
        <v>2019</v>
      </c>
      <c r="B1124" s="1" t="s">
        <v>194</v>
      </c>
      <c r="C1124" s="1" t="s">
        <v>195</v>
      </c>
      <c r="D1124" s="1" t="s">
        <v>7</v>
      </c>
      <c r="E1124" s="1">
        <v>50064.56</v>
      </c>
      <c r="F1124" s="1">
        <v>307062</v>
      </c>
      <c r="G1124">
        <v>0.16304381525555098</v>
      </c>
    </row>
    <row r="1125" spans="1:7" x14ac:dyDescent="0.35">
      <c r="A1125">
        <v>2019</v>
      </c>
      <c r="B1125" s="1" t="s">
        <v>194</v>
      </c>
      <c r="C1125" s="1" t="s">
        <v>195</v>
      </c>
      <c r="D1125" s="1" t="s">
        <v>8</v>
      </c>
      <c r="E1125" s="1">
        <v>42587.27</v>
      </c>
      <c r="F1125" s="1">
        <v>307062</v>
      </c>
      <c r="G1125">
        <v>0.13869273957702352</v>
      </c>
    </row>
    <row r="1126" spans="1:7" x14ac:dyDescent="0.35">
      <c r="A1126">
        <v>2019</v>
      </c>
      <c r="B1126" s="1" t="s">
        <v>194</v>
      </c>
      <c r="C1126" s="1" t="s">
        <v>195</v>
      </c>
      <c r="D1126" s="1" t="s">
        <v>9</v>
      </c>
      <c r="E1126" s="1">
        <v>88188.47</v>
      </c>
      <c r="F1126" s="1">
        <v>307062</v>
      </c>
      <c r="G1126">
        <v>0.28720085845855237</v>
      </c>
    </row>
    <row r="1127" spans="1:7" x14ac:dyDescent="0.35">
      <c r="A1127">
        <v>2013</v>
      </c>
      <c r="B1127" s="1" t="s">
        <v>86</v>
      </c>
      <c r="C1127" s="1" t="s">
        <v>87</v>
      </c>
      <c r="D1127" s="1" t="s">
        <v>7</v>
      </c>
      <c r="E1127" s="1">
        <v>79932.08</v>
      </c>
      <c r="F1127" s="1">
        <v>306581</v>
      </c>
      <c r="G1127">
        <v>0.26072091877839787</v>
      </c>
    </row>
    <row r="1128" spans="1:7" x14ac:dyDescent="0.35">
      <c r="A1128">
        <v>2013</v>
      </c>
      <c r="B1128" s="1" t="s">
        <v>86</v>
      </c>
      <c r="C1128" s="1" t="s">
        <v>87</v>
      </c>
      <c r="D1128" s="1" t="s">
        <v>8</v>
      </c>
      <c r="E1128" s="1">
        <v>33867.22</v>
      </c>
      <c r="F1128" s="1">
        <v>306581</v>
      </c>
      <c r="G1128">
        <v>0.11046744579735861</v>
      </c>
    </row>
    <row r="1129" spans="1:7" x14ac:dyDescent="0.35">
      <c r="A1129">
        <v>2013</v>
      </c>
      <c r="B1129" s="1" t="s">
        <v>86</v>
      </c>
      <c r="C1129" s="1" t="s">
        <v>87</v>
      </c>
      <c r="D1129" s="1" t="s">
        <v>9</v>
      </c>
      <c r="E1129" s="1">
        <v>38717.21</v>
      </c>
      <c r="F1129" s="1">
        <v>306581</v>
      </c>
      <c r="G1129">
        <v>0.12628704975194158</v>
      </c>
    </row>
    <row r="1130" spans="1:7" x14ac:dyDescent="0.35">
      <c r="A1130">
        <v>2019</v>
      </c>
      <c r="B1130" s="1" t="s">
        <v>92</v>
      </c>
      <c r="C1130" s="1" t="s">
        <v>93</v>
      </c>
      <c r="D1130" s="1" t="s">
        <v>7</v>
      </c>
      <c r="E1130" s="1">
        <v>170784.15</v>
      </c>
      <c r="F1130" s="1">
        <v>733760</v>
      </c>
      <c r="G1130">
        <v>0.23275205789358919</v>
      </c>
    </row>
    <row r="1131" spans="1:7" x14ac:dyDescent="0.35">
      <c r="A1131">
        <v>2019</v>
      </c>
      <c r="B1131" s="1" t="s">
        <v>92</v>
      </c>
      <c r="C1131" s="1" t="s">
        <v>93</v>
      </c>
      <c r="D1131" s="1" t="s">
        <v>8</v>
      </c>
      <c r="E1131" s="1">
        <v>77879.25</v>
      </c>
      <c r="F1131" s="1">
        <v>733760</v>
      </c>
      <c r="G1131">
        <v>0.10613722470562582</v>
      </c>
    </row>
    <row r="1132" spans="1:7" x14ac:dyDescent="0.35">
      <c r="A1132">
        <v>2019</v>
      </c>
      <c r="B1132" s="1" t="s">
        <v>92</v>
      </c>
      <c r="C1132" s="1" t="s">
        <v>93</v>
      </c>
      <c r="D1132" s="1" t="s">
        <v>9</v>
      </c>
      <c r="E1132" s="1">
        <v>99383.44</v>
      </c>
      <c r="F1132" s="1">
        <v>733760</v>
      </c>
      <c r="G1132">
        <v>0.13544406890536415</v>
      </c>
    </row>
    <row r="1133" spans="1:7" x14ac:dyDescent="0.35">
      <c r="A1133">
        <v>2019</v>
      </c>
      <c r="B1133" s="1" t="s">
        <v>94</v>
      </c>
      <c r="C1133" s="1" t="s">
        <v>95</v>
      </c>
      <c r="D1133" s="1" t="s">
        <v>7</v>
      </c>
      <c r="E1133" s="1">
        <v>36622.300000000003</v>
      </c>
      <c r="F1133" s="1">
        <v>184083</v>
      </c>
      <c r="G1133">
        <v>0.19894449786237731</v>
      </c>
    </row>
    <row r="1134" spans="1:7" x14ac:dyDescent="0.35">
      <c r="A1134">
        <v>2019</v>
      </c>
      <c r="B1134" s="1" t="s">
        <v>94</v>
      </c>
      <c r="C1134" s="1" t="s">
        <v>95</v>
      </c>
      <c r="D1134" s="1" t="s">
        <v>8</v>
      </c>
      <c r="E1134" s="1">
        <v>16799.62</v>
      </c>
      <c r="F1134" s="1">
        <v>184083</v>
      </c>
      <c r="G1134">
        <v>9.1261115909671175E-2</v>
      </c>
    </row>
    <row r="1135" spans="1:7" x14ac:dyDescent="0.35">
      <c r="A1135">
        <v>2019</v>
      </c>
      <c r="B1135" s="1" t="s">
        <v>94</v>
      </c>
      <c r="C1135" s="1" t="s">
        <v>95</v>
      </c>
      <c r="D1135" s="1" t="s">
        <v>9</v>
      </c>
      <c r="E1135" s="1">
        <v>31584.73</v>
      </c>
      <c r="F1135" s="1">
        <v>184083</v>
      </c>
      <c r="G1135">
        <v>0.1715787443707458</v>
      </c>
    </row>
    <row r="1136" spans="1:7" x14ac:dyDescent="0.35">
      <c r="A1136">
        <v>2019</v>
      </c>
      <c r="B1136" s="1" t="s">
        <v>54</v>
      </c>
      <c r="C1136" s="1" t="s">
        <v>55</v>
      </c>
      <c r="D1136" s="1" t="s">
        <v>7</v>
      </c>
      <c r="E1136" s="1">
        <v>143355.74</v>
      </c>
      <c r="F1136" s="1">
        <v>759684</v>
      </c>
      <c r="G1136">
        <v>0.18870443500192183</v>
      </c>
    </row>
    <row r="1137" spans="1:7" x14ac:dyDescent="0.35">
      <c r="A1137">
        <v>2019</v>
      </c>
      <c r="B1137" s="1" t="s">
        <v>54</v>
      </c>
      <c r="C1137" s="1" t="s">
        <v>55</v>
      </c>
      <c r="D1137" s="1" t="s">
        <v>8</v>
      </c>
      <c r="E1137" s="1">
        <v>101215.32</v>
      </c>
      <c r="F1137" s="1">
        <v>759684</v>
      </c>
      <c r="G1137">
        <v>0.13323344969750581</v>
      </c>
    </row>
    <row r="1138" spans="1:7" x14ac:dyDescent="0.35">
      <c r="A1138">
        <v>2019</v>
      </c>
      <c r="B1138" s="1" t="s">
        <v>54</v>
      </c>
      <c r="C1138" s="1" t="s">
        <v>55</v>
      </c>
      <c r="D1138" s="1" t="s">
        <v>9</v>
      </c>
      <c r="E1138" s="1">
        <v>217787.04</v>
      </c>
      <c r="F1138" s="1">
        <v>759684</v>
      </c>
      <c r="G1138">
        <v>0.28668109371791428</v>
      </c>
    </row>
    <row r="1139" spans="1:7" x14ac:dyDescent="0.35">
      <c r="A1139">
        <v>2013</v>
      </c>
      <c r="B1139" s="1" t="s">
        <v>88</v>
      </c>
      <c r="C1139" s="1" t="s">
        <v>89</v>
      </c>
      <c r="D1139" s="1" t="s">
        <v>7</v>
      </c>
      <c r="E1139" s="1">
        <v>141085.87</v>
      </c>
      <c r="F1139" s="1">
        <v>569999</v>
      </c>
      <c r="G1139">
        <v>0.2475195044201832</v>
      </c>
    </row>
    <row r="1140" spans="1:7" x14ac:dyDescent="0.35">
      <c r="A1140">
        <v>2013</v>
      </c>
      <c r="B1140" s="1" t="s">
        <v>88</v>
      </c>
      <c r="C1140" s="1" t="s">
        <v>89</v>
      </c>
      <c r="D1140" s="1" t="s">
        <v>8</v>
      </c>
      <c r="E1140" s="1">
        <v>59722.37</v>
      </c>
      <c r="F1140" s="1">
        <v>569999</v>
      </c>
      <c r="G1140">
        <v>0.10477627153731849</v>
      </c>
    </row>
    <row r="1141" spans="1:7" x14ac:dyDescent="0.35">
      <c r="A1141">
        <v>2013</v>
      </c>
      <c r="B1141" s="1" t="s">
        <v>88</v>
      </c>
      <c r="C1141" s="1" t="s">
        <v>89</v>
      </c>
      <c r="D1141" s="1" t="s">
        <v>9</v>
      </c>
      <c r="E1141" s="1">
        <v>73075.100000000006</v>
      </c>
      <c r="F1141" s="1">
        <v>569999</v>
      </c>
      <c r="G1141">
        <v>0.12820215474062235</v>
      </c>
    </row>
    <row r="1142" spans="1:7" x14ac:dyDescent="0.35">
      <c r="A1142">
        <v>2019</v>
      </c>
      <c r="B1142" s="1" t="s">
        <v>96</v>
      </c>
      <c r="C1142" s="1" t="s">
        <v>97</v>
      </c>
      <c r="D1142" s="1" t="s">
        <v>7</v>
      </c>
      <c r="E1142" s="1">
        <v>216933.18</v>
      </c>
      <c r="F1142" s="1">
        <v>1046543</v>
      </c>
      <c r="G1142">
        <v>0.20728549137493632</v>
      </c>
    </row>
    <row r="1143" spans="1:7" x14ac:dyDescent="0.35">
      <c r="A1143">
        <v>2019</v>
      </c>
      <c r="B1143" s="1" t="s">
        <v>96</v>
      </c>
      <c r="C1143" s="1" t="s">
        <v>97</v>
      </c>
      <c r="D1143" s="1" t="s">
        <v>8</v>
      </c>
      <c r="E1143" s="1">
        <v>126769.36</v>
      </c>
      <c r="F1143" s="1">
        <v>1046543</v>
      </c>
      <c r="G1143">
        <v>0.12113153496798507</v>
      </c>
    </row>
    <row r="1144" spans="1:7" x14ac:dyDescent="0.35">
      <c r="A1144">
        <v>2019</v>
      </c>
      <c r="B1144" s="1" t="s">
        <v>96</v>
      </c>
      <c r="C1144" s="1" t="s">
        <v>97</v>
      </c>
      <c r="D1144" s="1" t="s">
        <v>9</v>
      </c>
      <c r="E1144" s="1">
        <v>186273.36</v>
      </c>
      <c r="F1144" s="1">
        <v>1046543</v>
      </c>
      <c r="G1144">
        <v>0.17798920827906736</v>
      </c>
    </row>
    <row r="1145" spans="1:7" x14ac:dyDescent="0.35">
      <c r="A1145">
        <v>2019</v>
      </c>
      <c r="B1145" s="1" t="s">
        <v>38</v>
      </c>
      <c r="C1145" s="1" t="s">
        <v>39</v>
      </c>
      <c r="D1145" s="1" t="s">
        <v>7</v>
      </c>
      <c r="E1145" s="1">
        <v>39174.28</v>
      </c>
      <c r="F1145" s="1">
        <v>204452</v>
      </c>
      <c r="G1145">
        <v>0.19160624498659831</v>
      </c>
    </row>
    <row r="1146" spans="1:7" x14ac:dyDescent="0.35">
      <c r="A1146">
        <v>2019</v>
      </c>
      <c r="B1146" s="1" t="s">
        <v>38</v>
      </c>
      <c r="C1146" s="1" t="s">
        <v>39</v>
      </c>
      <c r="D1146" s="1" t="s">
        <v>8</v>
      </c>
      <c r="E1146" s="1">
        <v>25340.42</v>
      </c>
      <c r="F1146" s="1">
        <v>204452</v>
      </c>
      <c r="G1146">
        <v>0.12394312601490813</v>
      </c>
    </row>
    <row r="1147" spans="1:7" x14ac:dyDescent="0.35">
      <c r="A1147">
        <v>2019</v>
      </c>
      <c r="B1147" s="1" t="s">
        <v>38</v>
      </c>
      <c r="C1147" s="1" t="s">
        <v>39</v>
      </c>
      <c r="D1147" s="1" t="s">
        <v>9</v>
      </c>
      <c r="E1147" s="1">
        <v>39145.53</v>
      </c>
      <c r="F1147" s="1">
        <v>204452</v>
      </c>
      <c r="G1147">
        <v>0.19146562518341712</v>
      </c>
    </row>
    <row r="1148" spans="1:7" x14ac:dyDescent="0.35">
      <c r="A1148">
        <v>2019</v>
      </c>
      <c r="B1148" s="1" t="s">
        <v>106</v>
      </c>
      <c r="C1148" s="1" t="s">
        <v>107</v>
      </c>
      <c r="D1148" s="1" t="s">
        <v>7</v>
      </c>
      <c r="E1148" s="1">
        <v>614011.63</v>
      </c>
      <c r="F1148" s="1">
        <v>2608346</v>
      </c>
      <c r="G1148">
        <v>0.23540267663875883</v>
      </c>
    </row>
    <row r="1149" spans="1:7" x14ac:dyDescent="0.35">
      <c r="A1149">
        <v>2019</v>
      </c>
      <c r="B1149" s="1" t="s">
        <v>106</v>
      </c>
      <c r="C1149" s="1" t="s">
        <v>107</v>
      </c>
      <c r="D1149" s="1" t="s">
        <v>8</v>
      </c>
      <c r="E1149" s="1">
        <v>392344.18</v>
      </c>
      <c r="F1149" s="1">
        <v>2608346</v>
      </c>
      <c r="G1149">
        <v>0.15041876346159597</v>
      </c>
    </row>
    <row r="1150" spans="1:7" x14ac:dyDescent="0.35">
      <c r="A1150">
        <v>2019</v>
      </c>
      <c r="B1150" s="1" t="s">
        <v>106</v>
      </c>
      <c r="C1150" s="1" t="s">
        <v>107</v>
      </c>
      <c r="D1150" s="1" t="s">
        <v>9</v>
      </c>
      <c r="E1150" s="1">
        <v>324056.53999999998</v>
      </c>
      <c r="F1150" s="1">
        <v>2608346</v>
      </c>
      <c r="G1150">
        <v>0.12423832574359382</v>
      </c>
    </row>
    <row r="1151" spans="1:7" x14ac:dyDescent="0.35">
      <c r="A1151">
        <v>2013</v>
      </c>
      <c r="B1151" s="1" t="s">
        <v>90</v>
      </c>
      <c r="C1151" s="1" t="s">
        <v>91</v>
      </c>
      <c r="D1151" s="1" t="s">
        <v>7</v>
      </c>
      <c r="E1151" s="1">
        <v>44721.81</v>
      </c>
      <c r="F1151" s="1">
        <v>181521</v>
      </c>
      <c r="G1151">
        <v>0.24637265109822004</v>
      </c>
    </row>
    <row r="1152" spans="1:7" x14ac:dyDescent="0.35">
      <c r="A1152">
        <v>2013</v>
      </c>
      <c r="B1152" s="1" t="s">
        <v>90</v>
      </c>
      <c r="C1152" s="1" t="s">
        <v>91</v>
      </c>
      <c r="D1152" s="1" t="s">
        <v>8</v>
      </c>
      <c r="E1152" s="1">
        <v>15284.15</v>
      </c>
      <c r="F1152" s="1">
        <v>181521</v>
      </c>
      <c r="G1152">
        <v>8.4200450636565463E-2</v>
      </c>
    </row>
    <row r="1153" spans="1:7" x14ac:dyDescent="0.35">
      <c r="A1153">
        <v>2013</v>
      </c>
      <c r="B1153" s="1" t="s">
        <v>90</v>
      </c>
      <c r="C1153" s="1" t="s">
        <v>91</v>
      </c>
      <c r="D1153" s="1" t="s">
        <v>9</v>
      </c>
      <c r="E1153" s="1">
        <v>27698.57</v>
      </c>
      <c r="F1153" s="1">
        <v>181521</v>
      </c>
      <c r="G1153">
        <v>0.1525915458817437</v>
      </c>
    </row>
    <row r="1154" spans="1:7" x14ac:dyDescent="0.35">
      <c r="A1154">
        <v>2019</v>
      </c>
      <c r="B1154" s="1" t="s">
        <v>108</v>
      </c>
      <c r="C1154" s="1" t="s">
        <v>109</v>
      </c>
      <c r="D1154" s="1" t="s">
        <v>7</v>
      </c>
      <c r="E1154" s="1">
        <v>190978.19</v>
      </c>
      <c r="F1154" s="1">
        <v>829419</v>
      </c>
      <c r="G1154">
        <v>0.23025538358778858</v>
      </c>
    </row>
    <row r="1155" spans="1:7" x14ac:dyDescent="0.35">
      <c r="A1155">
        <v>2019</v>
      </c>
      <c r="B1155" s="1" t="s">
        <v>108</v>
      </c>
      <c r="C1155" s="1" t="s">
        <v>109</v>
      </c>
      <c r="D1155" s="1" t="s">
        <v>8</v>
      </c>
      <c r="E1155" s="1">
        <v>127883.71</v>
      </c>
      <c r="F1155" s="1">
        <v>829419</v>
      </c>
      <c r="G1155">
        <v>0.15418468831796717</v>
      </c>
    </row>
    <row r="1156" spans="1:7" x14ac:dyDescent="0.35">
      <c r="A1156">
        <v>2019</v>
      </c>
      <c r="B1156" s="1" t="s">
        <v>108</v>
      </c>
      <c r="C1156" s="1" t="s">
        <v>109</v>
      </c>
      <c r="D1156" s="1" t="s">
        <v>9</v>
      </c>
      <c r="E1156" s="1">
        <v>145083.92000000001</v>
      </c>
      <c r="F1156" s="1">
        <v>829419</v>
      </c>
      <c r="G1156">
        <v>0.1749223492589391</v>
      </c>
    </row>
    <row r="1157" spans="1:7" x14ac:dyDescent="0.35">
      <c r="A1157">
        <v>2019</v>
      </c>
      <c r="B1157" s="1" t="s">
        <v>136</v>
      </c>
      <c r="C1157" s="1" t="s">
        <v>137</v>
      </c>
      <c r="D1157" s="1" t="s">
        <v>7</v>
      </c>
      <c r="E1157" s="1">
        <v>57762.49</v>
      </c>
      <c r="F1157" s="1">
        <v>279942</v>
      </c>
      <c r="G1157">
        <v>0.2063373484507505</v>
      </c>
    </row>
    <row r="1158" spans="1:7" x14ac:dyDescent="0.35">
      <c r="A1158">
        <v>2019</v>
      </c>
      <c r="B1158" s="1" t="s">
        <v>136</v>
      </c>
      <c r="C1158" s="1" t="s">
        <v>137</v>
      </c>
      <c r="D1158" s="1" t="s">
        <v>8</v>
      </c>
      <c r="E1158" s="1">
        <v>24175.84</v>
      </c>
      <c r="F1158" s="1">
        <v>279942</v>
      </c>
      <c r="G1158">
        <v>8.636017460759729E-2</v>
      </c>
    </row>
    <row r="1159" spans="1:7" x14ac:dyDescent="0.35">
      <c r="A1159">
        <v>2019</v>
      </c>
      <c r="B1159" s="1" t="s">
        <v>136</v>
      </c>
      <c r="C1159" s="1" t="s">
        <v>137</v>
      </c>
      <c r="D1159" s="1" t="s">
        <v>9</v>
      </c>
      <c r="E1159" s="1">
        <v>73450.009999999995</v>
      </c>
      <c r="F1159" s="1">
        <v>279942</v>
      </c>
      <c r="G1159">
        <v>0.26237581356138057</v>
      </c>
    </row>
    <row r="1160" spans="1:7" x14ac:dyDescent="0.35">
      <c r="A1160">
        <v>2019</v>
      </c>
      <c r="B1160" s="1" t="s">
        <v>110</v>
      </c>
      <c r="C1160" s="1" t="s">
        <v>111</v>
      </c>
      <c r="D1160" s="1" t="s">
        <v>7</v>
      </c>
      <c r="E1160" s="1">
        <v>377902.8</v>
      </c>
      <c r="F1160" s="1">
        <v>1465278</v>
      </c>
      <c r="G1160">
        <v>0.25790518932243572</v>
      </c>
    </row>
    <row r="1161" spans="1:7" x14ac:dyDescent="0.35">
      <c r="A1161">
        <v>2019</v>
      </c>
      <c r="B1161" s="1" t="s">
        <v>110</v>
      </c>
      <c r="C1161" s="1" t="s">
        <v>111</v>
      </c>
      <c r="D1161" s="1" t="s">
        <v>8</v>
      </c>
      <c r="E1161" s="1">
        <v>215701.87</v>
      </c>
      <c r="F1161" s="1">
        <v>1465278</v>
      </c>
      <c r="G1161">
        <v>0.14720883682140862</v>
      </c>
    </row>
    <row r="1162" spans="1:7" x14ac:dyDescent="0.35">
      <c r="A1162">
        <v>2019</v>
      </c>
      <c r="B1162" s="1" t="s">
        <v>110</v>
      </c>
      <c r="C1162" s="1" t="s">
        <v>111</v>
      </c>
      <c r="D1162" s="1" t="s">
        <v>9</v>
      </c>
      <c r="E1162" s="1">
        <v>216269.29</v>
      </c>
      <c r="F1162" s="1">
        <v>1465278</v>
      </c>
      <c r="G1162">
        <v>0.14759608074372235</v>
      </c>
    </row>
    <row r="1163" spans="1:7" x14ac:dyDescent="0.35">
      <c r="A1163">
        <v>2013</v>
      </c>
      <c r="B1163" s="1" t="s">
        <v>92</v>
      </c>
      <c r="C1163" s="1" t="s">
        <v>93</v>
      </c>
      <c r="D1163" s="1" t="s">
        <v>7</v>
      </c>
      <c r="E1163" s="1">
        <v>192676.14</v>
      </c>
      <c r="F1163" s="1">
        <v>731004</v>
      </c>
      <c r="G1163">
        <v>0.26357740860515128</v>
      </c>
    </row>
    <row r="1164" spans="1:7" x14ac:dyDescent="0.35">
      <c r="A1164">
        <v>2013</v>
      </c>
      <c r="B1164" s="1" t="s">
        <v>92</v>
      </c>
      <c r="C1164" s="1" t="s">
        <v>93</v>
      </c>
      <c r="D1164" s="1" t="s">
        <v>8</v>
      </c>
      <c r="E1164" s="1">
        <v>75621.67</v>
      </c>
      <c r="F1164" s="1">
        <v>731004</v>
      </c>
      <c r="G1164">
        <v>0.10344905089438634</v>
      </c>
    </row>
    <row r="1165" spans="1:7" x14ac:dyDescent="0.35">
      <c r="A1165">
        <v>2013</v>
      </c>
      <c r="B1165" s="1" t="s">
        <v>92</v>
      </c>
      <c r="C1165" s="1" t="s">
        <v>93</v>
      </c>
      <c r="D1165" s="1" t="s">
        <v>9</v>
      </c>
      <c r="E1165" s="1">
        <v>80675.61</v>
      </c>
      <c r="F1165" s="1">
        <v>731004</v>
      </c>
      <c r="G1165">
        <v>0.11036274767306335</v>
      </c>
    </row>
    <row r="1166" spans="1:7" x14ac:dyDescent="0.35">
      <c r="A1166">
        <v>2019</v>
      </c>
      <c r="B1166" s="1" t="s">
        <v>24</v>
      </c>
      <c r="C1166" s="1" t="s">
        <v>25</v>
      </c>
      <c r="D1166" s="1" t="s">
        <v>7</v>
      </c>
      <c r="E1166" s="1">
        <v>132985.04</v>
      </c>
      <c r="F1166" s="1">
        <v>662152</v>
      </c>
      <c r="G1166">
        <v>0.20083763244693062</v>
      </c>
    </row>
    <row r="1167" spans="1:7" x14ac:dyDescent="0.35">
      <c r="A1167">
        <v>2019</v>
      </c>
      <c r="B1167" s="1" t="s">
        <v>24</v>
      </c>
      <c r="C1167" s="1" t="s">
        <v>25</v>
      </c>
      <c r="D1167" s="1" t="s">
        <v>8</v>
      </c>
      <c r="E1167" s="1">
        <v>72007.64</v>
      </c>
      <c r="F1167" s="1">
        <v>662152</v>
      </c>
      <c r="G1167">
        <v>0.10874790078410999</v>
      </c>
    </row>
    <row r="1168" spans="1:7" x14ac:dyDescent="0.35">
      <c r="A1168">
        <v>2019</v>
      </c>
      <c r="B1168" s="1" t="s">
        <v>24</v>
      </c>
      <c r="C1168" s="1" t="s">
        <v>25</v>
      </c>
      <c r="D1168" s="1" t="s">
        <v>9</v>
      </c>
      <c r="E1168" s="1">
        <v>98093.09</v>
      </c>
      <c r="F1168" s="1">
        <v>662152</v>
      </c>
      <c r="G1168">
        <v>0.14814285843733765</v>
      </c>
    </row>
    <row r="1169" spans="1:7" x14ac:dyDescent="0.35">
      <c r="A1169">
        <v>2019</v>
      </c>
      <c r="B1169" s="1" t="s">
        <v>156</v>
      </c>
      <c r="C1169" s="1" t="s">
        <v>157</v>
      </c>
      <c r="D1169" s="1" t="s">
        <v>7</v>
      </c>
      <c r="E1169" s="1">
        <v>164519.32999999999</v>
      </c>
      <c r="F1169" s="1">
        <v>682621</v>
      </c>
      <c r="G1169">
        <v>0.24101123463825458</v>
      </c>
    </row>
    <row r="1170" spans="1:7" x14ac:dyDescent="0.35">
      <c r="A1170">
        <v>2019</v>
      </c>
      <c r="B1170" s="1" t="s">
        <v>156</v>
      </c>
      <c r="C1170" s="1" t="s">
        <v>157</v>
      </c>
      <c r="D1170" s="1" t="s">
        <v>8</v>
      </c>
      <c r="E1170" s="1">
        <v>76241.94</v>
      </c>
      <c r="F1170" s="1">
        <v>682621</v>
      </c>
      <c r="G1170">
        <v>0.11169000074712029</v>
      </c>
    </row>
    <row r="1171" spans="1:7" x14ac:dyDescent="0.35">
      <c r="A1171">
        <v>2019</v>
      </c>
      <c r="B1171" s="1" t="s">
        <v>156</v>
      </c>
      <c r="C1171" s="1" t="s">
        <v>157</v>
      </c>
      <c r="D1171" s="1" t="s">
        <v>9</v>
      </c>
      <c r="E1171" s="1">
        <v>133765.29999999999</v>
      </c>
      <c r="F1171" s="1">
        <v>682621</v>
      </c>
      <c r="G1171">
        <v>0.19595837221532883</v>
      </c>
    </row>
    <row r="1172" spans="1:7" x14ac:dyDescent="0.35">
      <c r="A1172">
        <v>2019</v>
      </c>
      <c r="B1172" s="1" t="s">
        <v>182</v>
      </c>
      <c r="C1172" s="1" t="s">
        <v>183</v>
      </c>
      <c r="D1172" s="1" t="s">
        <v>7</v>
      </c>
      <c r="E1172" s="1">
        <v>56576.93</v>
      </c>
      <c r="F1172" s="1">
        <v>229567</v>
      </c>
      <c r="G1172">
        <v>0.24645062225842565</v>
      </c>
    </row>
    <row r="1173" spans="1:7" x14ac:dyDescent="0.35">
      <c r="A1173">
        <v>2019</v>
      </c>
      <c r="B1173" s="1" t="s">
        <v>182</v>
      </c>
      <c r="C1173" s="1" t="s">
        <v>183</v>
      </c>
      <c r="D1173" s="1" t="s">
        <v>8</v>
      </c>
      <c r="E1173" s="1">
        <v>22744.61</v>
      </c>
      <c r="F1173" s="1">
        <v>229567</v>
      </c>
      <c r="G1173">
        <v>9.9076130280048968E-2</v>
      </c>
    </row>
    <row r="1174" spans="1:7" x14ac:dyDescent="0.35">
      <c r="A1174">
        <v>2019</v>
      </c>
      <c r="B1174" s="1" t="s">
        <v>182</v>
      </c>
      <c r="C1174" s="1" t="s">
        <v>183</v>
      </c>
      <c r="D1174" s="1" t="s">
        <v>9</v>
      </c>
      <c r="E1174" s="1">
        <v>50185.74</v>
      </c>
      <c r="F1174" s="1">
        <v>229567</v>
      </c>
      <c r="G1174">
        <v>0.21861042745690801</v>
      </c>
    </row>
    <row r="1175" spans="1:7" x14ac:dyDescent="0.35">
      <c r="A1175">
        <v>2013</v>
      </c>
      <c r="B1175" s="1" t="s">
        <v>94</v>
      </c>
      <c r="C1175" s="1" t="s">
        <v>95</v>
      </c>
      <c r="D1175" s="1" t="s">
        <v>7</v>
      </c>
      <c r="E1175" s="1">
        <v>46357.1</v>
      </c>
      <c r="F1175" s="1">
        <v>192094</v>
      </c>
      <c r="G1175">
        <v>0.24132508042937312</v>
      </c>
    </row>
    <row r="1176" spans="1:7" x14ac:dyDescent="0.35">
      <c r="A1176">
        <v>2013</v>
      </c>
      <c r="B1176" s="1" t="s">
        <v>94</v>
      </c>
      <c r="C1176" s="1" t="s">
        <v>95</v>
      </c>
      <c r="D1176" s="1" t="s">
        <v>8</v>
      </c>
      <c r="E1176" s="1">
        <v>15301.12</v>
      </c>
      <c r="F1176" s="1">
        <v>192094</v>
      </c>
      <c r="G1176">
        <v>7.9654335898049919E-2</v>
      </c>
    </row>
    <row r="1177" spans="1:7" x14ac:dyDescent="0.35">
      <c r="A1177">
        <v>2013</v>
      </c>
      <c r="B1177" s="1" t="s">
        <v>94</v>
      </c>
      <c r="C1177" s="1" t="s">
        <v>95</v>
      </c>
      <c r="D1177" s="1" t="s">
        <v>9</v>
      </c>
      <c r="E1177" s="1">
        <v>25754.14</v>
      </c>
      <c r="F1177" s="1">
        <v>192094</v>
      </c>
      <c r="G1177">
        <v>0.13407050714754234</v>
      </c>
    </row>
    <row r="1178" spans="1:7" x14ac:dyDescent="0.35">
      <c r="A1178">
        <v>2019</v>
      </c>
      <c r="B1178" s="1" t="s">
        <v>184</v>
      </c>
      <c r="C1178" s="1" t="s">
        <v>185</v>
      </c>
      <c r="D1178" s="1" t="s">
        <v>7</v>
      </c>
      <c r="E1178" s="1">
        <v>160149.78</v>
      </c>
      <c r="F1178" s="1">
        <v>479979</v>
      </c>
      <c r="G1178">
        <v>0.33365997262380231</v>
      </c>
    </row>
    <row r="1179" spans="1:7" x14ac:dyDescent="0.35">
      <c r="A1179">
        <v>2019</v>
      </c>
      <c r="B1179" s="1" t="s">
        <v>184</v>
      </c>
      <c r="C1179" s="1" t="s">
        <v>185</v>
      </c>
      <c r="D1179" s="1" t="s">
        <v>8</v>
      </c>
      <c r="E1179" s="1">
        <v>49075.44</v>
      </c>
      <c r="F1179" s="1">
        <v>479979</v>
      </c>
      <c r="G1179">
        <v>0.10224497321757828</v>
      </c>
    </row>
    <row r="1180" spans="1:7" x14ac:dyDescent="0.35">
      <c r="A1180">
        <v>2019</v>
      </c>
      <c r="B1180" s="1" t="s">
        <v>184</v>
      </c>
      <c r="C1180" s="1" t="s">
        <v>185</v>
      </c>
      <c r="D1180" s="1" t="s">
        <v>9</v>
      </c>
      <c r="E1180" s="1">
        <v>98070.81</v>
      </c>
      <c r="F1180" s="1">
        <v>479979</v>
      </c>
      <c r="G1180">
        <v>0.20432312663679036</v>
      </c>
    </row>
    <row r="1181" spans="1:7" x14ac:dyDescent="0.35">
      <c r="A1181">
        <v>2019</v>
      </c>
      <c r="B1181" s="1" t="s">
        <v>98</v>
      </c>
      <c r="C1181" s="1" t="s">
        <v>99</v>
      </c>
      <c r="D1181" s="1" t="s">
        <v>7</v>
      </c>
      <c r="E1181" s="1">
        <v>220135.25</v>
      </c>
      <c r="F1181" s="1">
        <v>1140057</v>
      </c>
      <c r="G1181">
        <v>0.19309144191913211</v>
      </c>
    </row>
    <row r="1182" spans="1:7" x14ac:dyDescent="0.35">
      <c r="A1182">
        <v>2019</v>
      </c>
      <c r="B1182" s="1" t="s">
        <v>98</v>
      </c>
      <c r="C1182" s="1" t="s">
        <v>99</v>
      </c>
      <c r="D1182" s="1" t="s">
        <v>8</v>
      </c>
      <c r="E1182" s="1">
        <v>118893.01</v>
      </c>
      <c r="F1182" s="1">
        <v>1140057</v>
      </c>
      <c r="G1182">
        <v>0.10428689969010321</v>
      </c>
    </row>
    <row r="1183" spans="1:7" x14ac:dyDescent="0.35">
      <c r="A1183">
        <v>2019</v>
      </c>
      <c r="B1183" s="1" t="s">
        <v>98</v>
      </c>
      <c r="C1183" s="1" t="s">
        <v>99</v>
      </c>
      <c r="D1183" s="1" t="s">
        <v>9</v>
      </c>
      <c r="E1183" s="1">
        <v>167356.66</v>
      </c>
      <c r="F1183" s="1">
        <v>1140057</v>
      </c>
      <c r="G1183">
        <v>0.14679674788190417</v>
      </c>
    </row>
    <row r="1184" spans="1:7" x14ac:dyDescent="0.35">
      <c r="A1184">
        <v>2019</v>
      </c>
      <c r="B1184" s="1" t="s">
        <v>100</v>
      </c>
      <c r="C1184" s="1" t="s">
        <v>101</v>
      </c>
      <c r="D1184" s="1" t="s">
        <v>7</v>
      </c>
      <c r="E1184" s="1">
        <v>136485.76000000001</v>
      </c>
      <c r="F1184" s="1">
        <v>767086</v>
      </c>
      <c r="G1184">
        <v>0.17792758569443323</v>
      </c>
    </row>
    <row r="1185" spans="1:7" x14ac:dyDescent="0.35">
      <c r="A1185">
        <v>2019</v>
      </c>
      <c r="B1185" s="1" t="s">
        <v>100</v>
      </c>
      <c r="C1185" s="1" t="s">
        <v>101</v>
      </c>
      <c r="D1185" s="1" t="s">
        <v>8</v>
      </c>
      <c r="E1185" s="1">
        <v>135636.59</v>
      </c>
      <c r="F1185" s="1">
        <v>767086</v>
      </c>
      <c r="G1185">
        <v>0.17682057813595867</v>
      </c>
    </row>
    <row r="1186" spans="1:7" x14ac:dyDescent="0.35">
      <c r="A1186">
        <v>2019</v>
      </c>
      <c r="B1186" s="1" t="s">
        <v>100</v>
      </c>
      <c r="C1186" s="1" t="s">
        <v>101</v>
      </c>
      <c r="D1186" s="1" t="s">
        <v>9</v>
      </c>
      <c r="E1186" s="1">
        <v>132690.12</v>
      </c>
      <c r="F1186" s="1">
        <v>767086</v>
      </c>
      <c r="G1186">
        <v>0.17297945732290773</v>
      </c>
    </row>
    <row r="1187" spans="1:7" x14ac:dyDescent="0.35">
      <c r="A1187">
        <v>2013</v>
      </c>
      <c r="B1187" s="1" t="s">
        <v>96</v>
      </c>
      <c r="C1187" s="1" t="s">
        <v>97</v>
      </c>
      <c r="D1187" s="1" t="s">
        <v>7</v>
      </c>
      <c r="E1187" s="1">
        <v>261883.76</v>
      </c>
      <c r="F1187" s="1">
        <v>1046873</v>
      </c>
      <c r="G1187">
        <v>0.25015809940651829</v>
      </c>
    </row>
    <row r="1188" spans="1:7" x14ac:dyDescent="0.35">
      <c r="A1188">
        <v>2013</v>
      </c>
      <c r="B1188" s="1" t="s">
        <v>96</v>
      </c>
      <c r="C1188" s="1" t="s">
        <v>97</v>
      </c>
      <c r="D1188" s="1" t="s">
        <v>8</v>
      </c>
      <c r="E1188" s="1">
        <v>119799.18</v>
      </c>
      <c r="F1188" s="1">
        <v>1046873</v>
      </c>
      <c r="G1188">
        <v>0.11443525623451936</v>
      </c>
    </row>
    <row r="1189" spans="1:7" x14ac:dyDescent="0.35">
      <c r="A1189">
        <v>2013</v>
      </c>
      <c r="B1189" s="1" t="s">
        <v>96</v>
      </c>
      <c r="C1189" s="1" t="s">
        <v>97</v>
      </c>
      <c r="D1189" s="1" t="s">
        <v>9</v>
      </c>
      <c r="E1189" s="1">
        <v>155781.81</v>
      </c>
      <c r="F1189" s="1">
        <v>1046873</v>
      </c>
      <c r="G1189">
        <v>0.14880678936222444</v>
      </c>
    </row>
    <row r="1190" spans="1:7" x14ac:dyDescent="0.35">
      <c r="A1190">
        <v>2019</v>
      </c>
      <c r="B1190" s="1" t="s">
        <v>26</v>
      </c>
      <c r="C1190" s="1" t="s">
        <v>27</v>
      </c>
      <c r="D1190" s="1" t="s">
        <v>7</v>
      </c>
      <c r="E1190" s="1">
        <v>407595.84</v>
      </c>
      <c r="F1190" s="1">
        <v>1875747</v>
      </c>
      <c r="G1190">
        <v>0.21729787652599206</v>
      </c>
    </row>
    <row r="1191" spans="1:7" x14ac:dyDescent="0.35">
      <c r="A1191">
        <v>2019</v>
      </c>
      <c r="B1191" s="1" t="s">
        <v>26</v>
      </c>
      <c r="C1191" s="1" t="s">
        <v>27</v>
      </c>
      <c r="D1191" s="1" t="s">
        <v>8</v>
      </c>
      <c r="E1191" s="1">
        <v>126121.5</v>
      </c>
      <c r="F1191" s="1">
        <v>1875747</v>
      </c>
      <c r="G1191">
        <v>6.723801237586946E-2</v>
      </c>
    </row>
    <row r="1192" spans="1:7" x14ac:dyDescent="0.35">
      <c r="A1192">
        <v>2019</v>
      </c>
      <c r="B1192" s="1" t="s">
        <v>26</v>
      </c>
      <c r="C1192" s="1" t="s">
        <v>27</v>
      </c>
      <c r="D1192" s="1" t="s">
        <v>9</v>
      </c>
      <c r="E1192" s="1">
        <v>190710.06</v>
      </c>
      <c r="F1192" s="1">
        <v>1875747</v>
      </c>
      <c r="G1192">
        <v>0.1016715260640161</v>
      </c>
    </row>
    <row r="1193" spans="1:7" x14ac:dyDescent="0.35">
      <c r="A1193">
        <v>2019</v>
      </c>
      <c r="B1193" s="1" t="s">
        <v>40</v>
      </c>
      <c r="C1193" s="1" t="s">
        <v>41</v>
      </c>
      <c r="D1193" s="1" t="s">
        <v>7</v>
      </c>
      <c r="E1193" s="1">
        <v>31578.3</v>
      </c>
      <c r="F1193" s="1">
        <v>235313</v>
      </c>
      <c r="G1193">
        <v>0.13419700569029336</v>
      </c>
    </row>
    <row r="1194" spans="1:7" x14ac:dyDescent="0.35">
      <c r="A1194">
        <v>2019</v>
      </c>
      <c r="B1194" s="1" t="s">
        <v>40</v>
      </c>
      <c r="C1194" s="1" t="s">
        <v>41</v>
      </c>
      <c r="D1194" s="1" t="s">
        <v>8</v>
      </c>
      <c r="E1194" s="1">
        <v>27345.52</v>
      </c>
      <c r="F1194" s="1">
        <v>235313</v>
      </c>
      <c r="G1194">
        <v>0.11620913421697909</v>
      </c>
    </row>
    <row r="1195" spans="1:7" x14ac:dyDescent="0.35">
      <c r="A1195">
        <v>2019</v>
      </c>
      <c r="B1195" s="1" t="s">
        <v>40</v>
      </c>
      <c r="C1195" s="1" t="s">
        <v>41</v>
      </c>
      <c r="D1195" s="1" t="s">
        <v>9</v>
      </c>
      <c r="E1195" s="1">
        <v>57757.13</v>
      </c>
      <c r="F1195" s="1">
        <v>235313</v>
      </c>
      <c r="G1195">
        <v>0.24544810528955049</v>
      </c>
    </row>
    <row r="1196" spans="1:7" x14ac:dyDescent="0.35">
      <c r="A1196">
        <v>2019</v>
      </c>
      <c r="B1196" s="1" t="s">
        <v>42</v>
      </c>
      <c r="C1196" s="1" t="s">
        <v>43</v>
      </c>
      <c r="D1196" s="1" t="s">
        <v>7</v>
      </c>
      <c r="E1196" s="1">
        <v>108329.06</v>
      </c>
      <c r="F1196" s="1">
        <v>551493</v>
      </c>
      <c r="G1196">
        <v>0.19642871260378644</v>
      </c>
    </row>
    <row r="1197" spans="1:7" x14ac:dyDescent="0.35">
      <c r="A1197">
        <v>2019</v>
      </c>
      <c r="B1197" s="1" t="s">
        <v>42</v>
      </c>
      <c r="C1197" s="1" t="s">
        <v>43</v>
      </c>
      <c r="D1197" s="1" t="s">
        <v>8</v>
      </c>
      <c r="E1197" s="1">
        <v>55008.46</v>
      </c>
      <c r="F1197" s="1">
        <v>551493</v>
      </c>
      <c r="G1197">
        <v>9.974462051195572E-2</v>
      </c>
    </row>
    <row r="1198" spans="1:7" x14ac:dyDescent="0.35">
      <c r="A1198">
        <v>2019</v>
      </c>
      <c r="B1198" s="1" t="s">
        <v>42</v>
      </c>
      <c r="C1198" s="1" t="s">
        <v>43</v>
      </c>
      <c r="D1198" s="1" t="s">
        <v>9</v>
      </c>
      <c r="E1198" s="1">
        <v>110064.74</v>
      </c>
      <c r="F1198" s="1">
        <v>551493</v>
      </c>
      <c r="G1198">
        <v>0.19957595110001397</v>
      </c>
    </row>
    <row r="1199" spans="1:7" x14ac:dyDescent="0.35">
      <c r="A1199">
        <v>2013</v>
      </c>
      <c r="B1199" s="1" t="s">
        <v>98</v>
      </c>
      <c r="C1199" s="1" t="s">
        <v>99</v>
      </c>
      <c r="D1199" s="1" t="s">
        <v>7</v>
      </c>
      <c r="E1199" s="1">
        <v>235667.62</v>
      </c>
      <c r="F1199" s="1">
        <v>1109460</v>
      </c>
      <c r="G1199">
        <v>0.21241650893227335</v>
      </c>
    </row>
    <row r="1200" spans="1:7" x14ac:dyDescent="0.35">
      <c r="A1200">
        <v>2013</v>
      </c>
      <c r="B1200" s="1" t="s">
        <v>98</v>
      </c>
      <c r="C1200" s="1" t="s">
        <v>99</v>
      </c>
      <c r="D1200" s="1" t="s">
        <v>8</v>
      </c>
      <c r="E1200" s="1">
        <v>105149.13</v>
      </c>
      <c r="F1200" s="1">
        <v>1109460</v>
      </c>
      <c r="G1200">
        <v>9.4775052728354334E-2</v>
      </c>
    </row>
    <row r="1201" spans="1:7" x14ac:dyDescent="0.35">
      <c r="A1201">
        <v>2013</v>
      </c>
      <c r="B1201" s="1" t="s">
        <v>98</v>
      </c>
      <c r="C1201" s="1" t="s">
        <v>99</v>
      </c>
      <c r="D1201" s="1" t="s">
        <v>9</v>
      </c>
      <c r="E1201" s="1">
        <v>164348.4</v>
      </c>
      <c r="F1201" s="1">
        <v>1109460</v>
      </c>
      <c r="G1201">
        <v>0.14813368665837434</v>
      </c>
    </row>
    <row r="1202" spans="1:7" x14ac:dyDescent="0.35">
      <c r="A1202">
        <v>2019</v>
      </c>
      <c r="B1202" s="1" t="s">
        <v>196</v>
      </c>
      <c r="C1202" s="1" t="s">
        <v>197</v>
      </c>
      <c r="D1202" s="1" t="s">
        <v>7</v>
      </c>
      <c r="E1202" s="1">
        <v>98170.98</v>
      </c>
      <c r="F1202" s="1">
        <v>566412</v>
      </c>
      <c r="G1202">
        <v>0.17332079828817185</v>
      </c>
    </row>
    <row r="1203" spans="1:7" x14ac:dyDescent="0.35">
      <c r="A1203">
        <v>2019</v>
      </c>
      <c r="B1203" s="1" t="s">
        <v>196</v>
      </c>
      <c r="C1203" s="1" t="s">
        <v>197</v>
      </c>
      <c r="D1203" s="1" t="s">
        <v>8</v>
      </c>
      <c r="E1203" s="1">
        <v>60210.15</v>
      </c>
      <c r="F1203" s="1">
        <v>566412</v>
      </c>
      <c r="G1203">
        <v>0.10630097879282219</v>
      </c>
    </row>
    <row r="1204" spans="1:7" x14ac:dyDescent="0.35">
      <c r="A1204">
        <v>2019</v>
      </c>
      <c r="B1204" s="1" t="s">
        <v>196</v>
      </c>
      <c r="C1204" s="1" t="s">
        <v>197</v>
      </c>
      <c r="D1204" s="1" t="s">
        <v>9</v>
      </c>
      <c r="E1204" s="1">
        <v>112438.69</v>
      </c>
      <c r="F1204" s="1">
        <v>566412</v>
      </c>
      <c r="G1204">
        <v>0.19851043056997381</v>
      </c>
    </row>
    <row r="1205" spans="1:7" x14ac:dyDescent="0.35">
      <c r="A1205">
        <v>2019</v>
      </c>
      <c r="B1205" s="1" t="s">
        <v>28</v>
      </c>
      <c r="C1205" s="1" t="s">
        <v>29</v>
      </c>
      <c r="D1205" s="1" t="s">
        <v>7</v>
      </c>
      <c r="E1205" s="1">
        <v>128646.84</v>
      </c>
      <c r="F1205" s="1">
        <v>436434</v>
      </c>
      <c r="G1205">
        <v>0.29476814363683856</v>
      </c>
    </row>
    <row r="1206" spans="1:7" x14ac:dyDescent="0.35">
      <c r="A1206">
        <v>2019</v>
      </c>
      <c r="B1206" s="1" t="s">
        <v>28</v>
      </c>
      <c r="C1206" s="1" t="s">
        <v>29</v>
      </c>
      <c r="D1206" s="1" t="s">
        <v>8</v>
      </c>
      <c r="E1206" s="1">
        <v>51806.41</v>
      </c>
      <c r="F1206" s="1">
        <v>436434</v>
      </c>
      <c r="G1206">
        <v>0.11870388191570777</v>
      </c>
    </row>
    <row r="1207" spans="1:7" x14ac:dyDescent="0.35">
      <c r="A1207">
        <v>2019</v>
      </c>
      <c r="B1207" s="1" t="s">
        <v>28</v>
      </c>
      <c r="C1207" s="1" t="s">
        <v>29</v>
      </c>
      <c r="D1207" s="1" t="s">
        <v>9</v>
      </c>
      <c r="E1207" s="1">
        <v>95544.83</v>
      </c>
      <c r="F1207" s="1">
        <v>436434</v>
      </c>
      <c r="G1207">
        <v>0.2189216009751761</v>
      </c>
    </row>
    <row r="1208" spans="1:7" x14ac:dyDescent="0.35">
      <c r="A1208">
        <v>2019</v>
      </c>
      <c r="B1208" s="1" t="s">
        <v>30</v>
      </c>
      <c r="C1208" s="1" t="s">
        <v>31</v>
      </c>
      <c r="D1208" s="1" t="s">
        <v>7</v>
      </c>
      <c r="E1208" s="1">
        <v>222801.73</v>
      </c>
      <c r="F1208" s="1">
        <v>826094</v>
      </c>
      <c r="G1208">
        <v>0.26970505777792841</v>
      </c>
    </row>
    <row r="1209" spans="1:7" x14ac:dyDescent="0.35">
      <c r="A1209">
        <v>2019</v>
      </c>
      <c r="B1209" s="1" t="s">
        <v>30</v>
      </c>
      <c r="C1209" s="1" t="s">
        <v>31</v>
      </c>
      <c r="D1209" s="1" t="s">
        <v>8</v>
      </c>
      <c r="E1209" s="1">
        <v>77040.77</v>
      </c>
      <c r="F1209" s="1">
        <v>826094</v>
      </c>
      <c r="G1209">
        <v>9.3259084317281082E-2</v>
      </c>
    </row>
    <row r="1210" spans="1:7" x14ac:dyDescent="0.35">
      <c r="A1210">
        <v>2019</v>
      </c>
      <c r="B1210" s="1" t="s">
        <v>30</v>
      </c>
      <c r="C1210" s="1" t="s">
        <v>31</v>
      </c>
      <c r="D1210" s="1" t="s">
        <v>9</v>
      </c>
      <c r="E1210" s="1">
        <v>174956.17</v>
      </c>
      <c r="F1210" s="1">
        <v>826094</v>
      </c>
      <c r="G1210">
        <v>0.21178724212983027</v>
      </c>
    </row>
    <row r="1211" spans="1:7" x14ac:dyDescent="0.35">
      <c r="A1211">
        <v>2013</v>
      </c>
      <c r="B1211" s="1" t="s">
        <v>100</v>
      </c>
      <c r="C1211" s="1" t="s">
        <v>101</v>
      </c>
      <c r="D1211" s="1" t="s">
        <v>7</v>
      </c>
      <c r="E1211" s="1">
        <v>159735.15</v>
      </c>
      <c r="F1211" s="1">
        <v>758723</v>
      </c>
      <c r="G1211">
        <v>0.21053157740044784</v>
      </c>
    </row>
    <row r="1212" spans="1:7" x14ac:dyDescent="0.35">
      <c r="A1212">
        <v>2013</v>
      </c>
      <c r="B1212" s="1" t="s">
        <v>100</v>
      </c>
      <c r="C1212" s="1" t="s">
        <v>101</v>
      </c>
      <c r="D1212" s="1" t="s">
        <v>8</v>
      </c>
      <c r="E1212" s="1">
        <v>111175.29</v>
      </c>
      <c r="F1212" s="1">
        <v>758723</v>
      </c>
      <c r="G1212">
        <v>0.14652948440998889</v>
      </c>
    </row>
    <row r="1213" spans="1:7" x14ac:dyDescent="0.35">
      <c r="A1213">
        <v>2013</v>
      </c>
      <c r="B1213" s="1" t="s">
        <v>100</v>
      </c>
      <c r="C1213" s="1" t="s">
        <v>101</v>
      </c>
      <c r="D1213" s="1" t="s">
        <v>9</v>
      </c>
      <c r="E1213" s="1">
        <v>118981.75999999999</v>
      </c>
      <c r="F1213" s="1">
        <v>758723</v>
      </c>
      <c r="G1213">
        <v>0.15681844362171701</v>
      </c>
    </row>
    <row r="1214" spans="1:7" x14ac:dyDescent="0.35">
      <c r="A1214">
        <v>2019</v>
      </c>
      <c r="B1214" s="1" t="s">
        <v>114</v>
      </c>
      <c r="C1214" s="1" t="s">
        <v>115</v>
      </c>
      <c r="D1214" s="1" t="s">
        <v>7</v>
      </c>
      <c r="E1214" s="1">
        <v>748991</v>
      </c>
      <c r="F1214" s="1">
        <v>2165423</v>
      </c>
      <c r="G1214">
        <v>0.34588669280782552</v>
      </c>
    </row>
    <row r="1215" spans="1:7" x14ac:dyDescent="0.35">
      <c r="A1215">
        <v>2019</v>
      </c>
      <c r="B1215" s="1" t="s">
        <v>114</v>
      </c>
      <c r="C1215" s="1" t="s">
        <v>115</v>
      </c>
      <c r="D1215" s="1" t="s">
        <v>8</v>
      </c>
      <c r="E1215" s="1">
        <v>274242.62</v>
      </c>
      <c r="F1215" s="1">
        <v>2165423</v>
      </c>
      <c r="G1215">
        <v>0.12664621184867805</v>
      </c>
    </row>
    <row r="1216" spans="1:7" x14ac:dyDescent="0.35">
      <c r="A1216">
        <v>2019</v>
      </c>
      <c r="B1216" s="1" t="s">
        <v>114</v>
      </c>
      <c r="C1216" s="1" t="s">
        <v>115</v>
      </c>
      <c r="D1216" s="1" t="s">
        <v>9</v>
      </c>
      <c r="E1216" s="1">
        <v>1734.57</v>
      </c>
      <c r="F1216" s="1">
        <v>2165423</v>
      </c>
      <c r="G1216">
        <v>8.010305607726527E-4</v>
      </c>
    </row>
    <row r="1217" spans="1:7" x14ac:dyDescent="0.35">
      <c r="A1217">
        <v>2019</v>
      </c>
      <c r="B1217" s="1" t="s">
        <v>138</v>
      </c>
      <c r="C1217" s="1" t="s">
        <v>139</v>
      </c>
      <c r="D1217" s="1" t="s">
        <v>7</v>
      </c>
      <c r="E1217" s="1">
        <v>326412</v>
      </c>
      <c r="F1217" s="1">
        <v>1255633</v>
      </c>
      <c r="G1217">
        <v>0.25995812470682117</v>
      </c>
    </row>
    <row r="1218" spans="1:7" x14ac:dyDescent="0.35">
      <c r="A1218">
        <v>2019</v>
      </c>
      <c r="B1218" s="1" t="s">
        <v>138</v>
      </c>
      <c r="C1218" s="1" t="s">
        <v>139</v>
      </c>
      <c r="D1218" s="1" t="s">
        <v>8</v>
      </c>
      <c r="E1218" s="1">
        <v>143587.23000000001</v>
      </c>
      <c r="F1218" s="1">
        <v>1255633</v>
      </c>
      <c r="G1218">
        <v>0.11435445707463886</v>
      </c>
    </row>
    <row r="1219" spans="1:7" x14ac:dyDescent="0.35">
      <c r="A1219">
        <v>2019</v>
      </c>
      <c r="B1219" s="1" t="s">
        <v>138</v>
      </c>
      <c r="C1219" s="1" t="s">
        <v>139</v>
      </c>
      <c r="D1219" s="1" t="s">
        <v>9</v>
      </c>
      <c r="E1219" s="1">
        <v>268012.94</v>
      </c>
      <c r="F1219" s="1">
        <v>1255633</v>
      </c>
      <c r="G1219">
        <v>0.21344846782459526</v>
      </c>
    </row>
    <row r="1220" spans="1:7" x14ac:dyDescent="0.35">
      <c r="A1220">
        <v>2019</v>
      </c>
      <c r="B1220" s="1" t="s">
        <v>116</v>
      </c>
      <c r="C1220" s="1" t="s">
        <v>117</v>
      </c>
      <c r="D1220" s="1" t="s">
        <v>7</v>
      </c>
      <c r="E1220" s="1">
        <v>386950.13</v>
      </c>
      <c r="F1220" s="1">
        <v>1421197</v>
      </c>
      <c r="G1220">
        <v>0.27227057895562684</v>
      </c>
    </row>
    <row r="1221" spans="1:7" x14ac:dyDescent="0.35">
      <c r="A1221">
        <v>2019</v>
      </c>
      <c r="B1221" s="1" t="s">
        <v>116</v>
      </c>
      <c r="C1221" s="1" t="s">
        <v>117</v>
      </c>
      <c r="D1221" s="1" t="s">
        <v>8</v>
      </c>
      <c r="E1221" s="1">
        <v>153040.85</v>
      </c>
      <c r="F1221" s="1">
        <v>1421197</v>
      </c>
      <c r="G1221">
        <v>0.10768447301816708</v>
      </c>
    </row>
    <row r="1222" spans="1:7" x14ac:dyDescent="0.35">
      <c r="A1222">
        <v>2019</v>
      </c>
      <c r="B1222" s="1" t="s">
        <v>116</v>
      </c>
      <c r="C1222" s="1" t="s">
        <v>117</v>
      </c>
      <c r="D1222" s="1" t="s">
        <v>9</v>
      </c>
      <c r="E1222" s="1">
        <v>133982.64000000001</v>
      </c>
      <c r="F1222" s="1">
        <v>1421197</v>
      </c>
      <c r="G1222">
        <v>9.4274502408884908E-2</v>
      </c>
    </row>
    <row r="1223" spans="1:7" x14ac:dyDescent="0.35">
      <c r="A1223">
        <v>2013</v>
      </c>
      <c r="B1223" s="1" t="s">
        <v>102</v>
      </c>
      <c r="C1223" s="1" t="s">
        <v>103</v>
      </c>
      <c r="D1223" s="1" t="s">
        <v>7</v>
      </c>
      <c r="E1223" s="1">
        <v>89693.67</v>
      </c>
      <c r="F1223" s="1">
        <v>375226</v>
      </c>
      <c r="G1223">
        <v>0.23903905912703277</v>
      </c>
    </row>
    <row r="1224" spans="1:7" x14ac:dyDescent="0.35">
      <c r="A1224">
        <v>2013</v>
      </c>
      <c r="B1224" s="1" t="s">
        <v>102</v>
      </c>
      <c r="C1224" s="1" t="s">
        <v>103</v>
      </c>
      <c r="D1224" s="1" t="s">
        <v>8</v>
      </c>
      <c r="E1224" s="1">
        <v>37373.660000000003</v>
      </c>
      <c r="F1224" s="1">
        <v>375226</v>
      </c>
      <c r="G1224">
        <v>9.9603065885626271E-2</v>
      </c>
    </row>
    <row r="1225" spans="1:7" x14ac:dyDescent="0.35">
      <c r="A1225">
        <v>2013</v>
      </c>
      <c r="B1225" s="1" t="s">
        <v>102</v>
      </c>
      <c r="C1225" s="1" t="s">
        <v>103</v>
      </c>
      <c r="D1225" s="1" t="s">
        <v>9</v>
      </c>
      <c r="E1225" s="1">
        <v>64361.09</v>
      </c>
      <c r="F1225" s="1">
        <v>375226</v>
      </c>
      <c r="G1225">
        <v>0.17152620021000675</v>
      </c>
    </row>
    <row r="1226" spans="1:7" x14ac:dyDescent="0.35">
      <c r="A1226">
        <v>2019</v>
      </c>
      <c r="B1226" s="1" t="s">
        <v>118</v>
      </c>
      <c r="C1226" s="1" t="s">
        <v>119</v>
      </c>
      <c r="D1226" s="1" t="s">
        <v>7</v>
      </c>
      <c r="E1226" s="1">
        <v>362545.61</v>
      </c>
      <c r="F1226" s="1">
        <v>1448207</v>
      </c>
      <c r="G1226">
        <v>0.25034101478586968</v>
      </c>
    </row>
    <row r="1227" spans="1:7" x14ac:dyDescent="0.35">
      <c r="A1227">
        <v>2019</v>
      </c>
      <c r="B1227" s="1" t="s">
        <v>118</v>
      </c>
      <c r="C1227" s="1" t="s">
        <v>119</v>
      </c>
      <c r="D1227" s="1" t="s">
        <v>8</v>
      </c>
      <c r="E1227" s="1">
        <v>186177.7</v>
      </c>
      <c r="F1227" s="1">
        <v>1448207</v>
      </c>
      <c r="G1227">
        <v>0.12855738164502728</v>
      </c>
    </row>
    <row r="1228" spans="1:7" x14ac:dyDescent="0.35">
      <c r="A1228">
        <v>2019</v>
      </c>
      <c r="B1228" s="1" t="s">
        <v>118</v>
      </c>
      <c r="C1228" s="1" t="s">
        <v>119</v>
      </c>
      <c r="D1228" s="1" t="s">
        <v>9</v>
      </c>
      <c r="E1228" s="1">
        <v>111966.67</v>
      </c>
      <c r="F1228" s="1">
        <v>1448207</v>
      </c>
      <c r="G1228">
        <v>7.7313995858326878E-2</v>
      </c>
    </row>
    <row r="1229" spans="1:7" x14ac:dyDescent="0.35">
      <c r="A1229">
        <v>2019</v>
      </c>
      <c r="B1229" s="1" t="s">
        <v>158</v>
      </c>
      <c r="C1229" s="1" t="s">
        <v>159</v>
      </c>
      <c r="D1229" s="1" t="s">
        <v>7</v>
      </c>
      <c r="E1229" s="1">
        <v>62388.62</v>
      </c>
      <c r="F1229" s="1">
        <v>374878</v>
      </c>
      <c r="G1229">
        <v>0.16642379654180828</v>
      </c>
    </row>
    <row r="1230" spans="1:7" x14ac:dyDescent="0.35">
      <c r="A1230">
        <v>2019</v>
      </c>
      <c r="B1230" s="1" t="s">
        <v>158</v>
      </c>
      <c r="C1230" s="1" t="s">
        <v>159</v>
      </c>
      <c r="D1230" s="1" t="s">
        <v>8</v>
      </c>
      <c r="E1230" s="1">
        <v>37627.56</v>
      </c>
      <c r="F1230" s="1">
        <v>374878</v>
      </c>
      <c r="G1230">
        <v>0.10037281462235713</v>
      </c>
    </row>
    <row r="1231" spans="1:7" x14ac:dyDescent="0.35">
      <c r="A1231">
        <v>2019</v>
      </c>
      <c r="B1231" s="1" t="s">
        <v>158</v>
      </c>
      <c r="C1231" s="1" t="s">
        <v>159</v>
      </c>
      <c r="D1231" s="1" t="s">
        <v>9</v>
      </c>
      <c r="E1231" s="1">
        <v>87043.29</v>
      </c>
      <c r="F1231" s="1">
        <v>374878</v>
      </c>
      <c r="G1231">
        <v>0.23219097946531936</v>
      </c>
    </row>
    <row r="1232" spans="1:7" x14ac:dyDescent="0.35">
      <c r="A1232">
        <v>2019</v>
      </c>
      <c r="B1232" s="1" t="s">
        <v>112</v>
      </c>
      <c r="C1232" s="1" t="s">
        <v>113</v>
      </c>
      <c r="D1232" s="1" t="s">
        <v>7</v>
      </c>
      <c r="E1232" s="1">
        <v>145686.51999999999</v>
      </c>
      <c r="F1232" s="1">
        <v>570559</v>
      </c>
      <c r="G1232">
        <v>0.25533997360483313</v>
      </c>
    </row>
    <row r="1233" spans="1:7" x14ac:dyDescent="0.35">
      <c r="A1233">
        <v>2019</v>
      </c>
      <c r="B1233" s="1" t="s">
        <v>112</v>
      </c>
      <c r="C1233" s="1" t="s">
        <v>113</v>
      </c>
      <c r="D1233" s="1" t="s">
        <v>8</v>
      </c>
      <c r="E1233" s="1">
        <v>64289.07</v>
      </c>
      <c r="F1233" s="1">
        <v>570559</v>
      </c>
      <c r="G1233">
        <v>0.11267733924098998</v>
      </c>
    </row>
    <row r="1234" spans="1:7" x14ac:dyDescent="0.35">
      <c r="A1234">
        <v>2019</v>
      </c>
      <c r="B1234" s="1" t="s">
        <v>112</v>
      </c>
      <c r="C1234" s="1" t="s">
        <v>113</v>
      </c>
      <c r="D1234" s="1" t="s">
        <v>9</v>
      </c>
      <c r="E1234" s="1">
        <v>115920.89</v>
      </c>
      <c r="F1234" s="1">
        <v>570559</v>
      </c>
      <c r="G1234">
        <v>0.20317073256227663</v>
      </c>
    </row>
    <row r="1235" spans="1:7" x14ac:dyDescent="0.35">
      <c r="A1235">
        <v>2013</v>
      </c>
      <c r="B1235" s="1" t="s">
        <v>104</v>
      </c>
      <c r="C1235" s="1" t="s">
        <v>105</v>
      </c>
      <c r="D1235" s="1" t="s">
        <v>7</v>
      </c>
      <c r="E1235" s="1">
        <v>132392.64000000001</v>
      </c>
      <c r="F1235" s="1">
        <v>540067</v>
      </c>
      <c r="G1235">
        <v>0.24514113989560557</v>
      </c>
    </row>
    <row r="1236" spans="1:7" x14ac:dyDescent="0.35">
      <c r="A1236">
        <v>2013</v>
      </c>
      <c r="B1236" s="1" t="s">
        <v>104</v>
      </c>
      <c r="C1236" s="1" t="s">
        <v>105</v>
      </c>
      <c r="D1236" s="1" t="s">
        <v>8</v>
      </c>
      <c r="E1236" s="1">
        <v>64940.79</v>
      </c>
      <c r="F1236" s="1">
        <v>540067</v>
      </c>
      <c r="G1236">
        <v>0.12024580283557411</v>
      </c>
    </row>
    <row r="1237" spans="1:7" x14ac:dyDescent="0.35">
      <c r="A1237">
        <v>2013</v>
      </c>
      <c r="B1237" s="1" t="s">
        <v>104</v>
      </c>
      <c r="C1237" s="1" t="s">
        <v>105</v>
      </c>
      <c r="D1237" s="1" t="s">
        <v>9</v>
      </c>
      <c r="E1237" s="1">
        <v>84326.29</v>
      </c>
      <c r="F1237" s="1">
        <v>540067</v>
      </c>
      <c r="G1237">
        <v>0.15614042331784758</v>
      </c>
    </row>
    <row r="1238" spans="1:7" x14ac:dyDescent="0.35">
      <c r="A1238">
        <v>2019</v>
      </c>
      <c r="B1238" s="1" t="s">
        <v>186</v>
      </c>
      <c r="C1238" s="1" t="s">
        <v>187</v>
      </c>
      <c r="D1238" s="1" t="s">
        <v>7</v>
      </c>
      <c r="E1238" s="1">
        <v>91730.79</v>
      </c>
      <c r="F1238" s="1">
        <v>389844</v>
      </c>
      <c r="G1238">
        <v>0.23530127435589618</v>
      </c>
    </row>
    <row r="1239" spans="1:7" x14ac:dyDescent="0.35">
      <c r="A1239">
        <v>2019</v>
      </c>
      <c r="B1239" s="1" t="s">
        <v>186</v>
      </c>
      <c r="C1239" s="1" t="s">
        <v>187</v>
      </c>
      <c r="D1239" s="1" t="s">
        <v>8</v>
      </c>
      <c r="E1239" s="1">
        <v>36992.74</v>
      </c>
      <c r="F1239" s="1">
        <v>389844</v>
      </c>
      <c r="G1239">
        <v>9.4891135941556098E-2</v>
      </c>
    </row>
    <row r="1240" spans="1:7" x14ac:dyDescent="0.35">
      <c r="A1240">
        <v>2019</v>
      </c>
      <c r="B1240" s="1" t="s">
        <v>186</v>
      </c>
      <c r="C1240" s="1" t="s">
        <v>187</v>
      </c>
      <c r="D1240" s="1" t="s">
        <v>9</v>
      </c>
      <c r="E1240" s="1">
        <v>81652.179999999993</v>
      </c>
      <c r="F1240" s="1">
        <v>389844</v>
      </c>
      <c r="G1240">
        <v>0.20944834343994007</v>
      </c>
    </row>
    <row r="1241" spans="1:7" x14ac:dyDescent="0.35">
      <c r="A1241">
        <v>2019</v>
      </c>
      <c r="B1241" s="1" t="s">
        <v>188</v>
      </c>
      <c r="C1241" s="1" t="s">
        <v>189</v>
      </c>
      <c r="D1241" s="1" t="s">
        <v>7</v>
      </c>
      <c r="E1241" s="1">
        <v>63123.48</v>
      </c>
      <c r="F1241" s="1">
        <v>260669</v>
      </c>
      <c r="G1241">
        <v>0.24215952031119928</v>
      </c>
    </row>
    <row r="1242" spans="1:7" x14ac:dyDescent="0.35">
      <c r="A1242">
        <v>2019</v>
      </c>
      <c r="B1242" s="1" t="s">
        <v>188</v>
      </c>
      <c r="C1242" s="1" t="s">
        <v>189</v>
      </c>
      <c r="D1242" s="1" t="s">
        <v>8</v>
      </c>
      <c r="E1242" s="1">
        <v>27428.29</v>
      </c>
      <c r="F1242" s="1">
        <v>260669</v>
      </c>
      <c r="G1242">
        <v>0.10522267703486031</v>
      </c>
    </row>
    <row r="1243" spans="1:7" x14ac:dyDescent="0.35">
      <c r="A1243">
        <v>2019</v>
      </c>
      <c r="B1243" s="1" t="s">
        <v>188</v>
      </c>
      <c r="C1243" s="1" t="s">
        <v>189</v>
      </c>
      <c r="D1243" s="1" t="s">
        <v>9</v>
      </c>
      <c r="E1243" s="1">
        <v>47391.98</v>
      </c>
      <c r="F1243" s="1">
        <v>260669</v>
      </c>
      <c r="G1243">
        <v>0.18180903751500946</v>
      </c>
    </row>
    <row r="1244" spans="1:7" x14ac:dyDescent="0.35">
      <c r="A1244">
        <v>2019</v>
      </c>
      <c r="B1244" s="1" t="s">
        <v>208</v>
      </c>
      <c r="C1244" s="1" t="s">
        <v>209</v>
      </c>
      <c r="D1244" s="1" t="s">
        <v>7</v>
      </c>
      <c r="E1244" s="1">
        <v>427627.15</v>
      </c>
      <c r="F1244" s="1">
        <v>1076711</v>
      </c>
      <c r="G1244">
        <v>0.39716056583428611</v>
      </c>
    </row>
    <row r="1245" spans="1:7" x14ac:dyDescent="0.35">
      <c r="A1245">
        <v>2019</v>
      </c>
      <c r="B1245" s="1" t="s">
        <v>208</v>
      </c>
      <c r="C1245" s="1" t="s">
        <v>209</v>
      </c>
      <c r="D1245" s="1" t="s">
        <v>8</v>
      </c>
      <c r="E1245" s="1">
        <v>97703.7</v>
      </c>
      <c r="F1245" s="1">
        <v>1076711</v>
      </c>
      <c r="G1245">
        <v>9.0742734122712596E-2</v>
      </c>
    </row>
    <row r="1246" spans="1:7" x14ac:dyDescent="0.35">
      <c r="A1246">
        <v>2019</v>
      </c>
      <c r="B1246" s="1" t="s">
        <v>208</v>
      </c>
      <c r="C1246" s="1" t="s">
        <v>209</v>
      </c>
      <c r="D1246" s="1" t="s">
        <v>9</v>
      </c>
      <c r="E1246" s="1">
        <v>260466.83</v>
      </c>
      <c r="F1246" s="1">
        <v>1076711</v>
      </c>
      <c r="G1246">
        <v>0.24190969535929324</v>
      </c>
    </row>
    <row r="1247" spans="1:7" x14ac:dyDescent="0.35">
      <c r="A1247">
        <v>2013</v>
      </c>
      <c r="B1247" s="1" t="s">
        <v>106</v>
      </c>
      <c r="C1247" s="1" t="s">
        <v>107</v>
      </c>
      <c r="D1247" s="1" t="s">
        <v>7</v>
      </c>
      <c r="E1247" s="1">
        <v>650803.80000000005</v>
      </c>
      <c r="F1247" s="1">
        <v>2595536</v>
      </c>
      <c r="G1247">
        <v>0.25073965454534247</v>
      </c>
    </row>
    <row r="1248" spans="1:7" x14ac:dyDescent="0.35">
      <c r="A1248">
        <v>2013</v>
      </c>
      <c r="B1248" s="1" t="s">
        <v>106</v>
      </c>
      <c r="C1248" s="1" t="s">
        <v>107</v>
      </c>
      <c r="D1248" s="1" t="s">
        <v>8</v>
      </c>
      <c r="E1248" s="1">
        <v>427296.6</v>
      </c>
      <c r="F1248" s="1">
        <v>2595536</v>
      </c>
      <c r="G1248">
        <v>0.16462749890581366</v>
      </c>
    </row>
    <row r="1249" spans="1:7" x14ac:dyDescent="0.35">
      <c r="A1249">
        <v>2013</v>
      </c>
      <c r="B1249" s="1" t="s">
        <v>106</v>
      </c>
      <c r="C1249" s="1" t="s">
        <v>107</v>
      </c>
      <c r="D1249" s="1" t="s">
        <v>9</v>
      </c>
      <c r="E1249" s="1">
        <v>287337.56</v>
      </c>
      <c r="F1249" s="1">
        <v>2595536</v>
      </c>
      <c r="G1249">
        <v>0.11070451729430839</v>
      </c>
    </row>
    <row r="1250" spans="1:7" x14ac:dyDescent="0.35">
      <c r="A1250">
        <v>2019</v>
      </c>
      <c r="B1250" s="1" t="s">
        <v>210</v>
      </c>
      <c r="C1250" s="1" t="s">
        <v>211</v>
      </c>
      <c r="D1250" s="1" t="s">
        <v>7</v>
      </c>
      <c r="E1250" s="1">
        <v>185138.06</v>
      </c>
      <c r="F1250" s="1">
        <v>561469</v>
      </c>
      <c r="G1250">
        <v>0.32973870329439381</v>
      </c>
    </row>
    <row r="1251" spans="1:7" x14ac:dyDescent="0.35">
      <c r="A1251">
        <v>2019</v>
      </c>
      <c r="B1251" s="1" t="s">
        <v>210</v>
      </c>
      <c r="C1251" s="1" t="s">
        <v>211</v>
      </c>
      <c r="D1251" s="1" t="s">
        <v>8</v>
      </c>
      <c r="E1251" s="1">
        <v>41302.01</v>
      </c>
      <c r="F1251" s="1">
        <v>561469</v>
      </c>
      <c r="G1251">
        <v>7.356062400595581E-2</v>
      </c>
    </row>
    <row r="1252" spans="1:7" x14ac:dyDescent="0.35">
      <c r="A1252">
        <v>2019</v>
      </c>
      <c r="B1252" s="1" t="s">
        <v>210</v>
      </c>
      <c r="C1252" s="1" t="s">
        <v>211</v>
      </c>
      <c r="D1252" s="1" t="s">
        <v>9</v>
      </c>
      <c r="E1252" s="1">
        <v>114770.52</v>
      </c>
      <c r="F1252" s="1">
        <v>561469</v>
      </c>
      <c r="G1252">
        <v>0.20441114291260962</v>
      </c>
    </row>
    <row r="1253" spans="1:7" x14ac:dyDescent="0.35">
      <c r="A1253">
        <v>2019</v>
      </c>
      <c r="B1253" s="1" t="s">
        <v>198</v>
      </c>
      <c r="C1253" s="1" t="s">
        <v>199</v>
      </c>
      <c r="D1253" s="1" t="s">
        <v>7</v>
      </c>
      <c r="E1253" s="1">
        <v>110226.69</v>
      </c>
      <c r="F1253" s="1">
        <v>685442</v>
      </c>
      <c r="G1253">
        <v>0.1608111116622559</v>
      </c>
    </row>
    <row r="1254" spans="1:7" x14ac:dyDescent="0.35">
      <c r="A1254">
        <v>2019</v>
      </c>
      <c r="B1254" s="1" t="s">
        <v>198</v>
      </c>
      <c r="C1254" s="1" t="s">
        <v>199</v>
      </c>
      <c r="D1254" s="1" t="s">
        <v>8</v>
      </c>
      <c r="E1254" s="1">
        <v>88826.21</v>
      </c>
      <c r="F1254" s="1">
        <v>685442</v>
      </c>
      <c r="G1254">
        <v>0.12958968081909192</v>
      </c>
    </row>
    <row r="1255" spans="1:7" x14ac:dyDescent="0.35">
      <c r="A1255">
        <v>2019</v>
      </c>
      <c r="B1255" s="1" t="s">
        <v>198</v>
      </c>
      <c r="C1255" s="1" t="s">
        <v>199</v>
      </c>
      <c r="D1255" s="1" t="s">
        <v>9</v>
      </c>
      <c r="E1255" s="1">
        <v>191712.81</v>
      </c>
      <c r="F1255" s="1">
        <v>685442</v>
      </c>
      <c r="G1255">
        <v>0.2796922423779109</v>
      </c>
    </row>
    <row r="1256" spans="1:7" x14ac:dyDescent="0.35">
      <c r="A1256">
        <v>2019</v>
      </c>
      <c r="B1256" s="1" t="s">
        <v>160</v>
      </c>
      <c r="C1256" s="1" t="s">
        <v>161</v>
      </c>
      <c r="D1256" s="1" t="s">
        <v>7</v>
      </c>
      <c r="E1256" s="1">
        <v>84449.49</v>
      </c>
      <c r="F1256" s="1">
        <v>438435</v>
      </c>
      <c r="G1256">
        <v>0.19261575832221425</v>
      </c>
    </row>
    <row r="1257" spans="1:7" x14ac:dyDescent="0.35">
      <c r="A1257">
        <v>2019</v>
      </c>
      <c r="B1257" s="1" t="s">
        <v>160</v>
      </c>
      <c r="C1257" s="1" t="s">
        <v>161</v>
      </c>
      <c r="D1257" s="1" t="s">
        <v>8</v>
      </c>
      <c r="E1257" s="1">
        <v>41312.03</v>
      </c>
      <c r="F1257" s="1">
        <v>438435</v>
      </c>
      <c r="G1257">
        <v>9.4226122458289138E-2</v>
      </c>
    </row>
    <row r="1258" spans="1:7" x14ac:dyDescent="0.35">
      <c r="A1258">
        <v>2019</v>
      </c>
      <c r="B1258" s="1" t="s">
        <v>160</v>
      </c>
      <c r="C1258" s="1" t="s">
        <v>161</v>
      </c>
      <c r="D1258" s="1" t="s">
        <v>9</v>
      </c>
      <c r="E1258" s="1">
        <v>93788.57</v>
      </c>
      <c r="F1258" s="1">
        <v>438435</v>
      </c>
      <c r="G1258">
        <v>0.21391670373031352</v>
      </c>
    </row>
    <row r="1259" spans="1:7" x14ac:dyDescent="0.35">
      <c r="A1259">
        <v>2013</v>
      </c>
      <c r="B1259" s="1" t="s">
        <v>108</v>
      </c>
      <c r="C1259" s="1" t="s">
        <v>109</v>
      </c>
      <c r="D1259" s="1" t="s">
        <v>7</v>
      </c>
      <c r="E1259" s="1">
        <v>212453.02</v>
      </c>
      <c r="F1259" s="1">
        <v>815400</v>
      </c>
      <c r="G1259">
        <v>0.26055067451557518</v>
      </c>
    </row>
    <row r="1260" spans="1:7" x14ac:dyDescent="0.35">
      <c r="A1260">
        <v>2013</v>
      </c>
      <c r="B1260" s="1" t="s">
        <v>108</v>
      </c>
      <c r="C1260" s="1" t="s">
        <v>109</v>
      </c>
      <c r="D1260" s="1" t="s">
        <v>8</v>
      </c>
      <c r="E1260" s="1">
        <v>110598.31</v>
      </c>
      <c r="F1260" s="1">
        <v>815400</v>
      </c>
      <c r="G1260">
        <v>0.1356368776060829</v>
      </c>
    </row>
    <row r="1261" spans="1:7" x14ac:dyDescent="0.35">
      <c r="A1261">
        <v>2013</v>
      </c>
      <c r="B1261" s="1" t="s">
        <v>108</v>
      </c>
      <c r="C1261" s="1" t="s">
        <v>109</v>
      </c>
      <c r="D1261" s="1" t="s">
        <v>9</v>
      </c>
      <c r="E1261" s="1">
        <v>128768.26</v>
      </c>
      <c r="F1261" s="1">
        <v>815400</v>
      </c>
      <c r="G1261">
        <v>0.1579203581064508</v>
      </c>
    </row>
    <row r="1262" spans="1:7" x14ac:dyDescent="0.35">
      <c r="A1262">
        <v>2019</v>
      </c>
      <c r="B1262" s="1" t="s">
        <v>162</v>
      </c>
      <c r="C1262" s="1" t="s">
        <v>163</v>
      </c>
      <c r="D1262" s="1" t="s">
        <v>7</v>
      </c>
      <c r="E1262" s="1">
        <v>80343.37</v>
      </c>
      <c r="F1262" s="1">
        <v>372359</v>
      </c>
      <c r="G1262">
        <v>0.21576857280205392</v>
      </c>
    </row>
    <row r="1263" spans="1:7" x14ac:dyDescent="0.35">
      <c r="A1263">
        <v>2019</v>
      </c>
      <c r="B1263" s="1" t="s">
        <v>162</v>
      </c>
      <c r="C1263" s="1" t="s">
        <v>163</v>
      </c>
      <c r="D1263" s="1" t="s">
        <v>8</v>
      </c>
      <c r="E1263" s="1">
        <v>34071.269999999997</v>
      </c>
      <c r="F1263" s="1">
        <v>372359</v>
      </c>
      <c r="G1263">
        <v>9.150113197210219E-2</v>
      </c>
    </row>
    <row r="1264" spans="1:7" x14ac:dyDescent="0.35">
      <c r="A1264">
        <v>2019</v>
      </c>
      <c r="B1264" s="1" t="s">
        <v>162</v>
      </c>
      <c r="C1264" s="1" t="s">
        <v>163</v>
      </c>
      <c r="D1264" s="1" t="s">
        <v>9</v>
      </c>
      <c r="E1264" s="1">
        <v>67910.679999999993</v>
      </c>
      <c r="F1264" s="1">
        <v>372359</v>
      </c>
      <c r="G1264">
        <v>0.18237958529268794</v>
      </c>
    </row>
    <row r="1265" spans="1:7" x14ac:dyDescent="0.35">
      <c r="A1265">
        <v>2019</v>
      </c>
      <c r="B1265" s="1" t="s">
        <v>102</v>
      </c>
      <c r="C1265" s="1" t="s">
        <v>103</v>
      </c>
      <c r="D1265" s="1" t="s">
        <v>7</v>
      </c>
      <c r="E1265" s="1">
        <v>77904.479999999996</v>
      </c>
      <c r="F1265" s="1">
        <v>364499</v>
      </c>
      <c r="G1265">
        <v>0.21373029829985815</v>
      </c>
    </row>
    <row r="1266" spans="1:7" x14ac:dyDescent="0.35">
      <c r="A1266">
        <v>2019</v>
      </c>
      <c r="B1266" s="1" t="s">
        <v>102</v>
      </c>
      <c r="C1266" s="1" t="s">
        <v>103</v>
      </c>
      <c r="D1266" s="1" t="s">
        <v>8</v>
      </c>
      <c r="E1266" s="1">
        <v>37796.03</v>
      </c>
      <c r="F1266" s="1">
        <v>364499</v>
      </c>
      <c r="G1266">
        <v>0.10369309655170521</v>
      </c>
    </row>
    <row r="1267" spans="1:7" x14ac:dyDescent="0.35">
      <c r="A1267">
        <v>2019</v>
      </c>
      <c r="B1267" s="1" t="s">
        <v>102</v>
      </c>
      <c r="C1267" s="1" t="s">
        <v>103</v>
      </c>
      <c r="D1267" s="1" t="s">
        <v>9</v>
      </c>
      <c r="E1267" s="1">
        <v>69738.679999999993</v>
      </c>
      <c r="F1267" s="1">
        <v>364499</v>
      </c>
      <c r="G1267">
        <v>0.19132749335389121</v>
      </c>
    </row>
    <row r="1268" spans="1:7" x14ac:dyDescent="0.35">
      <c r="A1268">
        <v>2019</v>
      </c>
      <c r="B1268" s="1" t="s">
        <v>44</v>
      </c>
      <c r="C1268" s="1" t="s">
        <v>45</v>
      </c>
      <c r="D1268" s="1" t="s">
        <v>7</v>
      </c>
      <c r="E1268" s="1">
        <v>63508.92</v>
      </c>
      <c r="F1268" s="1">
        <v>335707</v>
      </c>
      <c r="G1268">
        <v>0.18917961198306857</v>
      </c>
    </row>
    <row r="1269" spans="1:7" x14ac:dyDescent="0.35">
      <c r="A1269">
        <v>2019</v>
      </c>
      <c r="B1269" s="1" t="s">
        <v>44</v>
      </c>
      <c r="C1269" s="1" t="s">
        <v>45</v>
      </c>
      <c r="D1269" s="1" t="s">
        <v>8</v>
      </c>
      <c r="E1269" s="1">
        <v>38364.81</v>
      </c>
      <c r="F1269" s="1">
        <v>335707</v>
      </c>
      <c r="G1269">
        <v>0.11428063757979427</v>
      </c>
    </row>
    <row r="1270" spans="1:7" x14ac:dyDescent="0.35">
      <c r="A1270">
        <v>2019</v>
      </c>
      <c r="B1270" s="1" t="s">
        <v>44</v>
      </c>
      <c r="C1270" s="1" t="s">
        <v>45</v>
      </c>
      <c r="D1270" s="1" t="s">
        <v>9</v>
      </c>
      <c r="E1270" s="1">
        <v>71873.53</v>
      </c>
      <c r="F1270" s="1">
        <v>335707</v>
      </c>
      <c r="G1270">
        <v>0.21409601229643707</v>
      </c>
    </row>
    <row r="1271" spans="1:7" x14ac:dyDescent="0.35">
      <c r="A1271">
        <v>2013</v>
      </c>
      <c r="B1271" s="1" t="s">
        <v>110</v>
      </c>
      <c r="C1271" s="1" t="s">
        <v>111</v>
      </c>
      <c r="D1271" s="1" t="s">
        <v>7</v>
      </c>
      <c r="E1271" s="1">
        <v>417564.43</v>
      </c>
      <c r="F1271" s="1">
        <v>1465205</v>
      </c>
      <c r="G1271">
        <v>0.28498703594377578</v>
      </c>
    </row>
    <row r="1272" spans="1:7" x14ac:dyDescent="0.35">
      <c r="A1272">
        <v>2013</v>
      </c>
      <c r="B1272" s="1" t="s">
        <v>110</v>
      </c>
      <c r="C1272" s="1" t="s">
        <v>111</v>
      </c>
      <c r="D1272" s="1" t="s">
        <v>8</v>
      </c>
      <c r="E1272" s="1">
        <v>267421.59999999998</v>
      </c>
      <c r="F1272" s="1">
        <v>1465205</v>
      </c>
      <c r="G1272">
        <v>0.18251480168304093</v>
      </c>
    </row>
    <row r="1273" spans="1:7" x14ac:dyDescent="0.35">
      <c r="A1273">
        <v>2013</v>
      </c>
      <c r="B1273" s="1" t="s">
        <v>110</v>
      </c>
      <c r="C1273" s="1" t="s">
        <v>111</v>
      </c>
      <c r="D1273" s="1" t="s">
        <v>9</v>
      </c>
      <c r="E1273" s="1">
        <v>198764.89</v>
      </c>
      <c r="F1273" s="1">
        <v>1465205</v>
      </c>
      <c r="G1273">
        <v>0.13565671015318675</v>
      </c>
    </row>
    <row r="1274" spans="1:7" x14ac:dyDescent="0.35">
      <c r="A1274">
        <v>2019</v>
      </c>
      <c r="B1274" s="1" t="s">
        <v>46</v>
      </c>
      <c r="C1274" s="1" t="s">
        <v>47</v>
      </c>
      <c r="D1274" s="1" t="s">
        <v>7</v>
      </c>
      <c r="E1274" s="1">
        <v>28391.279999999999</v>
      </c>
      <c r="F1274" s="1">
        <v>141318</v>
      </c>
      <c r="G1274">
        <v>0.20090349424701737</v>
      </c>
    </row>
    <row r="1275" spans="1:7" x14ac:dyDescent="0.35">
      <c r="A1275">
        <v>2019</v>
      </c>
      <c r="B1275" s="1" t="s">
        <v>46</v>
      </c>
      <c r="C1275" s="1" t="s">
        <v>47</v>
      </c>
      <c r="D1275" s="1" t="s">
        <v>8</v>
      </c>
      <c r="E1275" s="1">
        <v>21446.53</v>
      </c>
      <c r="F1275" s="1">
        <v>141318</v>
      </c>
      <c r="G1275">
        <v>0.15176078065073098</v>
      </c>
    </row>
    <row r="1276" spans="1:7" x14ac:dyDescent="0.35">
      <c r="A1276">
        <v>2019</v>
      </c>
      <c r="B1276" s="1" t="s">
        <v>46</v>
      </c>
      <c r="C1276" s="1" t="s">
        <v>47</v>
      </c>
      <c r="D1276" s="1" t="s">
        <v>9</v>
      </c>
      <c r="E1276" s="1">
        <v>21150.14</v>
      </c>
      <c r="F1276" s="1">
        <v>141318</v>
      </c>
      <c r="G1276">
        <v>0.14966345405397755</v>
      </c>
    </row>
    <row r="1277" spans="1:7" x14ac:dyDescent="0.35">
      <c r="A1277">
        <v>2019</v>
      </c>
      <c r="B1277" s="1" t="s">
        <v>120</v>
      </c>
      <c r="C1277" s="1" t="s">
        <v>121</v>
      </c>
      <c r="D1277" s="1" t="s">
        <v>7</v>
      </c>
      <c r="E1277" s="1">
        <v>320811.11</v>
      </c>
      <c r="F1277" s="1">
        <v>1301659</v>
      </c>
      <c r="G1277">
        <v>0.24646325189623394</v>
      </c>
    </row>
    <row r="1278" spans="1:7" x14ac:dyDescent="0.35">
      <c r="A1278">
        <v>2019</v>
      </c>
      <c r="B1278" s="1" t="s">
        <v>120</v>
      </c>
      <c r="C1278" s="1" t="s">
        <v>121</v>
      </c>
      <c r="D1278" s="1" t="s">
        <v>8</v>
      </c>
      <c r="E1278" s="1">
        <v>171872.76</v>
      </c>
      <c r="F1278" s="1">
        <v>1301659</v>
      </c>
      <c r="G1278">
        <v>0.13204131035855013</v>
      </c>
    </row>
    <row r="1279" spans="1:7" x14ac:dyDescent="0.35">
      <c r="A1279">
        <v>2019</v>
      </c>
      <c r="B1279" s="1" t="s">
        <v>120</v>
      </c>
      <c r="C1279" s="1" t="s">
        <v>121</v>
      </c>
      <c r="D1279" s="1" t="s">
        <v>9</v>
      </c>
      <c r="E1279" s="1">
        <v>140372.63</v>
      </c>
      <c r="F1279" s="1">
        <v>1301659</v>
      </c>
      <c r="G1279">
        <v>0.1078413240334066</v>
      </c>
    </row>
    <row r="1280" spans="1:7" x14ac:dyDescent="0.35">
      <c r="A1280">
        <v>2019</v>
      </c>
      <c r="B1280" s="1" t="s">
        <v>122</v>
      </c>
      <c r="C1280" s="1" t="s">
        <v>123</v>
      </c>
      <c r="D1280" s="1" t="s">
        <v>7</v>
      </c>
      <c r="E1280" s="1">
        <v>432190.57</v>
      </c>
      <c r="F1280" s="1">
        <v>1624357</v>
      </c>
      <c r="G1280">
        <v>0.26606870903378999</v>
      </c>
    </row>
    <row r="1281" spans="1:7" x14ac:dyDescent="0.35">
      <c r="A1281">
        <v>2019</v>
      </c>
      <c r="B1281" s="1" t="s">
        <v>122</v>
      </c>
      <c r="C1281" s="1" t="s">
        <v>123</v>
      </c>
      <c r="D1281" s="1" t="s">
        <v>8</v>
      </c>
      <c r="E1281" s="1">
        <v>164329.69</v>
      </c>
      <c r="F1281" s="1">
        <v>1624357</v>
      </c>
      <c r="G1281">
        <v>0.10116599368242327</v>
      </c>
    </row>
    <row r="1282" spans="1:7" x14ac:dyDescent="0.35">
      <c r="A1282">
        <v>2019</v>
      </c>
      <c r="B1282" s="1" t="s">
        <v>122</v>
      </c>
      <c r="C1282" s="1" t="s">
        <v>123</v>
      </c>
      <c r="D1282" s="1" t="s">
        <v>9</v>
      </c>
      <c r="E1282" s="1">
        <v>33408.5</v>
      </c>
      <c r="F1282" s="1">
        <v>1624357</v>
      </c>
      <c r="G1282">
        <v>2.0567215211926934E-2</v>
      </c>
    </row>
    <row r="1283" spans="1:7" x14ac:dyDescent="0.35">
      <c r="A1283">
        <v>2013</v>
      </c>
      <c r="B1283" s="1" t="s">
        <v>112</v>
      </c>
      <c r="C1283" s="1" t="s">
        <v>113</v>
      </c>
      <c r="D1283" s="1" t="s">
        <v>7</v>
      </c>
      <c r="E1283" s="1">
        <v>158717.10999999999</v>
      </c>
      <c r="F1283" s="1">
        <v>571675</v>
      </c>
      <c r="G1283">
        <v>0.27763521231468924</v>
      </c>
    </row>
    <row r="1284" spans="1:7" x14ac:dyDescent="0.35">
      <c r="A1284">
        <v>2013</v>
      </c>
      <c r="B1284" s="1" t="s">
        <v>112</v>
      </c>
      <c r="C1284" s="1" t="s">
        <v>113</v>
      </c>
      <c r="D1284" s="1" t="s">
        <v>8</v>
      </c>
      <c r="E1284" s="1">
        <v>63758.05</v>
      </c>
      <c r="F1284" s="1">
        <v>571675</v>
      </c>
      <c r="G1284">
        <v>0.11152849083832597</v>
      </c>
    </row>
    <row r="1285" spans="1:7" x14ac:dyDescent="0.35">
      <c r="A1285">
        <v>2013</v>
      </c>
      <c r="B1285" s="1" t="s">
        <v>112</v>
      </c>
      <c r="C1285" s="1" t="s">
        <v>113</v>
      </c>
      <c r="D1285" s="1" t="s">
        <v>9</v>
      </c>
      <c r="E1285" s="1">
        <v>91814.11</v>
      </c>
      <c r="F1285" s="1">
        <v>571675</v>
      </c>
      <c r="G1285">
        <v>0.16060543140770542</v>
      </c>
    </row>
    <row r="1286" spans="1:7" x14ac:dyDescent="0.35">
      <c r="A1286">
        <v>2019</v>
      </c>
      <c r="B1286" s="1" t="s">
        <v>124</v>
      </c>
      <c r="C1286" s="1" t="s">
        <v>125</v>
      </c>
      <c r="D1286" s="1" t="s">
        <v>7</v>
      </c>
      <c r="E1286" s="1">
        <v>499912.19</v>
      </c>
      <c r="F1286" s="1">
        <v>1644903</v>
      </c>
      <c r="G1286">
        <v>0.30391590871923757</v>
      </c>
    </row>
    <row r="1287" spans="1:7" x14ac:dyDescent="0.35">
      <c r="A1287">
        <v>2019</v>
      </c>
      <c r="B1287" s="1" t="s">
        <v>124</v>
      </c>
      <c r="C1287" s="1" t="s">
        <v>125</v>
      </c>
      <c r="D1287" s="1" t="s">
        <v>8</v>
      </c>
      <c r="E1287" s="1">
        <v>113219.22</v>
      </c>
      <c r="F1287" s="1">
        <v>1644903</v>
      </c>
      <c r="G1287">
        <v>6.8830332244515333E-2</v>
      </c>
    </row>
    <row r="1288" spans="1:7" x14ac:dyDescent="0.35">
      <c r="A1288">
        <v>2019</v>
      </c>
      <c r="B1288" s="1" t="s">
        <v>124</v>
      </c>
      <c r="C1288" s="1" t="s">
        <v>125</v>
      </c>
      <c r="D1288" s="1" t="s">
        <v>9</v>
      </c>
      <c r="E1288" s="1">
        <v>98256.28</v>
      </c>
      <c r="F1288" s="1">
        <v>1644903</v>
      </c>
      <c r="G1288">
        <v>5.973378369423607E-2</v>
      </c>
    </row>
    <row r="1289" spans="1:7" x14ac:dyDescent="0.35">
      <c r="A1289">
        <v>2019</v>
      </c>
      <c r="B1289" s="1" t="s">
        <v>126</v>
      </c>
      <c r="C1289" s="1" t="s">
        <v>127</v>
      </c>
      <c r="D1289" s="1" t="s">
        <v>7</v>
      </c>
      <c r="E1289" s="1">
        <v>367694.23</v>
      </c>
      <c r="F1289" s="1">
        <v>1407124</v>
      </c>
      <c r="G1289">
        <v>0.26130904596894089</v>
      </c>
    </row>
    <row r="1290" spans="1:7" x14ac:dyDescent="0.35">
      <c r="A1290">
        <v>2019</v>
      </c>
      <c r="B1290" s="1" t="s">
        <v>126</v>
      </c>
      <c r="C1290" s="1" t="s">
        <v>127</v>
      </c>
      <c r="D1290" s="1" t="s">
        <v>8</v>
      </c>
      <c r="E1290" s="1">
        <v>132484.79</v>
      </c>
      <c r="F1290" s="1">
        <v>1407124</v>
      </c>
      <c r="G1290">
        <v>9.4152889155468891E-2</v>
      </c>
    </row>
    <row r="1291" spans="1:7" x14ac:dyDescent="0.35">
      <c r="A1291">
        <v>2019</v>
      </c>
      <c r="B1291" s="1" t="s">
        <v>126</v>
      </c>
      <c r="C1291" s="1" t="s">
        <v>127</v>
      </c>
      <c r="D1291" s="1" t="s">
        <v>9</v>
      </c>
      <c r="E1291" s="1">
        <v>45843.85</v>
      </c>
      <c r="F1291" s="1">
        <v>1407124</v>
      </c>
      <c r="G1291">
        <v>3.2579822389498012E-2</v>
      </c>
    </row>
    <row r="1292" spans="1:7" x14ac:dyDescent="0.35">
      <c r="A1292">
        <v>2019</v>
      </c>
      <c r="B1292" s="1" t="s">
        <v>128</v>
      </c>
      <c r="C1292" s="1" t="s">
        <v>129</v>
      </c>
      <c r="D1292" s="1" t="s">
        <v>7</v>
      </c>
      <c r="E1292" s="1">
        <v>339172.04</v>
      </c>
      <c r="F1292" s="1">
        <v>1249674</v>
      </c>
      <c r="G1292">
        <v>0.27140841531471405</v>
      </c>
    </row>
    <row r="1293" spans="1:7" x14ac:dyDescent="0.35">
      <c r="A1293">
        <v>2019</v>
      </c>
      <c r="B1293" s="1" t="s">
        <v>128</v>
      </c>
      <c r="C1293" s="1" t="s">
        <v>129</v>
      </c>
      <c r="D1293" s="1" t="s">
        <v>8</v>
      </c>
      <c r="E1293" s="1">
        <v>145297.12</v>
      </c>
      <c r="F1293" s="1">
        <v>1249674</v>
      </c>
      <c r="G1293">
        <v>0.11626801869927676</v>
      </c>
    </row>
    <row r="1294" spans="1:7" x14ac:dyDescent="0.35">
      <c r="A1294">
        <v>2019</v>
      </c>
      <c r="B1294" s="1" t="s">
        <v>128</v>
      </c>
      <c r="C1294" s="1" t="s">
        <v>129</v>
      </c>
      <c r="D1294" s="1" t="s">
        <v>9</v>
      </c>
      <c r="E1294" s="1">
        <v>94685.68</v>
      </c>
      <c r="F1294" s="1">
        <v>1249674</v>
      </c>
      <c r="G1294">
        <v>7.5768304373780682E-2</v>
      </c>
    </row>
    <row r="1295" spans="1:7" x14ac:dyDescent="0.35">
      <c r="A1295">
        <v>2013</v>
      </c>
      <c r="B1295" s="1" t="s">
        <v>114</v>
      </c>
      <c r="C1295" s="1" t="s">
        <v>115</v>
      </c>
      <c r="D1295" s="1" t="s">
        <v>7</v>
      </c>
      <c r="E1295" s="1">
        <v>803409</v>
      </c>
      <c r="F1295" s="1">
        <v>2229621</v>
      </c>
      <c r="G1295">
        <v>0.36033433484883753</v>
      </c>
    </row>
    <row r="1296" spans="1:7" x14ac:dyDescent="0.35">
      <c r="A1296">
        <v>2013</v>
      </c>
      <c r="B1296" s="1" t="s">
        <v>114</v>
      </c>
      <c r="C1296" s="1" t="s">
        <v>115</v>
      </c>
      <c r="D1296" s="1" t="s">
        <v>8</v>
      </c>
      <c r="E1296" s="1">
        <v>234696.27</v>
      </c>
      <c r="F1296" s="1">
        <v>2229621</v>
      </c>
      <c r="G1296">
        <v>0.10526285409044855</v>
      </c>
    </row>
    <row r="1297" spans="1:7" x14ac:dyDescent="0.35">
      <c r="A1297">
        <v>2013</v>
      </c>
      <c r="B1297" s="1" t="s">
        <v>114</v>
      </c>
      <c r="C1297" s="1" t="s">
        <v>115</v>
      </c>
      <c r="D1297" s="1" t="s">
        <v>9</v>
      </c>
      <c r="E1297" s="1">
        <v>5720.8</v>
      </c>
      <c r="F1297" s="1">
        <v>2229621</v>
      </c>
      <c r="G1297">
        <v>2.5658172397909781E-3</v>
      </c>
    </row>
    <row r="1298" spans="1:7" x14ac:dyDescent="0.35">
      <c r="A1298">
        <v>2013</v>
      </c>
      <c r="B1298" s="1" t="s">
        <v>116</v>
      </c>
      <c r="C1298" s="1" t="s">
        <v>117</v>
      </c>
      <c r="D1298" s="1" t="s">
        <v>7</v>
      </c>
      <c r="E1298" s="1">
        <v>395256.66</v>
      </c>
      <c r="F1298" s="1">
        <v>1365200</v>
      </c>
      <c r="G1298">
        <v>0.28952289774392026</v>
      </c>
    </row>
    <row r="1299" spans="1:7" x14ac:dyDescent="0.35">
      <c r="A1299">
        <v>2013</v>
      </c>
      <c r="B1299" s="1" t="s">
        <v>116</v>
      </c>
      <c r="C1299" s="1" t="s">
        <v>117</v>
      </c>
      <c r="D1299" s="1" t="s">
        <v>8</v>
      </c>
      <c r="E1299" s="1">
        <v>153261.29999999999</v>
      </c>
      <c r="F1299" s="1">
        <v>1365200</v>
      </c>
      <c r="G1299">
        <v>0.11226289188397304</v>
      </c>
    </row>
    <row r="1300" spans="1:7" x14ac:dyDescent="0.35">
      <c r="A1300">
        <v>2013</v>
      </c>
      <c r="B1300" s="1" t="s">
        <v>116</v>
      </c>
      <c r="C1300" s="1" t="s">
        <v>117</v>
      </c>
      <c r="D1300" s="1" t="s">
        <v>9</v>
      </c>
      <c r="E1300" s="1">
        <v>131061.05</v>
      </c>
      <c r="F1300" s="1">
        <v>1365200</v>
      </c>
      <c r="G1300">
        <v>9.6001355112803985E-2</v>
      </c>
    </row>
    <row r="1301" spans="1:7" x14ac:dyDescent="0.35">
      <c r="A1301">
        <v>2013</v>
      </c>
      <c r="B1301" s="1" t="s">
        <v>118</v>
      </c>
      <c r="C1301" s="1" t="s">
        <v>119</v>
      </c>
      <c r="D1301" s="1" t="s">
        <v>7</v>
      </c>
      <c r="E1301" s="1">
        <v>361262.85</v>
      </c>
      <c r="F1301" s="1">
        <v>1418484</v>
      </c>
      <c r="G1301">
        <v>0.25468235806678113</v>
      </c>
    </row>
    <row r="1302" spans="1:7" x14ac:dyDescent="0.35">
      <c r="A1302">
        <v>2013</v>
      </c>
      <c r="B1302" s="1" t="s">
        <v>118</v>
      </c>
      <c r="C1302" s="1" t="s">
        <v>119</v>
      </c>
      <c r="D1302" s="1" t="s">
        <v>8</v>
      </c>
      <c r="E1302" s="1">
        <v>181410.31</v>
      </c>
      <c r="F1302" s="1">
        <v>1418484</v>
      </c>
      <c r="G1302">
        <v>0.12789027581558904</v>
      </c>
    </row>
    <row r="1303" spans="1:7" x14ac:dyDescent="0.35">
      <c r="A1303">
        <v>2013</v>
      </c>
      <c r="B1303" s="1" t="s">
        <v>118</v>
      </c>
      <c r="C1303" s="1" t="s">
        <v>119</v>
      </c>
      <c r="D1303" s="1" t="s">
        <v>9</v>
      </c>
      <c r="E1303" s="1">
        <v>83436.039999999994</v>
      </c>
      <c r="F1303" s="1">
        <v>1418484</v>
      </c>
      <c r="G1303">
        <v>5.8820571821747721E-2</v>
      </c>
    </row>
    <row r="1304" spans="1:7" x14ac:dyDescent="0.35">
      <c r="A1304">
        <v>2013</v>
      </c>
      <c r="B1304" s="1" t="s">
        <v>120</v>
      </c>
      <c r="C1304" s="1" t="s">
        <v>121</v>
      </c>
      <c r="D1304" s="1" t="s">
        <v>7</v>
      </c>
      <c r="E1304" s="1">
        <v>322783.15000000002</v>
      </c>
      <c r="F1304" s="1">
        <v>1253931</v>
      </c>
      <c r="G1304">
        <v>0.25741699503401705</v>
      </c>
    </row>
    <row r="1305" spans="1:7" x14ac:dyDescent="0.35">
      <c r="A1305">
        <v>2013</v>
      </c>
      <c r="B1305" s="1" t="s">
        <v>120</v>
      </c>
      <c r="C1305" s="1" t="s">
        <v>121</v>
      </c>
      <c r="D1305" s="1" t="s">
        <v>8</v>
      </c>
      <c r="E1305" s="1">
        <v>173841.54</v>
      </c>
      <c r="F1305" s="1">
        <v>1253931</v>
      </c>
      <c r="G1305">
        <v>0.13863724559006835</v>
      </c>
    </row>
    <row r="1306" spans="1:7" x14ac:dyDescent="0.35">
      <c r="A1306">
        <v>2013</v>
      </c>
      <c r="B1306" s="1" t="s">
        <v>120</v>
      </c>
      <c r="C1306" s="1" t="s">
        <v>121</v>
      </c>
      <c r="D1306" s="1" t="s">
        <v>9</v>
      </c>
      <c r="E1306" s="1">
        <v>98438.61</v>
      </c>
      <c r="F1306" s="1">
        <v>1253931</v>
      </c>
      <c r="G1306">
        <v>7.8504008593774294E-2</v>
      </c>
    </row>
    <row r="1307" spans="1:7" x14ac:dyDescent="0.35">
      <c r="A1307">
        <v>2013</v>
      </c>
      <c r="B1307" s="1" t="s">
        <v>122</v>
      </c>
      <c r="C1307" s="1" t="s">
        <v>123</v>
      </c>
      <c r="D1307" s="1" t="s">
        <v>7</v>
      </c>
      <c r="E1307" s="1">
        <v>442632.65</v>
      </c>
      <c r="F1307" s="1">
        <v>1591403</v>
      </c>
      <c r="G1307">
        <v>0.27813988662833994</v>
      </c>
    </row>
    <row r="1308" spans="1:7" x14ac:dyDescent="0.35">
      <c r="A1308">
        <v>2013</v>
      </c>
      <c r="B1308" s="1" t="s">
        <v>122</v>
      </c>
      <c r="C1308" s="1" t="s">
        <v>123</v>
      </c>
      <c r="D1308" s="1" t="s">
        <v>8</v>
      </c>
      <c r="E1308" s="1">
        <v>152161.37</v>
      </c>
      <c r="F1308" s="1">
        <v>1591403</v>
      </c>
      <c r="G1308">
        <v>9.5614605477053888E-2</v>
      </c>
    </row>
    <row r="1309" spans="1:7" x14ac:dyDescent="0.35">
      <c r="A1309">
        <v>2013</v>
      </c>
      <c r="B1309" s="1" t="s">
        <v>122</v>
      </c>
      <c r="C1309" s="1" t="s">
        <v>123</v>
      </c>
      <c r="D1309" s="1" t="s">
        <v>9</v>
      </c>
      <c r="E1309" s="1">
        <v>21073.919999999998</v>
      </c>
      <c r="F1309" s="1">
        <v>1591403</v>
      </c>
      <c r="G1309">
        <v>1.3242352816979733E-2</v>
      </c>
    </row>
    <row r="1310" spans="1:7" x14ac:dyDescent="0.35">
      <c r="A1310">
        <v>2013</v>
      </c>
      <c r="B1310" s="1" t="s">
        <v>124</v>
      </c>
      <c r="C1310" s="1" t="s">
        <v>125</v>
      </c>
      <c r="D1310" s="1" t="s">
        <v>7</v>
      </c>
      <c r="E1310" s="1">
        <v>500226.49</v>
      </c>
      <c r="F1310" s="1">
        <v>1552482</v>
      </c>
      <c r="G1310">
        <v>0.32221081468255347</v>
      </c>
    </row>
    <row r="1311" spans="1:7" x14ac:dyDescent="0.35">
      <c r="A1311">
        <v>2013</v>
      </c>
      <c r="B1311" s="1" t="s">
        <v>124</v>
      </c>
      <c r="C1311" s="1" t="s">
        <v>125</v>
      </c>
      <c r="D1311" s="1" t="s">
        <v>8</v>
      </c>
      <c r="E1311" s="1">
        <v>97181.4</v>
      </c>
      <c r="F1311" s="1">
        <v>1552482</v>
      </c>
      <c r="G1311">
        <v>6.2597440743274321E-2</v>
      </c>
    </row>
    <row r="1312" spans="1:7" x14ac:dyDescent="0.35">
      <c r="A1312">
        <v>2013</v>
      </c>
      <c r="B1312" s="1" t="s">
        <v>124</v>
      </c>
      <c r="C1312" s="1" t="s">
        <v>125</v>
      </c>
      <c r="D1312" s="1" t="s">
        <v>9</v>
      </c>
      <c r="E1312" s="1">
        <v>79295.48</v>
      </c>
      <c r="F1312" s="1">
        <v>1552482</v>
      </c>
      <c r="G1312">
        <v>5.1076585751074731E-2</v>
      </c>
    </row>
    <row r="1313" spans="1:7" x14ac:dyDescent="0.35">
      <c r="A1313">
        <v>2013</v>
      </c>
      <c r="B1313" s="1" t="s">
        <v>126</v>
      </c>
      <c r="C1313" s="1" t="s">
        <v>127</v>
      </c>
      <c r="D1313" s="1" t="s">
        <v>7</v>
      </c>
      <c r="E1313" s="1">
        <v>370453.41</v>
      </c>
      <c r="F1313" s="1">
        <v>1354005</v>
      </c>
      <c r="G1313">
        <v>0.27359825849978398</v>
      </c>
    </row>
    <row r="1314" spans="1:7" x14ac:dyDescent="0.35">
      <c r="A1314">
        <v>2013</v>
      </c>
      <c r="B1314" s="1" t="s">
        <v>126</v>
      </c>
      <c r="C1314" s="1" t="s">
        <v>127</v>
      </c>
      <c r="D1314" s="1" t="s">
        <v>8</v>
      </c>
      <c r="E1314" s="1">
        <v>122563.49</v>
      </c>
      <c r="F1314" s="1">
        <v>1354005</v>
      </c>
      <c r="G1314">
        <v>9.0519229988072422E-2</v>
      </c>
    </row>
    <row r="1315" spans="1:7" x14ac:dyDescent="0.35">
      <c r="A1315">
        <v>2013</v>
      </c>
      <c r="B1315" s="1" t="s">
        <v>126</v>
      </c>
      <c r="C1315" s="1" t="s">
        <v>127</v>
      </c>
      <c r="D1315" s="1" t="s">
        <v>9</v>
      </c>
      <c r="E1315" s="1">
        <v>39808</v>
      </c>
      <c r="F1315" s="1">
        <v>1354005</v>
      </c>
      <c r="G1315">
        <v>2.9400186853076615E-2</v>
      </c>
    </row>
    <row r="1316" spans="1:7" x14ac:dyDescent="0.35">
      <c r="A1316">
        <v>2013</v>
      </c>
      <c r="B1316" s="1" t="s">
        <v>128</v>
      </c>
      <c r="C1316" s="1" t="s">
        <v>129</v>
      </c>
      <c r="D1316" s="1" t="s">
        <v>7</v>
      </c>
      <c r="E1316" s="1">
        <v>349444.99</v>
      </c>
      <c r="F1316" s="1">
        <v>1194681</v>
      </c>
      <c r="G1316">
        <v>0.29250066754221421</v>
      </c>
    </row>
    <row r="1317" spans="1:7" x14ac:dyDescent="0.35">
      <c r="A1317">
        <v>2013</v>
      </c>
      <c r="B1317" s="1" t="s">
        <v>128</v>
      </c>
      <c r="C1317" s="1" t="s">
        <v>129</v>
      </c>
      <c r="D1317" s="1" t="s">
        <v>8</v>
      </c>
      <c r="E1317" s="1">
        <v>122409.43</v>
      </c>
      <c r="F1317" s="1">
        <v>1194681</v>
      </c>
      <c r="G1317">
        <v>0.10246202124249067</v>
      </c>
    </row>
    <row r="1318" spans="1:7" x14ac:dyDescent="0.35">
      <c r="A1318">
        <v>2013</v>
      </c>
      <c r="B1318" s="1" t="s">
        <v>128</v>
      </c>
      <c r="C1318" s="1" t="s">
        <v>129</v>
      </c>
      <c r="D1318" s="1" t="s">
        <v>9</v>
      </c>
      <c r="E1318" s="1">
        <v>78791.460000000006</v>
      </c>
      <c r="F1318" s="1">
        <v>1194681</v>
      </c>
      <c r="G1318">
        <v>6.595188171570486E-2</v>
      </c>
    </row>
    <row r="1319" spans="1:7" x14ac:dyDescent="0.35">
      <c r="A1319">
        <v>2013</v>
      </c>
      <c r="B1319" s="1" t="s">
        <v>130</v>
      </c>
      <c r="C1319" s="1" t="s">
        <v>131</v>
      </c>
      <c r="D1319" s="1" t="s">
        <v>7</v>
      </c>
      <c r="E1319" s="1">
        <v>189068.63</v>
      </c>
      <c r="F1319" s="1">
        <v>689945</v>
      </c>
      <c r="G1319">
        <v>0.27403435056417541</v>
      </c>
    </row>
    <row r="1320" spans="1:7" x14ac:dyDescent="0.35">
      <c r="A1320">
        <v>2013</v>
      </c>
      <c r="B1320" s="1" t="s">
        <v>130</v>
      </c>
      <c r="C1320" s="1" t="s">
        <v>131</v>
      </c>
      <c r="D1320" s="1" t="s">
        <v>8</v>
      </c>
      <c r="E1320" s="1">
        <v>89669.81</v>
      </c>
      <c r="F1320" s="1">
        <v>689945</v>
      </c>
      <c r="G1320">
        <v>0.1299666060338143</v>
      </c>
    </row>
    <row r="1321" spans="1:7" x14ac:dyDescent="0.35">
      <c r="A1321">
        <v>2013</v>
      </c>
      <c r="B1321" s="1" t="s">
        <v>130</v>
      </c>
      <c r="C1321" s="1" t="s">
        <v>131</v>
      </c>
      <c r="D1321" s="1" t="s">
        <v>9</v>
      </c>
      <c r="E1321" s="1">
        <v>146884.68</v>
      </c>
      <c r="F1321" s="1">
        <v>689945</v>
      </c>
      <c r="G1321">
        <v>0.21289331758328561</v>
      </c>
    </row>
    <row r="1322" spans="1:7" x14ac:dyDescent="0.35">
      <c r="A1322">
        <v>2013</v>
      </c>
      <c r="B1322" s="1" t="s">
        <v>132</v>
      </c>
      <c r="C1322" s="1" t="s">
        <v>133</v>
      </c>
      <c r="D1322" s="1" t="s">
        <v>7</v>
      </c>
      <c r="E1322" s="1">
        <v>158313.78</v>
      </c>
      <c r="F1322" s="1">
        <v>595043</v>
      </c>
      <c r="G1322">
        <v>0.26605435237453429</v>
      </c>
    </row>
    <row r="1323" spans="1:7" x14ac:dyDescent="0.35">
      <c r="A1323">
        <v>2013</v>
      </c>
      <c r="B1323" s="1" t="s">
        <v>132</v>
      </c>
      <c r="C1323" s="1" t="s">
        <v>133</v>
      </c>
      <c r="D1323" s="1" t="s">
        <v>8</v>
      </c>
      <c r="E1323" s="1">
        <v>71752.63</v>
      </c>
      <c r="F1323" s="1">
        <v>595043</v>
      </c>
      <c r="G1323">
        <v>0.12058394099249971</v>
      </c>
    </row>
    <row r="1324" spans="1:7" x14ac:dyDescent="0.35">
      <c r="A1324">
        <v>2013</v>
      </c>
      <c r="B1324" s="1" t="s">
        <v>132</v>
      </c>
      <c r="C1324" s="1" t="s">
        <v>133</v>
      </c>
      <c r="D1324" s="1" t="s">
        <v>9</v>
      </c>
      <c r="E1324" s="1">
        <v>130446.85</v>
      </c>
      <c r="F1324" s="1">
        <v>595043</v>
      </c>
      <c r="G1324">
        <v>0.21922256038639226</v>
      </c>
    </row>
    <row r="1325" spans="1:7" x14ac:dyDescent="0.35">
      <c r="A1325">
        <v>2013</v>
      </c>
      <c r="B1325" s="1" t="s">
        <v>134</v>
      </c>
      <c r="C1325" s="1" t="s">
        <v>135</v>
      </c>
      <c r="D1325" s="1" t="s">
        <v>7</v>
      </c>
      <c r="E1325" s="1">
        <v>116635.24</v>
      </c>
      <c r="F1325" s="1">
        <v>499919</v>
      </c>
      <c r="G1325">
        <v>0.23330827594070241</v>
      </c>
    </row>
    <row r="1326" spans="1:7" x14ac:dyDescent="0.35">
      <c r="A1326">
        <v>2013</v>
      </c>
      <c r="B1326" s="1" t="s">
        <v>134</v>
      </c>
      <c r="C1326" s="1" t="s">
        <v>135</v>
      </c>
      <c r="D1326" s="1" t="s">
        <v>8</v>
      </c>
      <c r="E1326" s="1">
        <v>56909.96</v>
      </c>
      <c r="F1326" s="1">
        <v>499919</v>
      </c>
      <c r="G1326">
        <v>0.11383836181461397</v>
      </c>
    </row>
    <row r="1327" spans="1:7" x14ac:dyDescent="0.35">
      <c r="A1327">
        <v>2013</v>
      </c>
      <c r="B1327" s="1" t="s">
        <v>134</v>
      </c>
      <c r="C1327" s="1" t="s">
        <v>135</v>
      </c>
      <c r="D1327" s="1" t="s">
        <v>9</v>
      </c>
      <c r="E1327" s="1">
        <v>123670.97</v>
      </c>
      <c r="F1327" s="1">
        <v>499919</v>
      </c>
      <c r="G1327">
        <v>0.24738201588657363</v>
      </c>
    </row>
    <row r="1328" spans="1:7" x14ac:dyDescent="0.35">
      <c r="A1328">
        <v>2013</v>
      </c>
      <c r="B1328" s="1" t="s">
        <v>136</v>
      </c>
      <c r="C1328" s="1" t="s">
        <v>137</v>
      </c>
      <c r="D1328" s="1" t="s">
        <v>7</v>
      </c>
      <c r="E1328" s="1">
        <v>72201.39</v>
      </c>
      <c r="F1328" s="1">
        <v>288848</v>
      </c>
      <c r="G1328">
        <v>0.24996326787791504</v>
      </c>
    </row>
    <row r="1329" spans="1:7" x14ac:dyDescent="0.35">
      <c r="A1329">
        <v>2013</v>
      </c>
      <c r="B1329" s="1" t="s">
        <v>136</v>
      </c>
      <c r="C1329" s="1" t="s">
        <v>137</v>
      </c>
      <c r="D1329" s="1" t="s">
        <v>8</v>
      </c>
      <c r="E1329" s="1">
        <v>22676.01</v>
      </c>
      <c r="F1329" s="1">
        <v>288848</v>
      </c>
      <c r="G1329">
        <v>7.8504992245056221E-2</v>
      </c>
    </row>
    <row r="1330" spans="1:7" x14ac:dyDescent="0.35">
      <c r="A1330">
        <v>2013</v>
      </c>
      <c r="B1330" s="1" t="s">
        <v>136</v>
      </c>
      <c r="C1330" s="1" t="s">
        <v>137</v>
      </c>
      <c r="D1330" s="1" t="s">
        <v>9</v>
      </c>
      <c r="E1330" s="1">
        <v>67362.820000000007</v>
      </c>
      <c r="F1330" s="1">
        <v>288848</v>
      </c>
      <c r="G1330">
        <v>0.23321200077549439</v>
      </c>
    </row>
    <row r="1331" spans="1:7" x14ac:dyDescent="0.35">
      <c r="A1331">
        <v>2013</v>
      </c>
      <c r="B1331" s="1" t="s">
        <v>138</v>
      </c>
      <c r="C1331" s="1" t="s">
        <v>139</v>
      </c>
      <c r="D1331" s="1" t="s">
        <v>7</v>
      </c>
      <c r="E1331" s="1">
        <v>355628.7</v>
      </c>
      <c r="F1331" s="1">
        <v>1254609</v>
      </c>
      <c r="G1331">
        <v>0.28345779442041308</v>
      </c>
    </row>
    <row r="1332" spans="1:7" x14ac:dyDescent="0.35">
      <c r="A1332">
        <v>2013</v>
      </c>
      <c r="B1332" s="1" t="s">
        <v>138</v>
      </c>
      <c r="C1332" s="1" t="s">
        <v>139</v>
      </c>
      <c r="D1332" s="1" t="s">
        <v>8</v>
      </c>
      <c r="E1332" s="1">
        <v>139889.70000000001</v>
      </c>
      <c r="F1332" s="1">
        <v>1254609</v>
      </c>
      <c r="G1332">
        <v>0.11150063485914737</v>
      </c>
    </row>
    <row r="1333" spans="1:7" x14ac:dyDescent="0.35">
      <c r="A1333">
        <v>2013</v>
      </c>
      <c r="B1333" s="1" t="s">
        <v>138</v>
      </c>
      <c r="C1333" s="1" t="s">
        <v>139</v>
      </c>
      <c r="D1333" s="1" t="s">
        <v>9</v>
      </c>
      <c r="E1333" s="1">
        <v>261169.48</v>
      </c>
      <c r="F1333" s="1">
        <v>1254609</v>
      </c>
      <c r="G1333">
        <v>0.20816802685139355</v>
      </c>
    </row>
    <row r="1334" spans="1:7" x14ac:dyDescent="0.35">
      <c r="A1334">
        <v>2013</v>
      </c>
      <c r="B1334" s="1" t="s">
        <v>140</v>
      </c>
      <c r="C1334" s="1" t="s">
        <v>141</v>
      </c>
      <c r="D1334" s="1" t="s">
        <v>7</v>
      </c>
      <c r="E1334" s="1">
        <v>74412.78</v>
      </c>
      <c r="F1334" s="1">
        <v>353482</v>
      </c>
      <c r="G1334">
        <v>0.21051363294312014</v>
      </c>
    </row>
    <row r="1335" spans="1:7" x14ac:dyDescent="0.35">
      <c r="A1335">
        <v>2013</v>
      </c>
      <c r="B1335" s="1" t="s">
        <v>140</v>
      </c>
      <c r="C1335" s="1" t="s">
        <v>141</v>
      </c>
      <c r="D1335" s="1" t="s">
        <v>8</v>
      </c>
      <c r="E1335" s="1">
        <v>33917.660000000003</v>
      </c>
      <c r="F1335" s="1">
        <v>353482</v>
      </c>
      <c r="G1335">
        <v>9.5953004679163303E-2</v>
      </c>
    </row>
    <row r="1336" spans="1:7" x14ac:dyDescent="0.35">
      <c r="A1336">
        <v>2013</v>
      </c>
      <c r="B1336" s="1" t="s">
        <v>140</v>
      </c>
      <c r="C1336" s="1" t="s">
        <v>141</v>
      </c>
      <c r="D1336" s="1" t="s">
        <v>9</v>
      </c>
      <c r="E1336" s="1">
        <v>70928.94</v>
      </c>
      <c r="F1336" s="1">
        <v>353482</v>
      </c>
      <c r="G1336">
        <v>0.20065785527975966</v>
      </c>
    </row>
    <row r="1337" spans="1:7" x14ac:dyDescent="0.35">
      <c r="A1337">
        <v>2013</v>
      </c>
      <c r="B1337" s="1" t="s">
        <v>142</v>
      </c>
      <c r="C1337" s="1" t="s">
        <v>143</v>
      </c>
      <c r="D1337" s="1" t="s">
        <v>7</v>
      </c>
      <c r="E1337" s="1">
        <v>183498.4</v>
      </c>
      <c r="F1337" s="1">
        <v>633417</v>
      </c>
      <c r="G1337">
        <v>0.28969604541715804</v>
      </c>
    </row>
    <row r="1338" spans="1:7" x14ac:dyDescent="0.35">
      <c r="A1338">
        <v>2013</v>
      </c>
      <c r="B1338" s="1" t="s">
        <v>142</v>
      </c>
      <c r="C1338" s="1" t="s">
        <v>143</v>
      </c>
      <c r="D1338" s="1" t="s">
        <v>8</v>
      </c>
      <c r="E1338" s="1">
        <v>74151.490000000005</v>
      </c>
      <c r="F1338" s="1">
        <v>633417</v>
      </c>
      <c r="G1338">
        <v>0.11706583498706224</v>
      </c>
    </row>
    <row r="1339" spans="1:7" x14ac:dyDescent="0.35">
      <c r="A1339">
        <v>2013</v>
      </c>
      <c r="B1339" s="1" t="s">
        <v>142</v>
      </c>
      <c r="C1339" s="1" t="s">
        <v>143</v>
      </c>
      <c r="D1339" s="1" t="s">
        <v>9</v>
      </c>
      <c r="E1339" s="1">
        <v>149661.39000000001</v>
      </c>
      <c r="F1339" s="1">
        <v>633417</v>
      </c>
      <c r="G1339">
        <v>0.2362762445592714</v>
      </c>
    </row>
    <row r="1340" spans="1:7" x14ac:dyDescent="0.35">
      <c r="A1340">
        <v>2013</v>
      </c>
      <c r="B1340" s="1" t="s">
        <v>144</v>
      </c>
      <c r="C1340" s="1" t="s">
        <v>145</v>
      </c>
      <c r="D1340" s="1" t="s">
        <v>7</v>
      </c>
      <c r="E1340" s="1">
        <v>61135.55</v>
      </c>
      <c r="F1340" s="1">
        <v>240781</v>
      </c>
      <c r="G1340">
        <v>0.25390520846744552</v>
      </c>
    </row>
    <row r="1341" spans="1:7" x14ac:dyDescent="0.35">
      <c r="A1341">
        <v>2013</v>
      </c>
      <c r="B1341" s="1" t="s">
        <v>144</v>
      </c>
      <c r="C1341" s="1" t="s">
        <v>145</v>
      </c>
      <c r="D1341" s="1" t="s">
        <v>8</v>
      </c>
      <c r="E1341" s="1">
        <v>17516.86</v>
      </c>
      <c r="F1341" s="1">
        <v>240781</v>
      </c>
      <c r="G1341">
        <v>7.2750175470655903E-2</v>
      </c>
    </row>
    <row r="1342" spans="1:7" x14ac:dyDescent="0.35">
      <c r="A1342">
        <v>2013</v>
      </c>
      <c r="B1342" s="1" t="s">
        <v>144</v>
      </c>
      <c r="C1342" s="1" t="s">
        <v>145</v>
      </c>
      <c r="D1342" s="1" t="s">
        <v>9</v>
      </c>
      <c r="E1342" s="1">
        <v>33586.400000000001</v>
      </c>
      <c r="F1342" s="1">
        <v>240781</v>
      </c>
      <c r="G1342">
        <v>0.13948941153994709</v>
      </c>
    </row>
    <row r="1343" spans="1:7" x14ac:dyDescent="0.35">
      <c r="A1343">
        <v>2013</v>
      </c>
      <c r="B1343" s="1" t="s">
        <v>146</v>
      </c>
      <c r="C1343" s="1" t="s">
        <v>147</v>
      </c>
      <c r="D1343" s="1" t="s">
        <v>7</v>
      </c>
      <c r="E1343" s="1">
        <v>29101.67</v>
      </c>
      <c r="F1343" s="1">
        <v>120872</v>
      </c>
      <c r="G1343">
        <v>0.24076436230061551</v>
      </c>
    </row>
    <row r="1344" spans="1:7" x14ac:dyDescent="0.35">
      <c r="A1344">
        <v>2013</v>
      </c>
      <c r="B1344" s="1" t="s">
        <v>146</v>
      </c>
      <c r="C1344" s="1" t="s">
        <v>147</v>
      </c>
      <c r="D1344" s="1" t="s">
        <v>8</v>
      </c>
      <c r="E1344" s="1">
        <v>11283.25</v>
      </c>
      <c r="F1344" s="1">
        <v>120872</v>
      </c>
      <c r="G1344">
        <v>9.3348749089946392E-2</v>
      </c>
    </row>
    <row r="1345" spans="1:7" x14ac:dyDescent="0.35">
      <c r="A1345">
        <v>2013</v>
      </c>
      <c r="B1345" s="1" t="s">
        <v>146</v>
      </c>
      <c r="C1345" s="1" t="s">
        <v>147</v>
      </c>
      <c r="D1345" s="1" t="s">
        <v>9</v>
      </c>
      <c r="E1345" s="1">
        <v>16506.47</v>
      </c>
      <c r="F1345" s="1">
        <v>120872</v>
      </c>
      <c r="G1345">
        <v>0.13656156926335297</v>
      </c>
    </row>
    <row r="1346" spans="1:7" x14ac:dyDescent="0.35">
      <c r="A1346">
        <v>2013</v>
      </c>
      <c r="B1346" s="1" t="s">
        <v>148</v>
      </c>
      <c r="C1346" s="1" t="s">
        <v>149</v>
      </c>
      <c r="D1346" s="1" t="s">
        <v>7</v>
      </c>
      <c r="E1346" s="1">
        <v>104547.11</v>
      </c>
      <c r="F1346" s="1">
        <v>416909</v>
      </c>
      <c r="G1346">
        <v>0.25076721778613559</v>
      </c>
    </row>
    <row r="1347" spans="1:7" x14ac:dyDescent="0.35">
      <c r="A1347">
        <v>2013</v>
      </c>
      <c r="B1347" s="1" t="s">
        <v>148</v>
      </c>
      <c r="C1347" s="1" t="s">
        <v>149</v>
      </c>
      <c r="D1347" s="1" t="s">
        <v>8</v>
      </c>
      <c r="E1347" s="1">
        <v>40152.35</v>
      </c>
      <c r="F1347" s="1">
        <v>416909</v>
      </c>
      <c r="G1347">
        <v>9.6309626321331512E-2</v>
      </c>
    </row>
    <row r="1348" spans="1:7" x14ac:dyDescent="0.35">
      <c r="A1348">
        <v>2013</v>
      </c>
      <c r="B1348" s="1" t="s">
        <v>148</v>
      </c>
      <c r="C1348" s="1" t="s">
        <v>149</v>
      </c>
      <c r="D1348" s="1" t="s">
        <v>9</v>
      </c>
      <c r="E1348" s="1">
        <v>65753.09</v>
      </c>
      <c r="F1348" s="1">
        <v>416909</v>
      </c>
      <c r="G1348">
        <v>0.15771568855553608</v>
      </c>
    </row>
    <row r="1349" spans="1:7" x14ac:dyDescent="0.35">
      <c r="A1349">
        <v>2013</v>
      </c>
      <c r="B1349" s="1" t="s">
        <v>150</v>
      </c>
      <c r="C1349" s="1" t="s">
        <v>151</v>
      </c>
      <c r="D1349" s="1" t="s">
        <v>7</v>
      </c>
      <c r="E1349" s="1">
        <v>369169.4</v>
      </c>
      <c r="F1349" s="1">
        <v>1505517</v>
      </c>
      <c r="G1349">
        <v>0.24521104710209185</v>
      </c>
    </row>
    <row r="1350" spans="1:7" x14ac:dyDescent="0.35">
      <c r="A1350">
        <v>2013</v>
      </c>
      <c r="B1350" s="1" t="s">
        <v>150</v>
      </c>
      <c r="C1350" s="1" t="s">
        <v>151</v>
      </c>
      <c r="D1350" s="1" t="s">
        <v>8</v>
      </c>
      <c r="E1350" s="1">
        <v>157837.44</v>
      </c>
      <c r="F1350" s="1">
        <v>1505517</v>
      </c>
      <c r="G1350">
        <v>0.10483936083086408</v>
      </c>
    </row>
    <row r="1351" spans="1:7" x14ac:dyDescent="0.35">
      <c r="A1351">
        <v>2013</v>
      </c>
      <c r="B1351" s="1" t="s">
        <v>150</v>
      </c>
      <c r="C1351" s="1" t="s">
        <v>151</v>
      </c>
      <c r="D1351" s="1" t="s">
        <v>9</v>
      </c>
      <c r="E1351" s="1">
        <v>289630.55</v>
      </c>
      <c r="F1351" s="1">
        <v>1505517</v>
      </c>
      <c r="G1351">
        <v>0.19237946167329892</v>
      </c>
    </row>
    <row r="1352" spans="1:7" x14ac:dyDescent="0.35">
      <c r="A1352">
        <v>2013</v>
      </c>
      <c r="B1352" s="1" t="s">
        <v>152</v>
      </c>
      <c r="C1352" s="1" t="s">
        <v>153</v>
      </c>
      <c r="D1352" s="1" t="s">
        <v>7</v>
      </c>
      <c r="E1352" s="1">
        <v>122977.44</v>
      </c>
      <c r="F1352" s="1">
        <v>397226</v>
      </c>
      <c r="G1352">
        <v>0.30959061088649786</v>
      </c>
    </row>
    <row r="1353" spans="1:7" x14ac:dyDescent="0.35">
      <c r="A1353">
        <v>2013</v>
      </c>
      <c r="B1353" s="1" t="s">
        <v>152</v>
      </c>
      <c r="C1353" s="1" t="s">
        <v>153</v>
      </c>
      <c r="D1353" s="1" t="s">
        <v>8</v>
      </c>
      <c r="E1353" s="1">
        <v>33693.71</v>
      </c>
      <c r="F1353" s="1">
        <v>397226</v>
      </c>
      <c r="G1353">
        <v>8.4822519170447044E-2</v>
      </c>
    </row>
    <row r="1354" spans="1:7" x14ac:dyDescent="0.35">
      <c r="A1354">
        <v>2013</v>
      </c>
      <c r="B1354" s="1" t="s">
        <v>152</v>
      </c>
      <c r="C1354" s="1" t="s">
        <v>153</v>
      </c>
      <c r="D1354" s="1" t="s">
        <v>9</v>
      </c>
      <c r="E1354" s="1">
        <v>143232.25</v>
      </c>
      <c r="F1354" s="1">
        <v>397226</v>
      </c>
      <c r="G1354">
        <v>0.36058125601043234</v>
      </c>
    </row>
    <row r="1355" spans="1:7" x14ac:dyDescent="0.35">
      <c r="A1355">
        <v>2013</v>
      </c>
      <c r="B1355" s="1" t="s">
        <v>154</v>
      </c>
      <c r="C1355" s="1" t="s">
        <v>155</v>
      </c>
      <c r="D1355" s="1" t="s">
        <v>7</v>
      </c>
      <c r="E1355" s="1">
        <v>87187.68</v>
      </c>
      <c r="F1355" s="1">
        <v>333180</v>
      </c>
      <c r="G1355">
        <v>0.26168341437061043</v>
      </c>
    </row>
    <row r="1356" spans="1:7" x14ac:dyDescent="0.35">
      <c r="A1356">
        <v>2013</v>
      </c>
      <c r="B1356" s="1" t="s">
        <v>154</v>
      </c>
      <c r="C1356" s="1" t="s">
        <v>155</v>
      </c>
      <c r="D1356" s="1" t="s">
        <v>8</v>
      </c>
      <c r="E1356" s="1">
        <v>33872.019999999997</v>
      </c>
      <c r="F1356" s="1">
        <v>333180</v>
      </c>
      <c r="G1356">
        <v>0.10166282489945373</v>
      </c>
    </row>
    <row r="1357" spans="1:7" x14ac:dyDescent="0.35">
      <c r="A1357">
        <v>2013</v>
      </c>
      <c r="B1357" s="1" t="s">
        <v>154</v>
      </c>
      <c r="C1357" s="1" t="s">
        <v>155</v>
      </c>
      <c r="D1357" s="1" t="s">
        <v>9</v>
      </c>
      <c r="E1357" s="1">
        <v>53983.02</v>
      </c>
      <c r="F1357" s="1">
        <v>333180</v>
      </c>
      <c r="G1357">
        <v>0.16202359085179183</v>
      </c>
    </row>
    <row r="1358" spans="1:7" x14ac:dyDescent="0.35">
      <c r="A1358">
        <v>2013</v>
      </c>
      <c r="B1358" s="1" t="s">
        <v>156</v>
      </c>
      <c r="C1358" s="1" t="s">
        <v>157</v>
      </c>
      <c r="D1358" s="1" t="s">
        <v>7</v>
      </c>
      <c r="E1358" s="1">
        <v>173909.84</v>
      </c>
      <c r="F1358" s="1">
        <v>664057</v>
      </c>
      <c r="G1358">
        <v>0.26188992812363998</v>
      </c>
    </row>
    <row r="1359" spans="1:7" x14ac:dyDescent="0.35">
      <c r="A1359">
        <v>2013</v>
      </c>
      <c r="B1359" s="1" t="s">
        <v>156</v>
      </c>
      <c r="C1359" s="1" t="s">
        <v>157</v>
      </c>
      <c r="D1359" s="1" t="s">
        <v>8</v>
      </c>
      <c r="E1359" s="1">
        <v>70663.31</v>
      </c>
      <c r="F1359" s="1">
        <v>664057</v>
      </c>
      <c r="G1359">
        <v>0.10641151286711834</v>
      </c>
    </row>
    <row r="1360" spans="1:7" x14ac:dyDescent="0.35">
      <c r="A1360">
        <v>2013</v>
      </c>
      <c r="B1360" s="1" t="s">
        <v>156</v>
      </c>
      <c r="C1360" s="1" t="s">
        <v>157</v>
      </c>
      <c r="D1360" s="1" t="s">
        <v>9</v>
      </c>
      <c r="E1360" s="1">
        <v>111513.81</v>
      </c>
      <c r="F1360" s="1">
        <v>664057</v>
      </c>
      <c r="G1360">
        <v>0.16792806942777502</v>
      </c>
    </row>
    <row r="1361" spans="1:7" x14ac:dyDescent="0.35">
      <c r="A1361">
        <v>2013</v>
      </c>
      <c r="B1361" s="1" t="s">
        <v>158</v>
      </c>
      <c r="C1361" s="1" t="s">
        <v>159</v>
      </c>
      <c r="D1361" s="1" t="s">
        <v>7</v>
      </c>
      <c r="E1361" s="1">
        <v>73638.75</v>
      </c>
      <c r="F1361" s="1">
        <v>371632</v>
      </c>
      <c r="G1361">
        <v>0.19814964803892021</v>
      </c>
    </row>
    <row r="1362" spans="1:7" x14ac:dyDescent="0.35">
      <c r="A1362">
        <v>2013</v>
      </c>
      <c r="B1362" s="1" t="s">
        <v>158</v>
      </c>
      <c r="C1362" s="1" t="s">
        <v>159</v>
      </c>
      <c r="D1362" s="1" t="s">
        <v>8</v>
      </c>
      <c r="E1362" s="1">
        <v>38235.35</v>
      </c>
      <c r="F1362" s="1">
        <v>371632</v>
      </c>
      <c r="G1362">
        <v>0.10288497761226159</v>
      </c>
    </row>
    <row r="1363" spans="1:7" x14ac:dyDescent="0.35">
      <c r="A1363">
        <v>2013</v>
      </c>
      <c r="B1363" s="1" t="s">
        <v>158</v>
      </c>
      <c r="C1363" s="1" t="s">
        <v>159</v>
      </c>
      <c r="D1363" s="1" t="s">
        <v>9</v>
      </c>
      <c r="E1363" s="1">
        <v>76819.5</v>
      </c>
      <c r="F1363" s="1">
        <v>371632</v>
      </c>
      <c r="G1363">
        <v>0.20670851810393076</v>
      </c>
    </row>
    <row r="1364" spans="1:7" x14ac:dyDescent="0.35">
      <c r="A1364">
        <v>2013</v>
      </c>
      <c r="B1364" s="1" t="s">
        <v>160</v>
      </c>
      <c r="C1364" s="1" t="s">
        <v>161</v>
      </c>
      <c r="D1364" s="1" t="s">
        <v>7</v>
      </c>
      <c r="E1364" s="1">
        <v>93064.8</v>
      </c>
      <c r="F1364" s="1">
        <v>431248</v>
      </c>
      <c r="G1364">
        <v>0.21580343561013618</v>
      </c>
    </row>
    <row r="1365" spans="1:7" x14ac:dyDescent="0.35">
      <c r="A1365">
        <v>2013</v>
      </c>
      <c r="B1365" s="1" t="s">
        <v>160</v>
      </c>
      <c r="C1365" s="1" t="s">
        <v>161</v>
      </c>
      <c r="D1365" s="1" t="s">
        <v>8</v>
      </c>
      <c r="E1365" s="1">
        <v>36753.699999999997</v>
      </c>
      <c r="F1365" s="1">
        <v>431248</v>
      </c>
      <c r="G1365">
        <v>8.5226366267205866E-2</v>
      </c>
    </row>
    <row r="1366" spans="1:7" x14ac:dyDescent="0.35">
      <c r="A1366">
        <v>2013</v>
      </c>
      <c r="B1366" s="1" t="s">
        <v>160</v>
      </c>
      <c r="C1366" s="1" t="s">
        <v>161</v>
      </c>
      <c r="D1366" s="1" t="s">
        <v>9</v>
      </c>
      <c r="E1366" s="1">
        <v>89229.02</v>
      </c>
      <c r="F1366" s="1">
        <v>431248</v>
      </c>
      <c r="G1366">
        <v>0.20690883204096019</v>
      </c>
    </row>
    <row r="1367" spans="1:7" x14ac:dyDescent="0.35">
      <c r="A1367">
        <v>2013</v>
      </c>
      <c r="B1367" s="1" t="s">
        <v>162</v>
      </c>
      <c r="C1367" s="1" t="s">
        <v>163</v>
      </c>
      <c r="D1367" s="1" t="s">
        <v>7</v>
      </c>
      <c r="E1367" s="1">
        <v>87903.54</v>
      </c>
      <c r="F1367" s="1">
        <v>375856</v>
      </c>
      <c r="G1367">
        <v>0.23387558000936526</v>
      </c>
    </row>
    <row r="1368" spans="1:7" x14ac:dyDescent="0.35">
      <c r="A1368">
        <v>2013</v>
      </c>
      <c r="B1368" s="1" t="s">
        <v>162</v>
      </c>
      <c r="C1368" s="1" t="s">
        <v>163</v>
      </c>
      <c r="D1368" s="1" t="s">
        <v>8</v>
      </c>
      <c r="E1368" s="1">
        <v>32013.99</v>
      </c>
      <c r="F1368" s="1">
        <v>375856</v>
      </c>
      <c r="G1368">
        <v>8.5176211102124227E-2</v>
      </c>
    </row>
    <row r="1369" spans="1:7" x14ac:dyDescent="0.35">
      <c r="A1369">
        <v>2013</v>
      </c>
      <c r="B1369" s="1" t="s">
        <v>162</v>
      </c>
      <c r="C1369" s="1" t="s">
        <v>163</v>
      </c>
      <c r="D1369" s="1" t="s">
        <v>9</v>
      </c>
      <c r="E1369" s="1">
        <v>56034.62</v>
      </c>
      <c r="F1369" s="1">
        <v>375856</v>
      </c>
      <c r="G1369">
        <v>0.14908534119450004</v>
      </c>
    </row>
    <row r="1370" spans="1:7" x14ac:dyDescent="0.35">
      <c r="A1370">
        <v>2013</v>
      </c>
      <c r="B1370" s="1" t="s">
        <v>164</v>
      </c>
      <c r="C1370" s="1" t="s">
        <v>165</v>
      </c>
      <c r="D1370" s="1" t="s">
        <v>7</v>
      </c>
      <c r="E1370" s="1">
        <v>45726</v>
      </c>
      <c r="F1370" s="1">
        <v>152684</v>
      </c>
      <c r="G1370">
        <v>0.29948128160121557</v>
      </c>
    </row>
    <row r="1371" spans="1:7" x14ac:dyDescent="0.35">
      <c r="A1371">
        <v>2013</v>
      </c>
      <c r="B1371" s="1" t="s">
        <v>164</v>
      </c>
      <c r="C1371" s="1" t="s">
        <v>165</v>
      </c>
      <c r="D1371" s="1" t="s">
        <v>8</v>
      </c>
      <c r="E1371" s="1">
        <v>19472.689999999999</v>
      </c>
      <c r="F1371" s="1">
        <v>152684</v>
      </c>
      <c r="G1371">
        <v>0.12753589112153205</v>
      </c>
    </row>
    <row r="1372" spans="1:7" x14ac:dyDescent="0.35">
      <c r="A1372">
        <v>2013</v>
      </c>
      <c r="B1372" s="1" t="s">
        <v>164</v>
      </c>
      <c r="C1372" s="1" t="s">
        <v>165</v>
      </c>
      <c r="D1372" s="1" t="s">
        <v>9</v>
      </c>
      <c r="E1372" s="1">
        <v>29318.12</v>
      </c>
      <c r="F1372" s="1">
        <v>152684</v>
      </c>
      <c r="G1372">
        <v>0.19201828613345209</v>
      </c>
    </row>
    <row r="1373" spans="1:7" x14ac:dyDescent="0.35">
      <c r="A1373">
        <v>2013</v>
      </c>
      <c r="B1373" s="1" t="s">
        <v>166</v>
      </c>
      <c r="C1373" s="1" t="s">
        <v>167</v>
      </c>
      <c r="D1373" s="1" t="s">
        <v>7</v>
      </c>
      <c r="E1373" s="1">
        <v>129901.34</v>
      </c>
      <c r="F1373" s="1">
        <v>364877</v>
      </c>
      <c r="G1373">
        <v>0.35601405405109116</v>
      </c>
    </row>
    <row r="1374" spans="1:7" x14ac:dyDescent="0.35">
      <c r="A1374">
        <v>2013</v>
      </c>
      <c r="B1374" s="1" t="s">
        <v>166</v>
      </c>
      <c r="C1374" s="1" t="s">
        <v>167</v>
      </c>
      <c r="D1374" s="1" t="s">
        <v>8</v>
      </c>
      <c r="E1374" s="1">
        <v>28903.23</v>
      </c>
      <c r="F1374" s="1">
        <v>364877</v>
      </c>
      <c r="G1374">
        <v>7.9213625413495511E-2</v>
      </c>
    </row>
    <row r="1375" spans="1:7" x14ac:dyDescent="0.35">
      <c r="A1375">
        <v>2013</v>
      </c>
      <c r="B1375" s="1" t="s">
        <v>166</v>
      </c>
      <c r="C1375" s="1" t="s">
        <v>167</v>
      </c>
      <c r="D1375" s="1" t="s">
        <v>9</v>
      </c>
      <c r="E1375" s="1">
        <v>62704.99</v>
      </c>
      <c r="F1375" s="1">
        <v>364877</v>
      </c>
      <c r="G1375">
        <v>0.1718524050570466</v>
      </c>
    </row>
    <row r="1376" spans="1:7" x14ac:dyDescent="0.35">
      <c r="A1376">
        <v>2013</v>
      </c>
      <c r="B1376" s="1" t="s">
        <v>168</v>
      </c>
      <c r="C1376" s="1" t="s">
        <v>169</v>
      </c>
      <c r="D1376" s="1" t="s">
        <v>7</v>
      </c>
      <c r="E1376" s="1">
        <v>62816.37</v>
      </c>
      <c r="F1376" s="1">
        <v>277740</v>
      </c>
      <c r="G1376">
        <v>0.22616969107798662</v>
      </c>
    </row>
    <row r="1377" spans="1:7" x14ac:dyDescent="0.35">
      <c r="A1377">
        <v>2013</v>
      </c>
      <c r="B1377" s="1" t="s">
        <v>168</v>
      </c>
      <c r="C1377" s="1" t="s">
        <v>169</v>
      </c>
      <c r="D1377" s="1" t="s">
        <v>8</v>
      </c>
      <c r="E1377" s="1">
        <v>27138.37</v>
      </c>
      <c r="F1377" s="1">
        <v>277740</v>
      </c>
      <c r="G1377">
        <v>9.7711420753222436E-2</v>
      </c>
    </row>
    <row r="1378" spans="1:7" x14ac:dyDescent="0.35">
      <c r="A1378">
        <v>2013</v>
      </c>
      <c r="B1378" s="1" t="s">
        <v>168</v>
      </c>
      <c r="C1378" s="1" t="s">
        <v>169</v>
      </c>
      <c r="D1378" s="1" t="s">
        <v>9</v>
      </c>
      <c r="E1378" s="1">
        <v>37637.480000000003</v>
      </c>
      <c r="F1378" s="1">
        <v>277740</v>
      </c>
      <c r="G1378">
        <v>0.13551335781666307</v>
      </c>
    </row>
    <row r="1379" spans="1:7" x14ac:dyDescent="0.35">
      <c r="A1379">
        <v>2013</v>
      </c>
      <c r="B1379" s="1" t="s">
        <v>170</v>
      </c>
      <c r="C1379" s="1" t="s">
        <v>171</v>
      </c>
      <c r="D1379" s="1" t="s">
        <v>7</v>
      </c>
      <c r="E1379" s="1">
        <v>209073.08</v>
      </c>
      <c r="F1379" s="1">
        <v>733201</v>
      </c>
      <c r="G1379">
        <v>0.28515111135964077</v>
      </c>
    </row>
    <row r="1380" spans="1:7" x14ac:dyDescent="0.35">
      <c r="A1380">
        <v>2013</v>
      </c>
      <c r="B1380" s="1" t="s">
        <v>170</v>
      </c>
      <c r="C1380" s="1" t="s">
        <v>171</v>
      </c>
      <c r="D1380" s="1" t="s">
        <v>8</v>
      </c>
      <c r="E1380" s="1">
        <v>54603.4</v>
      </c>
      <c r="F1380" s="1">
        <v>733201</v>
      </c>
      <c r="G1380">
        <v>7.4472620741106471E-2</v>
      </c>
    </row>
    <row r="1381" spans="1:7" x14ac:dyDescent="0.35">
      <c r="A1381">
        <v>2013</v>
      </c>
      <c r="B1381" s="1" t="s">
        <v>170</v>
      </c>
      <c r="C1381" s="1" t="s">
        <v>171</v>
      </c>
      <c r="D1381" s="1" t="s">
        <v>9</v>
      </c>
      <c r="E1381" s="1">
        <v>118669.65</v>
      </c>
      <c r="F1381" s="1">
        <v>733201</v>
      </c>
      <c r="G1381">
        <v>0.1618514568310736</v>
      </c>
    </row>
    <row r="1382" spans="1:7" x14ac:dyDescent="0.35">
      <c r="A1382">
        <v>2013</v>
      </c>
      <c r="B1382" s="1" t="s">
        <v>172</v>
      </c>
      <c r="C1382" s="1" t="s">
        <v>173</v>
      </c>
      <c r="D1382" s="1" t="s">
        <v>7</v>
      </c>
      <c r="E1382" s="1">
        <v>354758.12</v>
      </c>
      <c r="F1382" s="1">
        <v>1298562</v>
      </c>
      <c r="G1382">
        <v>0.27319305508708863</v>
      </c>
    </row>
    <row r="1383" spans="1:7" x14ac:dyDescent="0.35">
      <c r="A1383">
        <v>2013</v>
      </c>
      <c r="B1383" s="1" t="s">
        <v>172</v>
      </c>
      <c r="C1383" s="1" t="s">
        <v>173</v>
      </c>
      <c r="D1383" s="1" t="s">
        <v>8</v>
      </c>
      <c r="E1383" s="1">
        <v>105931.82</v>
      </c>
      <c r="F1383" s="1">
        <v>1298562</v>
      </c>
      <c r="G1383">
        <v>8.1576251268711084E-2</v>
      </c>
    </row>
    <row r="1384" spans="1:7" x14ac:dyDescent="0.35">
      <c r="A1384">
        <v>2013</v>
      </c>
      <c r="B1384" s="1" t="s">
        <v>172</v>
      </c>
      <c r="C1384" s="1" t="s">
        <v>173</v>
      </c>
      <c r="D1384" s="1" t="s">
        <v>9</v>
      </c>
      <c r="E1384" s="1">
        <v>118278.73</v>
      </c>
      <c r="F1384" s="1">
        <v>1298562</v>
      </c>
      <c r="G1384">
        <v>9.1084391811865742E-2</v>
      </c>
    </row>
    <row r="1385" spans="1:7" x14ac:dyDescent="0.35">
      <c r="A1385">
        <v>2013</v>
      </c>
      <c r="B1385" s="1" t="s">
        <v>174</v>
      </c>
      <c r="C1385" s="1" t="s">
        <v>175</v>
      </c>
      <c r="D1385" s="1" t="s">
        <v>7</v>
      </c>
      <c r="E1385" s="1">
        <v>45880.3</v>
      </c>
      <c r="F1385" s="1">
        <v>190276</v>
      </c>
      <c r="G1385">
        <v>0.24112499737223825</v>
      </c>
    </row>
    <row r="1386" spans="1:7" x14ac:dyDescent="0.35">
      <c r="A1386">
        <v>2013</v>
      </c>
      <c r="B1386" s="1" t="s">
        <v>174</v>
      </c>
      <c r="C1386" s="1" t="s">
        <v>175</v>
      </c>
      <c r="D1386" s="1" t="s">
        <v>8</v>
      </c>
      <c r="E1386" s="1">
        <v>16223.97</v>
      </c>
      <c r="F1386" s="1">
        <v>190276</v>
      </c>
      <c r="G1386">
        <v>8.5265456494776001E-2</v>
      </c>
    </row>
    <row r="1387" spans="1:7" x14ac:dyDescent="0.35">
      <c r="A1387">
        <v>2013</v>
      </c>
      <c r="B1387" s="1" t="s">
        <v>174</v>
      </c>
      <c r="C1387" s="1" t="s">
        <v>175</v>
      </c>
      <c r="D1387" s="1" t="s">
        <v>9</v>
      </c>
      <c r="E1387" s="1">
        <v>29816.01</v>
      </c>
      <c r="F1387" s="1">
        <v>190276</v>
      </c>
      <c r="G1387">
        <v>0.15669874287876556</v>
      </c>
    </row>
    <row r="1388" spans="1:7" x14ac:dyDescent="0.35">
      <c r="A1388">
        <v>2013</v>
      </c>
      <c r="B1388" s="1" t="s">
        <v>176</v>
      </c>
      <c r="C1388" s="1" t="s">
        <v>177</v>
      </c>
      <c r="D1388" s="1" t="s">
        <v>7</v>
      </c>
      <c r="E1388" s="1">
        <v>339976.53</v>
      </c>
      <c r="F1388" s="1">
        <v>1092331</v>
      </c>
      <c r="G1388">
        <v>0.3112394777773404</v>
      </c>
    </row>
    <row r="1389" spans="1:7" x14ac:dyDescent="0.35">
      <c r="A1389">
        <v>2013</v>
      </c>
      <c r="B1389" s="1" t="s">
        <v>176</v>
      </c>
      <c r="C1389" s="1" t="s">
        <v>177</v>
      </c>
      <c r="D1389" s="1" t="s">
        <v>8</v>
      </c>
      <c r="E1389" s="1">
        <v>121948.03</v>
      </c>
      <c r="F1389" s="1">
        <v>1092331</v>
      </c>
      <c r="G1389">
        <v>0.11164018049474014</v>
      </c>
    </row>
    <row r="1390" spans="1:7" x14ac:dyDescent="0.35">
      <c r="A1390">
        <v>2013</v>
      </c>
      <c r="B1390" s="1" t="s">
        <v>176</v>
      </c>
      <c r="C1390" s="1" t="s">
        <v>177</v>
      </c>
      <c r="D1390" s="1" t="s">
        <v>9</v>
      </c>
      <c r="E1390" s="1">
        <v>203216.02</v>
      </c>
      <c r="F1390" s="1">
        <v>1092331</v>
      </c>
      <c r="G1390">
        <v>0.18603886550871485</v>
      </c>
    </row>
    <row r="1391" spans="1:7" x14ac:dyDescent="0.35">
      <c r="A1391">
        <v>2013</v>
      </c>
      <c r="B1391" s="1" t="s">
        <v>178</v>
      </c>
      <c r="C1391" s="1" t="s">
        <v>179</v>
      </c>
      <c r="D1391" s="1" t="s">
        <v>7</v>
      </c>
      <c r="E1391" s="1">
        <v>40946.18</v>
      </c>
      <c r="F1391" s="1">
        <v>173758</v>
      </c>
      <c r="G1391">
        <v>0.23565061752552402</v>
      </c>
    </row>
    <row r="1392" spans="1:7" x14ac:dyDescent="0.35">
      <c r="A1392">
        <v>2013</v>
      </c>
      <c r="B1392" s="1" t="s">
        <v>178</v>
      </c>
      <c r="C1392" s="1" t="s">
        <v>179</v>
      </c>
      <c r="D1392" s="1" t="s">
        <v>8</v>
      </c>
      <c r="E1392" s="1">
        <v>23670.81</v>
      </c>
      <c r="F1392" s="1">
        <v>173758</v>
      </c>
      <c r="G1392">
        <v>0.13622860530162642</v>
      </c>
    </row>
    <row r="1393" spans="1:7" x14ac:dyDescent="0.35">
      <c r="A1393">
        <v>2013</v>
      </c>
      <c r="B1393" s="1" t="s">
        <v>178</v>
      </c>
      <c r="C1393" s="1" t="s">
        <v>179</v>
      </c>
      <c r="D1393" s="1" t="s">
        <v>9</v>
      </c>
      <c r="E1393" s="1">
        <v>31332.17</v>
      </c>
      <c r="F1393" s="1">
        <v>173758</v>
      </c>
      <c r="G1393">
        <v>0.18032073343385627</v>
      </c>
    </row>
    <row r="1394" spans="1:7" x14ac:dyDescent="0.35">
      <c r="A1394">
        <v>2013</v>
      </c>
      <c r="B1394" s="1" t="s">
        <v>180</v>
      </c>
      <c r="C1394" s="1" t="s">
        <v>181</v>
      </c>
      <c r="D1394" s="1" t="s">
        <v>7</v>
      </c>
      <c r="E1394" s="1">
        <v>21414.68</v>
      </c>
      <c r="F1394" s="1">
        <v>76607</v>
      </c>
      <c r="G1394">
        <v>0.27953946767266702</v>
      </c>
    </row>
    <row r="1395" spans="1:7" x14ac:dyDescent="0.35">
      <c r="A1395">
        <v>2013</v>
      </c>
      <c r="B1395" s="1" t="s">
        <v>180</v>
      </c>
      <c r="C1395" s="1" t="s">
        <v>181</v>
      </c>
      <c r="D1395" s="1" t="s">
        <v>8</v>
      </c>
      <c r="E1395" s="1">
        <v>5078.4799999999996</v>
      </c>
      <c r="F1395" s="1">
        <v>76607</v>
      </c>
      <c r="G1395">
        <v>6.629263644314487E-2</v>
      </c>
    </row>
    <row r="1396" spans="1:7" x14ac:dyDescent="0.35">
      <c r="A1396">
        <v>2013</v>
      </c>
      <c r="B1396" s="1" t="s">
        <v>180</v>
      </c>
      <c r="C1396" s="1" t="s">
        <v>181</v>
      </c>
      <c r="D1396" s="1" t="s">
        <v>9</v>
      </c>
      <c r="E1396" s="1">
        <v>11291.9</v>
      </c>
      <c r="F1396" s="1">
        <v>76607</v>
      </c>
      <c r="G1396">
        <v>0.14740036811257456</v>
      </c>
    </row>
    <row r="1397" spans="1:7" x14ac:dyDescent="0.35">
      <c r="A1397">
        <v>2013</v>
      </c>
      <c r="B1397" s="1" t="s">
        <v>182</v>
      </c>
      <c r="C1397" s="1" t="s">
        <v>183</v>
      </c>
      <c r="D1397" s="1" t="s">
        <v>7</v>
      </c>
      <c r="E1397" s="1">
        <v>70191.27</v>
      </c>
      <c r="F1397" s="1">
        <v>228868</v>
      </c>
      <c r="G1397">
        <v>0.30668887743153261</v>
      </c>
    </row>
    <row r="1398" spans="1:7" x14ac:dyDescent="0.35">
      <c r="A1398">
        <v>2013</v>
      </c>
      <c r="B1398" s="1" t="s">
        <v>182</v>
      </c>
      <c r="C1398" s="1" t="s">
        <v>183</v>
      </c>
      <c r="D1398" s="1" t="s">
        <v>8</v>
      </c>
      <c r="E1398" s="1">
        <v>18366.740000000002</v>
      </c>
      <c r="F1398" s="1">
        <v>228868</v>
      </c>
      <c r="G1398">
        <v>8.0250362654455856E-2</v>
      </c>
    </row>
    <row r="1399" spans="1:7" x14ac:dyDescent="0.35">
      <c r="A1399">
        <v>2013</v>
      </c>
      <c r="B1399" s="1" t="s">
        <v>182</v>
      </c>
      <c r="C1399" s="1" t="s">
        <v>183</v>
      </c>
      <c r="D1399" s="1" t="s">
        <v>9</v>
      </c>
      <c r="E1399" s="1">
        <v>32169.14</v>
      </c>
      <c r="F1399" s="1">
        <v>228868</v>
      </c>
      <c r="G1399">
        <v>0.14055761399584041</v>
      </c>
    </row>
    <row r="1400" spans="1:7" x14ac:dyDescent="0.35">
      <c r="A1400">
        <v>2013</v>
      </c>
      <c r="B1400" s="1" t="s">
        <v>184</v>
      </c>
      <c r="C1400" s="1" t="s">
        <v>185</v>
      </c>
      <c r="D1400" s="1" t="s">
        <v>7</v>
      </c>
      <c r="E1400" s="1">
        <v>165511.1</v>
      </c>
      <c r="F1400" s="1">
        <v>462705</v>
      </c>
      <c r="G1400">
        <v>0.35770328827222531</v>
      </c>
    </row>
    <row r="1401" spans="1:7" x14ac:dyDescent="0.35">
      <c r="A1401">
        <v>2013</v>
      </c>
      <c r="B1401" s="1" t="s">
        <v>184</v>
      </c>
      <c r="C1401" s="1" t="s">
        <v>185</v>
      </c>
      <c r="D1401" s="1" t="s">
        <v>8</v>
      </c>
      <c r="E1401" s="1">
        <v>47480.23</v>
      </c>
      <c r="F1401" s="1">
        <v>462705</v>
      </c>
      <c r="G1401">
        <v>0.1026144735846814</v>
      </c>
    </row>
    <row r="1402" spans="1:7" x14ac:dyDescent="0.35">
      <c r="A1402">
        <v>2013</v>
      </c>
      <c r="B1402" s="1" t="s">
        <v>184</v>
      </c>
      <c r="C1402" s="1" t="s">
        <v>185</v>
      </c>
      <c r="D1402" s="1" t="s">
        <v>9</v>
      </c>
      <c r="E1402" s="1">
        <v>85090.58</v>
      </c>
      <c r="F1402" s="1">
        <v>462705</v>
      </c>
      <c r="G1402">
        <v>0.18389812083292811</v>
      </c>
    </row>
    <row r="1403" spans="1:7" x14ac:dyDescent="0.35">
      <c r="A1403">
        <v>2013</v>
      </c>
      <c r="B1403" s="1" t="s">
        <v>186</v>
      </c>
      <c r="C1403" s="1" t="s">
        <v>187</v>
      </c>
      <c r="D1403" s="1" t="s">
        <v>7</v>
      </c>
      <c r="E1403" s="1">
        <v>93135.89</v>
      </c>
      <c r="F1403" s="1">
        <v>381927</v>
      </c>
      <c r="G1403">
        <v>0.24385783147041187</v>
      </c>
    </row>
    <row r="1404" spans="1:7" x14ac:dyDescent="0.35">
      <c r="A1404">
        <v>2013</v>
      </c>
      <c r="B1404" s="1" t="s">
        <v>186</v>
      </c>
      <c r="C1404" s="1" t="s">
        <v>187</v>
      </c>
      <c r="D1404" s="1" t="s">
        <v>8</v>
      </c>
      <c r="E1404" s="1">
        <v>33290.379999999997</v>
      </c>
      <c r="F1404" s="1">
        <v>381927</v>
      </c>
      <c r="G1404">
        <v>8.7164248665320854E-2</v>
      </c>
    </row>
    <row r="1405" spans="1:7" x14ac:dyDescent="0.35">
      <c r="A1405">
        <v>2013</v>
      </c>
      <c r="B1405" s="1" t="s">
        <v>186</v>
      </c>
      <c r="C1405" s="1" t="s">
        <v>187</v>
      </c>
      <c r="D1405" s="1" t="s">
        <v>9</v>
      </c>
      <c r="E1405" s="1">
        <v>56131.08</v>
      </c>
      <c r="F1405" s="1">
        <v>381927</v>
      </c>
      <c r="G1405">
        <v>0.14696808552419705</v>
      </c>
    </row>
    <row r="1406" spans="1:7" x14ac:dyDescent="0.35">
      <c r="A1406">
        <v>2013</v>
      </c>
      <c r="B1406" s="1" t="s">
        <v>188</v>
      </c>
      <c r="C1406" s="1" t="s">
        <v>189</v>
      </c>
      <c r="D1406" s="1" t="s">
        <v>7</v>
      </c>
      <c r="E1406" s="1">
        <v>64067.16</v>
      </c>
      <c r="F1406" s="1">
        <v>250342</v>
      </c>
      <c r="G1406">
        <v>0.25591854343258424</v>
      </c>
    </row>
    <row r="1407" spans="1:7" x14ac:dyDescent="0.35">
      <c r="A1407">
        <v>2013</v>
      </c>
      <c r="B1407" s="1" t="s">
        <v>188</v>
      </c>
      <c r="C1407" s="1" t="s">
        <v>189</v>
      </c>
      <c r="D1407" s="1" t="s">
        <v>8</v>
      </c>
      <c r="E1407" s="1">
        <v>23209.31</v>
      </c>
      <c r="F1407" s="1">
        <v>250342</v>
      </c>
      <c r="G1407">
        <v>9.271041215617036E-2</v>
      </c>
    </row>
    <row r="1408" spans="1:7" x14ac:dyDescent="0.35">
      <c r="A1408">
        <v>2013</v>
      </c>
      <c r="B1408" s="1" t="s">
        <v>188</v>
      </c>
      <c r="C1408" s="1" t="s">
        <v>189</v>
      </c>
      <c r="D1408" s="1" t="s">
        <v>9</v>
      </c>
      <c r="E1408" s="1">
        <v>29439.27</v>
      </c>
      <c r="F1408" s="1">
        <v>250342</v>
      </c>
      <c r="G1408">
        <v>0.11759620838692669</v>
      </c>
    </row>
    <row r="1409" spans="1:7" x14ac:dyDescent="0.35">
      <c r="A1409">
        <v>2013</v>
      </c>
      <c r="B1409" s="1" t="s">
        <v>190</v>
      </c>
      <c r="C1409" s="1" t="s">
        <v>191</v>
      </c>
      <c r="D1409" s="1" t="s">
        <v>7</v>
      </c>
      <c r="E1409" s="1">
        <v>279162.36</v>
      </c>
      <c r="F1409" s="1">
        <v>1328620</v>
      </c>
      <c r="G1409">
        <v>0.21011452484532822</v>
      </c>
    </row>
    <row r="1410" spans="1:7" x14ac:dyDescent="0.35">
      <c r="A1410">
        <v>2013</v>
      </c>
      <c r="B1410" s="1" t="s">
        <v>190</v>
      </c>
      <c r="C1410" s="1" t="s">
        <v>191</v>
      </c>
      <c r="D1410" s="1" t="s">
        <v>8</v>
      </c>
      <c r="E1410" s="1">
        <v>125122.92</v>
      </c>
      <c r="F1410" s="1">
        <v>1328620</v>
      </c>
      <c r="G1410">
        <v>9.4175098974876192E-2</v>
      </c>
    </row>
    <row r="1411" spans="1:7" x14ac:dyDescent="0.35">
      <c r="A1411">
        <v>2013</v>
      </c>
      <c r="B1411" s="1" t="s">
        <v>190</v>
      </c>
      <c r="C1411" s="1" t="s">
        <v>191</v>
      </c>
      <c r="D1411" s="1" t="s">
        <v>9</v>
      </c>
      <c r="E1411" s="1">
        <v>265462.18</v>
      </c>
      <c r="F1411" s="1">
        <v>1328620</v>
      </c>
      <c r="G1411">
        <v>0.19980293838719873</v>
      </c>
    </row>
    <row r="1412" spans="1:7" x14ac:dyDescent="0.35">
      <c r="A1412">
        <v>2013</v>
      </c>
      <c r="B1412" s="1" t="s">
        <v>192</v>
      </c>
      <c r="C1412" s="1" t="s">
        <v>193</v>
      </c>
      <c r="D1412" s="1" t="s">
        <v>7</v>
      </c>
      <c r="E1412" s="1">
        <v>133408.44</v>
      </c>
      <c r="F1412" s="1">
        <v>800191</v>
      </c>
      <c r="G1412">
        <v>0.1667207454220305</v>
      </c>
    </row>
    <row r="1413" spans="1:7" x14ac:dyDescent="0.35">
      <c r="A1413">
        <v>2013</v>
      </c>
      <c r="B1413" s="1" t="s">
        <v>192</v>
      </c>
      <c r="C1413" s="1" t="s">
        <v>193</v>
      </c>
      <c r="D1413" s="1" t="s">
        <v>8</v>
      </c>
      <c r="E1413" s="1">
        <v>77409.990000000005</v>
      </c>
      <c r="F1413" s="1">
        <v>800191</v>
      </c>
      <c r="G1413">
        <v>9.673939097040582E-2</v>
      </c>
    </row>
    <row r="1414" spans="1:7" x14ac:dyDescent="0.35">
      <c r="A1414">
        <v>2013</v>
      </c>
      <c r="B1414" s="1" t="s">
        <v>192</v>
      </c>
      <c r="C1414" s="1" t="s">
        <v>193</v>
      </c>
      <c r="D1414" s="1" t="s">
        <v>9</v>
      </c>
      <c r="E1414" s="1">
        <v>145586.45000000001</v>
      </c>
      <c r="F1414" s="1">
        <v>800191</v>
      </c>
      <c r="G1414">
        <v>0.18193962441467101</v>
      </c>
    </row>
    <row r="1415" spans="1:7" x14ac:dyDescent="0.35">
      <c r="A1415">
        <v>2013</v>
      </c>
      <c r="B1415" s="1" t="s">
        <v>194</v>
      </c>
      <c r="C1415" s="1" t="s">
        <v>195</v>
      </c>
      <c r="D1415" s="1" t="s">
        <v>7</v>
      </c>
      <c r="E1415" s="1">
        <v>58812.56</v>
      </c>
      <c r="F1415" s="1">
        <v>307500</v>
      </c>
      <c r="G1415">
        <v>0.19126035772357722</v>
      </c>
    </row>
    <row r="1416" spans="1:7" x14ac:dyDescent="0.35">
      <c r="A1416">
        <v>2013</v>
      </c>
      <c r="B1416" s="1" t="s">
        <v>194</v>
      </c>
      <c r="C1416" s="1" t="s">
        <v>195</v>
      </c>
      <c r="D1416" s="1" t="s">
        <v>8</v>
      </c>
      <c r="E1416" s="1">
        <v>26573.439999999999</v>
      </c>
      <c r="F1416" s="1">
        <v>307500</v>
      </c>
      <c r="G1416">
        <v>8.6417691056910564E-2</v>
      </c>
    </row>
    <row r="1417" spans="1:7" x14ac:dyDescent="0.35">
      <c r="A1417">
        <v>2013</v>
      </c>
      <c r="B1417" s="1" t="s">
        <v>194</v>
      </c>
      <c r="C1417" s="1" t="s">
        <v>195</v>
      </c>
      <c r="D1417" s="1" t="s">
        <v>9</v>
      </c>
      <c r="E1417" s="1">
        <v>59687.35</v>
      </c>
      <c r="F1417" s="1">
        <v>307500</v>
      </c>
      <c r="G1417">
        <v>0.19410520325203251</v>
      </c>
    </row>
    <row r="1418" spans="1:7" x14ac:dyDescent="0.35">
      <c r="A1418">
        <v>2013</v>
      </c>
      <c r="B1418" s="1" t="s">
        <v>196</v>
      </c>
      <c r="C1418" s="1" t="s">
        <v>197</v>
      </c>
      <c r="D1418" s="1" t="s">
        <v>7</v>
      </c>
      <c r="E1418" s="1">
        <v>114031.79</v>
      </c>
      <c r="F1418" s="1">
        <v>569035</v>
      </c>
      <c r="G1418">
        <v>0.20039503721212226</v>
      </c>
    </row>
    <row r="1419" spans="1:7" x14ac:dyDescent="0.35">
      <c r="A1419">
        <v>2013</v>
      </c>
      <c r="B1419" s="1" t="s">
        <v>196</v>
      </c>
      <c r="C1419" s="1" t="s">
        <v>197</v>
      </c>
      <c r="D1419" s="1" t="s">
        <v>8</v>
      </c>
      <c r="E1419" s="1">
        <v>55716.58</v>
      </c>
      <c r="F1419" s="1">
        <v>569035</v>
      </c>
      <c r="G1419">
        <v>9.7914152907993365E-2</v>
      </c>
    </row>
    <row r="1420" spans="1:7" x14ac:dyDescent="0.35">
      <c r="A1420">
        <v>2013</v>
      </c>
      <c r="B1420" s="1" t="s">
        <v>196</v>
      </c>
      <c r="C1420" s="1" t="s">
        <v>197</v>
      </c>
      <c r="D1420" s="1" t="s">
        <v>9</v>
      </c>
      <c r="E1420" s="1">
        <v>90537.03</v>
      </c>
      <c r="F1420" s="1">
        <v>569035</v>
      </c>
      <c r="G1420">
        <v>0.15910625884172327</v>
      </c>
    </row>
    <row r="1421" spans="1:7" x14ac:dyDescent="0.35">
      <c r="A1421">
        <v>2013</v>
      </c>
      <c r="B1421" s="1" t="s">
        <v>198</v>
      </c>
      <c r="C1421" s="1" t="s">
        <v>199</v>
      </c>
      <c r="D1421" s="1" t="s">
        <v>7</v>
      </c>
      <c r="E1421" s="1">
        <v>130281.29</v>
      </c>
      <c r="F1421" s="1">
        <v>655506</v>
      </c>
      <c r="G1421">
        <v>0.19874919527815152</v>
      </c>
    </row>
    <row r="1422" spans="1:7" x14ac:dyDescent="0.35">
      <c r="A1422">
        <v>2013</v>
      </c>
      <c r="B1422" s="1" t="s">
        <v>198</v>
      </c>
      <c r="C1422" s="1" t="s">
        <v>199</v>
      </c>
      <c r="D1422" s="1" t="s">
        <v>8</v>
      </c>
      <c r="E1422" s="1">
        <v>76728.320000000007</v>
      </c>
      <c r="F1422" s="1">
        <v>655506</v>
      </c>
      <c r="G1422">
        <v>0.1170520483412814</v>
      </c>
    </row>
    <row r="1423" spans="1:7" x14ac:dyDescent="0.35">
      <c r="A1423">
        <v>2013</v>
      </c>
      <c r="B1423" s="1" t="s">
        <v>198</v>
      </c>
      <c r="C1423" s="1" t="s">
        <v>199</v>
      </c>
      <c r="D1423" s="1" t="s">
        <v>9</v>
      </c>
      <c r="E1423" s="1">
        <v>173278.37</v>
      </c>
      <c r="F1423" s="1">
        <v>655506</v>
      </c>
      <c r="G1423">
        <v>0.26434291982071867</v>
      </c>
    </row>
    <row r="1424" spans="1:7" x14ac:dyDescent="0.35">
      <c r="A1424">
        <v>2017</v>
      </c>
      <c r="B1424" s="1" t="s">
        <v>5</v>
      </c>
      <c r="C1424" s="1" t="s">
        <v>6</v>
      </c>
      <c r="D1424" s="1" t="s">
        <v>7</v>
      </c>
      <c r="E1424" s="1">
        <v>120762.54</v>
      </c>
      <c r="F1424" s="1">
        <v>643350</v>
      </c>
      <c r="G1424">
        <v>0.18770892982047097</v>
      </c>
    </row>
    <row r="1425" spans="1:7" x14ac:dyDescent="0.35">
      <c r="A1425">
        <v>2017</v>
      </c>
      <c r="B1425" s="1" t="s">
        <v>5</v>
      </c>
      <c r="C1425" s="1" t="s">
        <v>6</v>
      </c>
      <c r="D1425" s="1" t="s">
        <v>8</v>
      </c>
      <c r="E1425" s="1">
        <v>51588.39</v>
      </c>
      <c r="F1425" s="1">
        <v>643350</v>
      </c>
      <c r="G1425">
        <v>8.0187129867101886E-2</v>
      </c>
    </row>
    <row r="1426" spans="1:7" x14ac:dyDescent="0.35">
      <c r="A1426">
        <v>2017</v>
      </c>
      <c r="B1426" s="1" t="s">
        <v>5</v>
      </c>
      <c r="C1426" s="1" t="s">
        <v>6</v>
      </c>
      <c r="D1426" s="1" t="s">
        <v>9</v>
      </c>
      <c r="E1426" s="1">
        <v>124834.79</v>
      </c>
      <c r="F1426" s="1">
        <v>643350</v>
      </c>
      <c r="G1426">
        <v>0.19403868811688815</v>
      </c>
    </row>
    <row r="1427" spans="1:7" x14ac:dyDescent="0.35">
      <c r="A1427">
        <v>2017</v>
      </c>
      <c r="B1427" s="1" t="s">
        <v>104</v>
      </c>
      <c r="C1427" s="1" t="s">
        <v>105</v>
      </c>
      <c r="D1427" s="1" t="s">
        <v>7</v>
      </c>
      <c r="E1427" s="1">
        <v>120842.12</v>
      </c>
      <c r="F1427" s="1">
        <v>534490</v>
      </c>
      <c r="G1427">
        <v>0.22608864525061273</v>
      </c>
    </row>
    <row r="1428" spans="1:7" x14ac:dyDescent="0.35">
      <c r="A1428">
        <v>2017</v>
      </c>
      <c r="B1428" s="1" t="s">
        <v>104</v>
      </c>
      <c r="C1428" s="1" t="s">
        <v>105</v>
      </c>
      <c r="D1428" s="1" t="s">
        <v>8</v>
      </c>
      <c r="E1428" s="1">
        <v>58844.32</v>
      </c>
      <c r="F1428" s="1">
        <v>534490</v>
      </c>
      <c r="G1428">
        <v>0.11009433291548953</v>
      </c>
    </row>
    <row r="1429" spans="1:7" x14ac:dyDescent="0.35">
      <c r="A1429">
        <v>2017</v>
      </c>
      <c r="B1429" s="1" t="s">
        <v>104</v>
      </c>
      <c r="C1429" s="1" t="s">
        <v>105</v>
      </c>
      <c r="D1429" s="1" t="s">
        <v>9</v>
      </c>
      <c r="E1429" s="1">
        <v>102221.43</v>
      </c>
      <c r="F1429" s="1">
        <v>534490</v>
      </c>
      <c r="G1429">
        <v>0.19125040692997061</v>
      </c>
    </row>
    <row r="1430" spans="1:7" x14ac:dyDescent="0.35">
      <c r="A1430">
        <v>2017</v>
      </c>
      <c r="B1430" s="1" t="s">
        <v>10</v>
      </c>
      <c r="C1430" s="1" t="s">
        <v>11</v>
      </c>
      <c r="D1430" s="1" t="s">
        <v>7</v>
      </c>
      <c r="E1430" s="1">
        <v>87596.26</v>
      </c>
      <c r="F1430" s="1">
        <v>337988</v>
      </c>
      <c r="G1430">
        <v>0.25916973383670422</v>
      </c>
    </row>
    <row r="1431" spans="1:7" x14ac:dyDescent="0.35">
      <c r="A1431">
        <v>2017</v>
      </c>
      <c r="B1431" s="1" t="s">
        <v>10</v>
      </c>
      <c r="C1431" s="1" t="s">
        <v>11</v>
      </c>
      <c r="D1431" s="1" t="s">
        <v>8</v>
      </c>
      <c r="E1431" s="1">
        <v>31589.47</v>
      </c>
      <c r="F1431" s="1">
        <v>337988</v>
      </c>
      <c r="G1431">
        <v>9.3463288637466418E-2</v>
      </c>
    </row>
    <row r="1432" spans="1:7" x14ac:dyDescent="0.35">
      <c r="A1432">
        <v>2017</v>
      </c>
      <c r="B1432" s="1" t="s">
        <v>10</v>
      </c>
      <c r="C1432" s="1" t="s">
        <v>11</v>
      </c>
      <c r="D1432" s="1" t="s">
        <v>9</v>
      </c>
      <c r="E1432" s="1">
        <v>66080.95</v>
      </c>
      <c r="F1432" s="1">
        <v>337988</v>
      </c>
      <c r="G1432">
        <v>0.19551271051043231</v>
      </c>
    </row>
    <row r="1433" spans="1:7" x14ac:dyDescent="0.35">
      <c r="A1433">
        <v>2013</v>
      </c>
      <c r="B1433" s="1" t="s">
        <v>200</v>
      </c>
      <c r="C1433" s="1" t="s">
        <v>201</v>
      </c>
      <c r="D1433" s="1" t="s">
        <v>7</v>
      </c>
      <c r="E1433" s="1">
        <v>60178.42</v>
      </c>
      <c r="F1433" s="1">
        <v>161916</v>
      </c>
      <c r="G1433">
        <v>0.37166444329158327</v>
      </c>
    </row>
    <row r="1434" spans="1:7" x14ac:dyDescent="0.35">
      <c r="A1434">
        <v>2013</v>
      </c>
      <c r="B1434" s="1" t="s">
        <v>200</v>
      </c>
      <c r="C1434" s="1" t="s">
        <v>201</v>
      </c>
      <c r="D1434" s="1" t="s">
        <v>8</v>
      </c>
      <c r="E1434" s="1">
        <v>9746.4500000000007</v>
      </c>
      <c r="F1434" s="1">
        <v>161916</v>
      </c>
      <c r="G1434">
        <v>6.0194483559376469E-2</v>
      </c>
    </row>
    <row r="1435" spans="1:7" x14ac:dyDescent="0.35">
      <c r="A1435">
        <v>2013</v>
      </c>
      <c r="B1435" s="1" t="s">
        <v>200</v>
      </c>
      <c r="C1435" s="1" t="s">
        <v>201</v>
      </c>
      <c r="D1435" s="1" t="s">
        <v>9</v>
      </c>
      <c r="E1435" s="1">
        <v>27996.35</v>
      </c>
      <c r="F1435" s="1">
        <v>161916</v>
      </c>
      <c r="G1435">
        <v>0.17290663059858197</v>
      </c>
    </row>
    <row r="1436" spans="1:7" x14ac:dyDescent="0.35">
      <c r="A1436">
        <v>2017</v>
      </c>
      <c r="B1436" s="1" t="s">
        <v>200</v>
      </c>
      <c r="C1436" s="1" t="s">
        <v>201</v>
      </c>
      <c r="D1436" s="1" t="s">
        <v>7</v>
      </c>
      <c r="E1436" s="1">
        <v>59252.41</v>
      </c>
      <c r="F1436" s="1">
        <v>163915</v>
      </c>
      <c r="G1436">
        <v>0.36148253668059666</v>
      </c>
    </row>
    <row r="1437" spans="1:7" x14ac:dyDescent="0.35">
      <c r="A1437">
        <v>2017</v>
      </c>
      <c r="B1437" s="1" t="s">
        <v>200</v>
      </c>
      <c r="C1437" s="1" t="s">
        <v>201</v>
      </c>
      <c r="D1437" s="1" t="s">
        <v>8</v>
      </c>
      <c r="E1437" s="1">
        <v>10488.98</v>
      </c>
      <c r="F1437" s="1">
        <v>163915</v>
      </c>
      <c r="G1437">
        <v>6.3990360857761636E-2</v>
      </c>
    </row>
    <row r="1438" spans="1:7" x14ac:dyDescent="0.35">
      <c r="A1438">
        <v>2017</v>
      </c>
      <c r="B1438" s="1" t="s">
        <v>200</v>
      </c>
      <c r="C1438" s="1" t="s">
        <v>201</v>
      </c>
      <c r="D1438" s="1" t="s">
        <v>9</v>
      </c>
      <c r="E1438" s="1">
        <v>35564.769999999997</v>
      </c>
      <c r="F1438" s="1">
        <v>163915</v>
      </c>
      <c r="G1438">
        <v>0.21697080804075281</v>
      </c>
    </row>
    <row r="1439" spans="1:7" x14ac:dyDescent="0.35">
      <c r="A1439">
        <v>2017</v>
      </c>
      <c r="B1439" s="1" t="s">
        <v>202</v>
      </c>
      <c r="C1439" s="1" t="s">
        <v>203</v>
      </c>
      <c r="D1439" s="1" t="s">
        <v>7</v>
      </c>
      <c r="E1439" s="1">
        <v>44417.48</v>
      </c>
      <c r="F1439" s="1">
        <v>141284</v>
      </c>
      <c r="G1439">
        <v>0.31438436057869257</v>
      </c>
    </row>
    <row r="1440" spans="1:7" x14ac:dyDescent="0.35">
      <c r="A1440">
        <v>2017</v>
      </c>
      <c r="B1440" s="1" t="s">
        <v>202</v>
      </c>
      <c r="C1440" s="1" t="s">
        <v>203</v>
      </c>
      <c r="D1440" s="1" t="s">
        <v>8</v>
      </c>
      <c r="E1440" s="1">
        <v>13857.4</v>
      </c>
      <c r="F1440" s="1">
        <v>141284</v>
      </c>
      <c r="G1440">
        <v>9.8081877636533504E-2</v>
      </c>
    </row>
    <row r="1441" spans="1:7" x14ac:dyDescent="0.35">
      <c r="A1441">
        <v>2017</v>
      </c>
      <c r="B1441" s="1" t="s">
        <v>202</v>
      </c>
      <c r="C1441" s="1" t="s">
        <v>203</v>
      </c>
      <c r="D1441" s="1" t="s">
        <v>9</v>
      </c>
      <c r="E1441" s="1">
        <v>30470.65</v>
      </c>
      <c r="F1441" s="1">
        <v>141284</v>
      </c>
      <c r="G1441">
        <v>0.21566950256221512</v>
      </c>
    </row>
    <row r="1442" spans="1:7" x14ac:dyDescent="0.35">
      <c r="A1442">
        <v>2017</v>
      </c>
      <c r="B1442" s="1" t="s">
        <v>204</v>
      </c>
      <c r="C1442" s="1" t="s">
        <v>205</v>
      </c>
      <c r="D1442" s="1" t="s">
        <v>7</v>
      </c>
      <c r="E1442" s="1">
        <v>425769.7</v>
      </c>
      <c r="F1442" s="1">
        <v>1083310</v>
      </c>
      <c r="G1442">
        <v>0.39302664980476504</v>
      </c>
    </row>
    <row r="1443" spans="1:7" x14ac:dyDescent="0.35">
      <c r="A1443">
        <v>2017</v>
      </c>
      <c r="B1443" s="1" t="s">
        <v>204</v>
      </c>
      <c r="C1443" s="1" t="s">
        <v>205</v>
      </c>
      <c r="D1443" s="1" t="s">
        <v>8</v>
      </c>
      <c r="E1443" s="1">
        <v>141979.48000000001</v>
      </c>
      <c r="F1443" s="1">
        <v>1083310</v>
      </c>
      <c r="G1443">
        <v>0.13106080438655604</v>
      </c>
    </row>
    <row r="1444" spans="1:7" x14ac:dyDescent="0.35">
      <c r="A1444">
        <v>2017</v>
      </c>
      <c r="B1444" s="1" t="s">
        <v>204</v>
      </c>
      <c r="C1444" s="1" t="s">
        <v>205</v>
      </c>
      <c r="D1444" s="1" t="s">
        <v>9</v>
      </c>
      <c r="E1444" s="1">
        <v>183334.12</v>
      </c>
      <c r="F1444" s="1">
        <v>1083310</v>
      </c>
      <c r="G1444">
        <v>0.16923514044917889</v>
      </c>
    </row>
    <row r="1445" spans="1:7" x14ac:dyDescent="0.35">
      <c r="A1445">
        <v>2013</v>
      </c>
      <c r="B1445" s="1" t="s">
        <v>202</v>
      </c>
      <c r="C1445" s="1" t="s">
        <v>203</v>
      </c>
      <c r="D1445" s="1" t="s">
        <v>7</v>
      </c>
      <c r="E1445" s="1">
        <v>46775.040000000001</v>
      </c>
      <c r="F1445" s="1">
        <v>139279</v>
      </c>
      <c r="G1445">
        <v>0.33583698906511389</v>
      </c>
    </row>
    <row r="1446" spans="1:7" x14ac:dyDescent="0.35">
      <c r="A1446">
        <v>2013</v>
      </c>
      <c r="B1446" s="1" t="s">
        <v>202</v>
      </c>
      <c r="C1446" s="1" t="s">
        <v>203</v>
      </c>
      <c r="D1446" s="1" t="s">
        <v>8</v>
      </c>
      <c r="E1446" s="1">
        <v>13754.7</v>
      </c>
      <c r="F1446" s="1">
        <v>139279</v>
      </c>
      <c r="G1446">
        <v>9.8756452875164241E-2</v>
      </c>
    </row>
    <row r="1447" spans="1:7" x14ac:dyDescent="0.35">
      <c r="A1447">
        <v>2013</v>
      </c>
      <c r="B1447" s="1" t="s">
        <v>202</v>
      </c>
      <c r="C1447" s="1" t="s">
        <v>203</v>
      </c>
      <c r="D1447" s="1" t="s">
        <v>9</v>
      </c>
      <c r="E1447" s="1">
        <v>28888.400000000001</v>
      </c>
      <c r="F1447" s="1">
        <v>139279</v>
      </c>
      <c r="G1447">
        <v>0.20741389584933839</v>
      </c>
    </row>
    <row r="1448" spans="1:7" x14ac:dyDescent="0.35">
      <c r="A1448">
        <v>2017</v>
      </c>
      <c r="B1448" s="1" t="s">
        <v>12</v>
      </c>
      <c r="C1448" s="1" t="s">
        <v>13</v>
      </c>
      <c r="D1448" s="1" t="s">
        <v>7</v>
      </c>
      <c r="E1448" s="1">
        <v>78693.929999999993</v>
      </c>
      <c r="F1448" s="1">
        <v>325712</v>
      </c>
      <c r="G1448">
        <v>0.24160586653239668</v>
      </c>
    </row>
    <row r="1449" spans="1:7" x14ac:dyDescent="0.35">
      <c r="A1449">
        <v>2017</v>
      </c>
      <c r="B1449" s="1" t="s">
        <v>12</v>
      </c>
      <c r="C1449" s="1" t="s">
        <v>13</v>
      </c>
      <c r="D1449" s="1" t="s">
        <v>8</v>
      </c>
      <c r="E1449" s="1">
        <v>26103.54</v>
      </c>
      <c r="F1449" s="1">
        <v>325712</v>
      </c>
      <c r="G1449">
        <v>8.0143009775507201E-2</v>
      </c>
    </row>
    <row r="1450" spans="1:7" x14ac:dyDescent="0.35">
      <c r="A1450">
        <v>2017</v>
      </c>
      <c r="B1450" s="1" t="s">
        <v>12</v>
      </c>
      <c r="C1450" s="1" t="s">
        <v>13</v>
      </c>
      <c r="D1450" s="1" t="s">
        <v>9</v>
      </c>
      <c r="E1450" s="1">
        <v>65170.2</v>
      </c>
      <c r="F1450" s="1">
        <v>325712</v>
      </c>
      <c r="G1450">
        <v>0.2000853514761507</v>
      </c>
    </row>
    <row r="1451" spans="1:7" x14ac:dyDescent="0.35">
      <c r="A1451">
        <v>2017</v>
      </c>
      <c r="B1451" s="1" t="s">
        <v>84</v>
      </c>
      <c r="C1451" s="1" t="s">
        <v>85</v>
      </c>
      <c r="D1451" s="1" t="s">
        <v>7</v>
      </c>
      <c r="E1451" s="1">
        <v>65726.37</v>
      </c>
      <c r="F1451" s="1">
        <v>273579</v>
      </c>
      <c r="G1451">
        <v>0.24024640049126575</v>
      </c>
    </row>
    <row r="1452" spans="1:7" x14ac:dyDescent="0.35">
      <c r="A1452">
        <v>2017</v>
      </c>
      <c r="B1452" s="1" t="s">
        <v>84</v>
      </c>
      <c r="C1452" s="1" t="s">
        <v>85</v>
      </c>
      <c r="D1452" s="1" t="s">
        <v>8</v>
      </c>
      <c r="E1452" s="1">
        <v>28156.18</v>
      </c>
      <c r="F1452" s="1">
        <v>273579</v>
      </c>
      <c r="G1452">
        <v>0.10291791402117853</v>
      </c>
    </row>
    <row r="1453" spans="1:7" x14ac:dyDescent="0.35">
      <c r="A1453">
        <v>2017</v>
      </c>
      <c r="B1453" s="1" t="s">
        <v>84</v>
      </c>
      <c r="C1453" s="1" t="s">
        <v>85</v>
      </c>
      <c r="D1453" s="1" t="s">
        <v>9</v>
      </c>
      <c r="E1453" s="1">
        <v>49572.6</v>
      </c>
      <c r="F1453" s="1">
        <v>273579</v>
      </c>
      <c r="G1453">
        <v>0.18120031142741219</v>
      </c>
    </row>
    <row r="1454" spans="1:7" x14ac:dyDescent="0.35">
      <c r="A1454">
        <v>2017</v>
      </c>
      <c r="B1454" s="1" t="s">
        <v>164</v>
      </c>
      <c r="C1454" s="1" t="s">
        <v>165</v>
      </c>
      <c r="D1454" s="1" t="s">
        <v>7</v>
      </c>
      <c r="E1454" s="1">
        <v>44743.94</v>
      </c>
      <c r="F1454" s="1">
        <v>153153</v>
      </c>
      <c r="G1454">
        <v>0.29215190038719452</v>
      </c>
    </row>
    <row r="1455" spans="1:7" x14ac:dyDescent="0.35">
      <c r="A1455">
        <v>2017</v>
      </c>
      <c r="B1455" s="1" t="s">
        <v>164</v>
      </c>
      <c r="C1455" s="1" t="s">
        <v>165</v>
      </c>
      <c r="D1455" s="1" t="s">
        <v>8</v>
      </c>
      <c r="E1455" s="1">
        <v>22899.79</v>
      </c>
      <c r="F1455" s="1">
        <v>153153</v>
      </c>
      <c r="G1455">
        <v>0.14952230775760189</v>
      </c>
    </row>
    <row r="1456" spans="1:7" x14ac:dyDescent="0.35">
      <c r="A1456">
        <v>2017</v>
      </c>
      <c r="B1456" s="1" t="s">
        <v>164</v>
      </c>
      <c r="C1456" s="1" t="s">
        <v>165</v>
      </c>
      <c r="D1456" s="1" t="s">
        <v>9</v>
      </c>
      <c r="E1456" s="1">
        <v>35143.82</v>
      </c>
      <c r="F1456" s="1">
        <v>153153</v>
      </c>
      <c r="G1456">
        <v>0.22946870123340712</v>
      </c>
    </row>
    <row r="1457" spans="1:7" x14ac:dyDescent="0.35">
      <c r="A1457">
        <v>2013</v>
      </c>
      <c r="B1457" s="1" t="s">
        <v>204</v>
      </c>
      <c r="C1457" s="1" t="s">
        <v>205</v>
      </c>
      <c r="D1457" s="1" t="s">
        <v>7</v>
      </c>
      <c r="E1457" s="1">
        <v>475024.43</v>
      </c>
      <c r="F1457" s="1">
        <v>1080771</v>
      </c>
      <c r="G1457">
        <v>0.43952366412496263</v>
      </c>
    </row>
    <row r="1458" spans="1:7" x14ac:dyDescent="0.35">
      <c r="A1458">
        <v>2013</v>
      </c>
      <c r="B1458" s="1" t="s">
        <v>204</v>
      </c>
      <c r="C1458" s="1" t="s">
        <v>205</v>
      </c>
      <c r="D1458" s="1" t="s">
        <v>8</v>
      </c>
      <c r="E1458" s="1">
        <v>107117.03</v>
      </c>
      <c r="F1458" s="1">
        <v>1080771</v>
      </c>
      <c r="G1458">
        <v>9.9111680457747292E-2</v>
      </c>
    </row>
    <row r="1459" spans="1:7" x14ac:dyDescent="0.35">
      <c r="A1459">
        <v>2013</v>
      </c>
      <c r="B1459" s="1" t="s">
        <v>204</v>
      </c>
      <c r="C1459" s="1" t="s">
        <v>205</v>
      </c>
      <c r="D1459" s="1" t="s">
        <v>9</v>
      </c>
      <c r="E1459" s="1">
        <v>153641.74</v>
      </c>
      <c r="F1459" s="1">
        <v>1080771</v>
      </c>
      <c r="G1459">
        <v>0.14215938436542061</v>
      </c>
    </row>
    <row r="1460" spans="1:7" x14ac:dyDescent="0.35">
      <c r="A1460">
        <v>2017</v>
      </c>
      <c r="B1460" s="1" t="s">
        <v>86</v>
      </c>
      <c r="C1460" s="1" t="s">
        <v>87</v>
      </c>
      <c r="D1460" s="1" t="s">
        <v>7</v>
      </c>
      <c r="E1460" s="1">
        <v>72743.66</v>
      </c>
      <c r="F1460" s="1">
        <v>310020</v>
      </c>
      <c r="G1460">
        <v>0.23464182955938329</v>
      </c>
    </row>
    <row r="1461" spans="1:7" x14ac:dyDescent="0.35">
      <c r="A1461">
        <v>2017</v>
      </c>
      <c r="B1461" s="1" t="s">
        <v>86</v>
      </c>
      <c r="C1461" s="1" t="s">
        <v>87</v>
      </c>
      <c r="D1461" s="1" t="s">
        <v>8</v>
      </c>
      <c r="E1461" s="1">
        <v>38952.050000000003</v>
      </c>
      <c r="F1461" s="1">
        <v>310020</v>
      </c>
      <c r="G1461">
        <v>0.12564366815044192</v>
      </c>
    </row>
    <row r="1462" spans="1:7" x14ac:dyDescent="0.35">
      <c r="A1462">
        <v>2017</v>
      </c>
      <c r="B1462" s="1" t="s">
        <v>86</v>
      </c>
      <c r="C1462" s="1" t="s">
        <v>87</v>
      </c>
      <c r="D1462" s="1" t="s">
        <v>9</v>
      </c>
      <c r="E1462" s="1">
        <v>42729.99</v>
      </c>
      <c r="F1462" s="1">
        <v>310020</v>
      </c>
      <c r="G1462">
        <v>0.13782978517514999</v>
      </c>
    </row>
    <row r="1463" spans="1:7" x14ac:dyDescent="0.35">
      <c r="A1463">
        <v>2017</v>
      </c>
      <c r="B1463" s="1" t="s">
        <v>166</v>
      </c>
      <c r="C1463" s="1" t="s">
        <v>167</v>
      </c>
      <c r="D1463" s="1" t="s">
        <v>7</v>
      </c>
      <c r="E1463" s="1">
        <v>125614.87</v>
      </c>
      <c r="F1463" s="1">
        <v>370260</v>
      </c>
      <c r="G1463">
        <v>0.33926124885215792</v>
      </c>
    </row>
    <row r="1464" spans="1:7" x14ac:dyDescent="0.35">
      <c r="A1464">
        <v>2017</v>
      </c>
      <c r="B1464" s="1" t="s">
        <v>166</v>
      </c>
      <c r="C1464" s="1" t="s">
        <v>167</v>
      </c>
      <c r="D1464" s="1" t="s">
        <v>8</v>
      </c>
      <c r="E1464" s="1">
        <v>28888.57</v>
      </c>
      <c r="F1464" s="1">
        <v>370260</v>
      </c>
      <c r="G1464">
        <v>7.8022389672122286E-2</v>
      </c>
    </row>
    <row r="1465" spans="1:7" x14ac:dyDescent="0.35">
      <c r="A1465">
        <v>2017</v>
      </c>
      <c r="B1465" s="1" t="s">
        <v>166</v>
      </c>
      <c r="C1465" s="1" t="s">
        <v>167</v>
      </c>
      <c r="D1465" s="1" t="s">
        <v>9</v>
      </c>
      <c r="E1465" s="1">
        <v>72327.89</v>
      </c>
      <c r="F1465" s="1">
        <v>370260</v>
      </c>
      <c r="G1465">
        <v>0.19534351536757955</v>
      </c>
    </row>
    <row r="1466" spans="1:7" x14ac:dyDescent="0.35">
      <c r="A1466">
        <v>2017</v>
      </c>
      <c r="B1466" s="1" t="s">
        <v>168</v>
      </c>
      <c r="C1466" s="1" t="s">
        <v>169</v>
      </c>
      <c r="D1466" s="1" t="s">
        <v>7</v>
      </c>
      <c r="E1466" s="1">
        <v>64330.86</v>
      </c>
      <c r="F1466" s="1">
        <v>279206</v>
      </c>
      <c r="G1466">
        <v>0.23040643825705751</v>
      </c>
    </row>
    <row r="1467" spans="1:7" x14ac:dyDescent="0.35">
      <c r="A1467">
        <v>2017</v>
      </c>
      <c r="B1467" s="1" t="s">
        <v>168</v>
      </c>
      <c r="C1467" s="1" t="s">
        <v>169</v>
      </c>
      <c r="D1467" s="1" t="s">
        <v>8</v>
      </c>
      <c r="E1467" s="1">
        <v>26910.95</v>
      </c>
      <c r="F1467" s="1">
        <v>279206</v>
      </c>
      <c r="G1467">
        <v>9.6383852782533336E-2</v>
      </c>
    </row>
    <row r="1468" spans="1:7" x14ac:dyDescent="0.35">
      <c r="A1468">
        <v>2017</v>
      </c>
      <c r="B1468" s="1" t="s">
        <v>168</v>
      </c>
      <c r="C1468" s="1" t="s">
        <v>169</v>
      </c>
      <c r="D1468" s="1" t="s">
        <v>9</v>
      </c>
      <c r="E1468" s="1">
        <v>48722.69</v>
      </c>
      <c r="F1468" s="1">
        <v>279206</v>
      </c>
      <c r="G1468">
        <v>0.17450445191005926</v>
      </c>
    </row>
    <row r="1469" spans="1:7" x14ac:dyDescent="0.35">
      <c r="A1469">
        <v>2013</v>
      </c>
      <c r="B1469" s="1" t="s">
        <v>206</v>
      </c>
      <c r="C1469" s="1" t="s">
        <v>207</v>
      </c>
      <c r="D1469" s="1" t="s">
        <v>7</v>
      </c>
      <c r="E1469" s="1">
        <v>755507.02</v>
      </c>
      <c r="F1469" s="1">
        <v>1993177</v>
      </c>
      <c r="G1469">
        <v>0.37904662756995489</v>
      </c>
    </row>
    <row r="1470" spans="1:7" x14ac:dyDescent="0.35">
      <c r="A1470">
        <v>2013</v>
      </c>
      <c r="B1470" s="1" t="s">
        <v>206</v>
      </c>
      <c r="C1470" s="1" t="s">
        <v>207</v>
      </c>
      <c r="D1470" s="1" t="s">
        <v>8</v>
      </c>
      <c r="E1470" s="1">
        <v>107598.94</v>
      </c>
      <c r="F1470" s="1">
        <v>1993177</v>
      </c>
      <c r="G1470">
        <v>5.3983635171387191E-2</v>
      </c>
    </row>
    <row r="1471" spans="1:7" x14ac:dyDescent="0.35">
      <c r="A1471">
        <v>2013</v>
      </c>
      <c r="B1471" s="1" t="s">
        <v>206</v>
      </c>
      <c r="C1471" s="1" t="s">
        <v>207</v>
      </c>
      <c r="D1471" s="1" t="s">
        <v>9</v>
      </c>
      <c r="E1471" s="1">
        <v>271508.59999999998</v>
      </c>
      <c r="F1471" s="1">
        <v>1993177</v>
      </c>
      <c r="G1471">
        <v>0.1362190111565606</v>
      </c>
    </row>
    <row r="1472" spans="1:7" x14ac:dyDescent="0.35">
      <c r="A1472">
        <v>2017</v>
      </c>
      <c r="B1472" s="1" t="s">
        <v>206</v>
      </c>
      <c r="C1472" s="1" t="s">
        <v>207</v>
      </c>
      <c r="D1472" s="1" t="s">
        <v>7</v>
      </c>
      <c r="E1472" s="1">
        <v>748121.58</v>
      </c>
      <c r="F1472" s="1">
        <v>2024162</v>
      </c>
      <c r="G1472">
        <v>0.36959570429639521</v>
      </c>
    </row>
    <row r="1473" spans="1:7" x14ac:dyDescent="0.35">
      <c r="A1473">
        <v>2017</v>
      </c>
      <c r="B1473" s="1" t="s">
        <v>206</v>
      </c>
      <c r="C1473" s="1" t="s">
        <v>207</v>
      </c>
      <c r="D1473" s="1" t="s">
        <v>8</v>
      </c>
      <c r="E1473" s="1">
        <v>108957.08</v>
      </c>
      <c r="F1473" s="1">
        <v>2024162</v>
      </c>
      <c r="G1473">
        <v>5.3828241020234549E-2</v>
      </c>
    </row>
    <row r="1474" spans="1:7" x14ac:dyDescent="0.35">
      <c r="A1474">
        <v>2017</v>
      </c>
      <c r="B1474" s="1" t="s">
        <v>206</v>
      </c>
      <c r="C1474" s="1" t="s">
        <v>207</v>
      </c>
      <c r="D1474" s="1" t="s">
        <v>9</v>
      </c>
      <c r="E1474" s="1">
        <v>295218.33</v>
      </c>
      <c r="F1474" s="1">
        <v>2024162</v>
      </c>
      <c r="G1474">
        <v>0.14584718515612882</v>
      </c>
    </row>
    <row r="1475" spans="1:7" x14ac:dyDescent="0.35">
      <c r="A1475">
        <v>2017</v>
      </c>
      <c r="B1475" s="1" t="s">
        <v>130</v>
      </c>
      <c r="C1475" s="1" t="s">
        <v>131</v>
      </c>
      <c r="D1475" s="1" t="s">
        <v>7</v>
      </c>
      <c r="E1475" s="1">
        <v>180953.62</v>
      </c>
      <c r="F1475" s="1">
        <v>694002</v>
      </c>
      <c r="G1475">
        <v>0.26073933504514396</v>
      </c>
    </row>
    <row r="1476" spans="1:7" x14ac:dyDescent="0.35">
      <c r="A1476">
        <v>2017</v>
      </c>
      <c r="B1476" s="1" t="s">
        <v>130</v>
      </c>
      <c r="C1476" s="1" t="s">
        <v>131</v>
      </c>
      <c r="D1476" s="1" t="s">
        <v>8</v>
      </c>
      <c r="E1476" s="1">
        <v>101403.61</v>
      </c>
      <c r="F1476" s="1">
        <v>694002</v>
      </c>
      <c r="G1476">
        <v>0.14611429073691432</v>
      </c>
    </row>
    <row r="1477" spans="1:7" x14ac:dyDescent="0.35">
      <c r="A1477">
        <v>2017</v>
      </c>
      <c r="B1477" s="1" t="s">
        <v>130</v>
      </c>
      <c r="C1477" s="1" t="s">
        <v>131</v>
      </c>
      <c r="D1477" s="1" t="s">
        <v>9</v>
      </c>
      <c r="E1477" s="1">
        <v>166721.18</v>
      </c>
      <c r="F1477" s="1">
        <v>694002</v>
      </c>
      <c r="G1477">
        <v>0.24023155552865841</v>
      </c>
    </row>
    <row r="1478" spans="1:7" x14ac:dyDescent="0.35">
      <c r="A1478">
        <v>2017</v>
      </c>
      <c r="B1478" s="1" t="s">
        <v>14</v>
      </c>
      <c r="C1478" s="1" t="s">
        <v>15</v>
      </c>
      <c r="D1478" s="1" t="s">
        <v>7</v>
      </c>
      <c r="E1478" s="1">
        <v>35744.36</v>
      </c>
      <c r="F1478" s="1">
        <v>145143</v>
      </c>
      <c r="G1478">
        <v>0.24626995445870625</v>
      </c>
    </row>
    <row r="1479" spans="1:7" x14ac:dyDescent="0.35">
      <c r="A1479">
        <v>2017</v>
      </c>
      <c r="B1479" s="1" t="s">
        <v>14</v>
      </c>
      <c r="C1479" s="1" t="s">
        <v>15</v>
      </c>
      <c r="D1479" s="1" t="s">
        <v>8</v>
      </c>
      <c r="E1479" s="1">
        <v>14053.48</v>
      </c>
      <c r="F1479" s="1">
        <v>145143</v>
      </c>
      <c r="G1479">
        <v>9.6825062180056903E-2</v>
      </c>
    </row>
    <row r="1480" spans="1:7" x14ac:dyDescent="0.35">
      <c r="A1480">
        <v>2017</v>
      </c>
      <c r="B1480" s="1" t="s">
        <v>14</v>
      </c>
      <c r="C1480" s="1" t="s">
        <v>15</v>
      </c>
      <c r="D1480" s="1" t="s">
        <v>9</v>
      </c>
      <c r="E1480" s="1">
        <v>25028.61</v>
      </c>
      <c r="F1480" s="1">
        <v>145143</v>
      </c>
      <c r="G1480">
        <v>0.17244104090448731</v>
      </c>
    </row>
    <row r="1481" spans="1:7" x14ac:dyDescent="0.35">
      <c r="A1481">
        <v>2013</v>
      </c>
      <c r="B1481" s="1" t="s">
        <v>208</v>
      </c>
      <c r="C1481" s="1" t="s">
        <v>209</v>
      </c>
      <c r="D1481" s="1" t="s">
        <v>7</v>
      </c>
      <c r="E1481" s="1">
        <v>459636.51</v>
      </c>
      <c r="F1481" s="1">
        <v>1028583</v>
      </c>
      <c r="G1481">
        <v>0.44686380194889475</v>
      </c>
    </row>
    <row r="1482" spans="1:7" x14ac:dyDescent="0.35">
      <c r="A1482">
        <v>2013</v>
      </c>
      <c r="B1482" s="1" t="s">
        <v>208</v>
      </c>
      <c r="C1482" s="1" t="s">
        <v>209</v>
      </c>
      <c r="D1482" s="1" t="s">
        <v>8</v>
      </c>
      <c r="E1482" s="1">
        <v>71628.75</v>
      </c>
      <c r="F1482" s="1">
        <v>1028583</v>
      </c>
      <c r="G1482">
        <v>6.9638279069360473E-2</v>
      </c>
    </row>
    <row r="1483" spans="1:7" x14ac:dyDescent="0.35">
      <c r="A1483">
        <v>2013</v>
      </c>
      <c r="B1483" s="1" t="s">
        <v>208</v>
      </c>
      <c r="C1483" s="1" t="s">
        <v>209</v>
      </c>
      <c r="D1483" s="1" t="s">
        <v>9</v>
      </c>
      <c r="E1483" s="1">
        <v>198263.86</v>
      </c>
      <c r="F1483" s="1">
        <v>1028583</v>
      </c>
      <c r="G1483">
        <v>0.19275436206898228</v>
      </c>
    </row>
    <row r="1484" spans="1:7" x14ac:dyDescent="0.35">
      <c r="A1484">
        <v>2017</v>
      </c>
      <c r="B1484" s="1" t="s">
        <v>140</v>
      </c>
      <c r="C1484" s="1" t="s">
        <v>141</v>
      </c>
      <c r="D1484" s="1" t="s">
        <v>7</v>
      </c>
      <c r="E1484" s="1">
        <v>67958.039999999994</v>
      </c>
      <c r="F1484" s="1">
        <v>352335</v>
      </c>
      <c r="G1484">
        <v>0.19287904976797648</v>
      </c>
    </row>
    <row r="1485" spans="1:7" x14ac:dyDescent="0.35">
      <c r="A1485">
        <v>2017</v>
      </c>
      <c r="B1485" s="1" t="s">
        <v>140</v>
      </c>
      <c r="C1485" s="1" t="s">
        <v>141</v>
      </c>
      <c r="D1485" s="1" t="s">
        <v>8</v>
      </c>
      <c r="E1485" s="1">
        <v>38165.57</v>
      </c>
      <c r="F1485" s="1">
        <v>352335</v>
      </c>
      <c r="G1485">
        <v>0.10832182440007379</v>
      </c>
    </row>
    <row r="1486" spans="1:7" x14ac:dyDescent="0.35">
      <c r="A1486">
        <v>2017</v>
      </c>
      <c r="B1486" s="1" t="s">
        <v>140</v>
      </c>
      <c r="C1486" s="1" t="s">
        <v>141</v>
      </c>
      <c r="D1486" s="1" t="s">
        <v>9</v>
      </c>
      <c r="E1486" s="1">
        <v>79049.45</v>
      </c>
      <c r="F1486" s="1">
        <v>352335</v>
      </c>
      <c r="G1486">
        <v>0.22435877786765435</v>
      </c>
    </row>
    <row r="1487" spans="1:7" x14ac:dyDescent="0.35">
      <c r="A1487">
        <v>2017</v>
      </c>
      <c r="B1487" s="1" t="s">
        <v>142</v>
      </c>
      <c r="C1487" s="1" t="s">
        <v>143</v>
      </c>
      <c r="D1487" s="1" t="s">
        <v>7</v>
      </c>
      <c r="E1487" s="1">
        <v>169458.32</v>
      </c>
      <c r="F1487" s="1">
        <v>644303</v>
      </c>
      <c r="G1487">
        <v>0.2630102917416185</v>
      </c>
    </row>
    <row r="1488" spans="1:7" x14ac:dyDescent="0.35">
      <c r="A1488">
        <v>2017</v>
      </c>
      <c r="B1488" s="1" t="s">
        <v>142</v>
      </c>
      <c r="C1488" s="1" t="s">
        <v>143</v>
      </c>
      <c r="D1488" s="1" t="s">
        <v>8</v>
      </c>
      <c r="E1488" s="1">
        <v>83892.63</v>
      </c>
      <c r="F1488" s="1">
        <v>644303</v>
      </c>
      <c r="G1488">
        <v>0.13020679711253869</v>
      </c>
    </row>
    <row r="1489" spans="1:7" x14ac:dyDescent="0.35">
      <c r="A1489">
        <v>2017</v>
      </c>
      <c r="B1489" s="1" t="s">
        <v>142</v>
      </c>
      <c r="C1489" s="1" t="s">
        <v>143</v>
      </c>
      <c r="D1489" s="1" t="s">
        <v>9</v>
      </c>
      <c r="E1489" s="1">
        <v>165941.6</v>
      </c>
      <c r="F1489" s="1">
        <v>644303</v>
      </c>
      <c r="G1489">
        <v>0.25755211445546583</v>
      </c>
    </row>
    <row r="1490" spans="1:7" x14ac:dyDescent="0.35">
      <c r="A1490">
        <v>2017</v>
      </c>
      <c r="B1490" s="1" t="s">
        <v>56</v>
      </c>
      <c r="C1490" s="1" t="s">
        <v>57</v>
      </c>
      <c r="D1490" s="1" t="s">
        <v>7</v>
      </c>
      <c r="E1490" s="1">
        <v>61659.08</v>
      </c>
      <c r="F1490" s="1">
        <v>304256</v>
      </c>
      <c r="G1490">
        <v>0.20265526398822045</v>
      </c>
    </row>
    <row r="1491" spans="1:7" x14ac:dyDescent="0.35">
      <c r="A1491">
        <v>2017</v>
      </c>
      <c r="B1491" s="1" t="s">
        <v>56</v>
      </c>
      <c r="C1491" s="1" t="s">
        <v>57</v>
      </c>
      <c r="D1491" s="1" t="s">
        <v>8</v>
      </c>
      <c r="E1491" s="1">
        <v>27935.25</v>
      </c>
      <c r="F1491" s="1">
        <v>304256</v>
      </c>
      <c r="G1491">
        <v>9.1814951882625159E-2</v>
      </c>
    </row>
    <row r="1492" spans="1:7" x14ac:dyDescent="0.35">
      <c r="A1492">
        <v>2017</v>
      </c>
      <c r="B1492" s="1" t="s">
        <v>56</v>
      </c>
      <c r="C1492" s="1" t="s">
        <v>57</v>
      </c>
      <c r="D1492" s="1" t="s">
        <v>9</v>
      </c>
      <c r="E1492" s="1">
        <v>69939.199999999997</v>
      </c>
      <c r="F1492" s="1">
        <v>304256</v>
      </c>
      <c r="G1492">
        <v>0.2298695835086243</v>
      </c>
    </row>
    <row r="1493" spans="1:7" x14ac:dyDescent="0.35">
      <c r="A1493">
        <v>2013</v>
      </c>
      <c r="B1493" s="1" t="s">
        <v>210</v>
      </c>
      <c r="C1493" s="1" t="s">
        <v>211</v>
      </c>
      <c r="D1493" s="1" t="s">
        <v>7</v>
      </c>
      <c r="E1493" s="1">
        <v>192993.68</v>
      </c>
      <c r="F1493" s="1">
        <v>549949</v>
      </c>
      <c r="G1493">
        <v>0.35093014079487367</v>
      </c>
    </row>
    <row r="1494" spans="1:7" x14ac:dyDescent="0.35">
      <c r="A1494">
        <v>2013</v>
      </c>
      <c r="B1494" s="1" t="s">
        <v>210</v>
      </c>
      <c r="C1494" s="1" t="s">
        <v>211</v>
      </c>
      <c r="D1494" s="1" t="s">
        <v>8</v>
      </c>
      <c r="E1494" s="1">
        <v>36588.36</v>
      </c>
      <c r="F1494" s="1">
        <v>549949</v>
      </c>
      <c r="G1494">
        <v>6.6530460097209018E-2</v>
      </c>
    </row>
    <row r="1495" spans="1:7" x14ac:dyDescent="0.35">
      <c r="A1495">
        <v>2013</v>
      </c>
      <c r="B1495" s="1" t="s">
        <v>210</v>
      </c>
      <c r="C1495" s="1" t="s">
        <v>211</v>
      </c>
      <c r="D1495" s="1" t="s">
        <v>9</v>
      </c>
      <c r="E1495" s="1">
        <v>84843.96</v>
      </c>
      <c r="F1495" s="1">
        <v>549949</v>
      </c>
      <c r="G1495">
        <v>0.15427605105200665</v>
      </c>
    </row>
    <row r="1496" spans="1:7" x14ac:dyDescent="0.35">
      <c r="A1496">
        <v>2017</v>
      </c>
      <c r="B1496" s="1" t="s">
        <v>144</v>
      </c>
      <c r="C1496" s="1" t="s">
        <v>145</v>
      </c>
      <c r="D1496" s="1" t="s">
        <v>7</v>
      </c>
      <c r="E1496" s="1">
        <v>56526.74</v>
      </c>
      <c r="F1496" s="1">
        <v>241464</v>
      </c>
      <c r="G1496">
        <v>0.23410007288871218</v>
      </c>
    </row>
    <row r="1497" spans="1:7" x14ac:dyDescent="0.35">
      <c r="A1497">
        <v>2017</v>
      </c>
      <c r="B1497" s="1" t="s">
        <v>144</v>
      </c>
      <c r="C1497" s="1" t="s">
        <v>145</v>
      </c>
      <c r="D1497" s="1" t="s">
        <v>8</v>
      </c>
      <c r="E1497" s="1">
        <v>24092.31</v>
      </c>
      <c r="F1497" s="1">
        <v>241464</v>
      </c>
      <c r="G1497">
        <v>9.9775991452141943E-2</v>
      </c>
    </row>
    <row r="1498" spans="1:7" x14ac:dyDescent="0.35">
      <c r="A1498">
        <v>2017</v>
      </c>
      <c r="B1498" s="1" t="s">
        <v>144</v>
      </c>
      <c r="C1498" s="1" t="s">
        <v>145</v>
      </c>
      <c r="D1498" s="1" t="s">
        <v>9</v>
      </c>
      <c r="E1498" s="1">
        <v>47898.14</v>
      </c>
      <c r="F1498" s="1">
        <v>241464</v>
      </c>
      <c r="G1498">
        <v>0.19836555345724413</v>
      </c>
    </row>
    <row r="1499" spans="1:7" x14ac:dyDescent="0.35">
      <c r="A1499">
        <v>2017</v>
      </c>
      <c r="B1499" s="1" t="s">
        <v>68</v>
      </c>
      <c r="C1499" s="1" t="s">
        <v>69</v>
      </c>
      <c r="D1499" s="1" t="s">
        <v>7</v>
      </c>
      <c r="E1499" s="1">
        <v>73766.600000000006</v>
      </c>
      <c r="F1499" s="1">
        <v>157249</v>
      </c>
      <c r="G1499">
        <v>0.4691069577548983</v>
      </c>
    </row>
    <row r="1500" spans="1:7" x14ac:dyDescent="0.35">
      <c r="A1500">
        <v>2017</v>
      </c>
      <c r="B1500" s="1" t="s">
        <v>68</v>
      </c>
      <c r="C1500" s="1" t="s">
        <v>69</v>
      </c>
      <c r="D1500" s="1" t="s">
        <v>8</v>
      </c>
      <c r="E1500" s="1">
        <v>15119.9</v>
      </c>
      <c r="F1500" s="1">
        <v>157249</v>
      </c>
      <c r="G1500">
        <v>9.6152598744666098E-2</v>
      </c>
    </row>
    <row r="1501" spans="1:7" x14ac:dyDescent="0.35">
      <c r="A1501">
        <v>2017</v>
      </c>
      <c r="B1501" s="1" t="s">
        <v>68</v>
      </c>
      <c r="C1501" s="1" t="s">
        <v>69</v>
      </c>
      <c r="D1501" s="1" t="s">
        <v>9</v>
      </c>
      <c r="E1501" s="1">
        <v>22677.69</v>
      </c>
      <c r="F1501" s="1">
        <v>157249</v>
      </c>
      <c r="G1501">
        <v>0.14421516194061645</v>
      </c>
    </row>
    <row r="1502" spans="1:7" x14ac:dyDescent="0.35">
      <c r="A1502">
        <v>2017</v>
      </c>
      <c r="B1502" s="1" t="s">
        <v>70</v>
      </c>
      <c r="C1502" s="1" t="s">
        <v>71</v>
      </c>
      <c r="D1502" s="1" t="s">
        <v>7</v>
      </c>
      <c r="E1502" s="1">
        <v>70996.77</v>
      </c>
      <c r="F1502" s="1">
        <v>177689</v>
      </c>
      <c r="G1502">
        <v>0.39955635970712877</v>
      </c>
    </row>
    <row r="1503" spans="1:7" x14ac:dyDescent="0.35">
      <c r="A1503">
        <v>2017</v>
      </c>
      <c r="B1503" s="1" t="s">
        <v>70</v>
      </c>
      <c r="C1503" s="1" t="s">
        <v>71</v>
      </c>
      <c r="D1503" s="1" t="s">
        <v>8</v>
      </c>
      <c r="E1503" s="1">
        <v>18060.61</v>
      </c>
      <c r="F1503" s="1">
        <v>177689</v>
      </c>
      <c r="G1503">
        <v>0.10164168856822876</v>
      </c>
    </row>
    <row r="1504" spans="1:7" x14ac:dyDescent="0.35">
      <c r="A1504">
        <v>2017</v>
      </c>
      <c r="B1504" s="1" t="s">
        <v>70</v>
      </c>
      <c r="C1504" s="1" t="s">
        <v>71</v>
      </c>
      <c r="D1504" s="1" t="s">
        <v>9</v>
      </c>
      <c r="E1504" s="1">
        <v>27093.96</v>
      </c>
      <c r="F1504" s="1">
        <v>177689</v>
      </c>
      <c r="G1504">
        <v>0.15247966953497402</v>
      </c>
    </row>
    <row r="1505" spans="1:7" x14ac:dyDescent="0.35">
      <c r="A1505">
        <v>2015</v>
      </c>
      <c r="B1505" s="1" t="s">
        <v>5</v>
      </c>
      <c r="C1505" s="1" t="s">
        <v>6</v>
      </c>
      <c r="D1505" s="1" t="s">
        <v>7</v>
      </c>
      <c r="E1505" s="1">
        <v>121432.88</v>
      </c>
      <c r="F1505" s="1">
        <v>631877</v>
      </c>
      <c r="G1505">
        <v>0.19217803464914851</v>
      </c>
    </row>
    <row r="1506" spans="1:7" x14ac:dyDescent="0.35">
      <c r="A1506">
        <v>2015</v>
      </c>
      <c r="B1506" s="1" t="s">
        <v>5</v>
      </c>
      <c r="C1506" s="1" t="s">
        <v>6</v>
      </c>
      <c r="D1506" s="1" t="s">
        <v>8</v>
      </c>
      <c r="E1506" s="1">
        <v>46795.8</v>
      </c>
      <c r="F1506" s="1">
        <v>631877</v>
      </c>
      <c r="G1506">
        <v>7.4058400606447139E-2</v>
      </c>
    </row>
    <row r="1507" spans="1:7" x14ac:dyDescent="0.35">
      <c r="A1507">
        <v>2015</v>
      </c>
      <c r="B1507" s="1" t="s">
        <v>5</v>
      </c>
      <c r="C1507" s="1" t="s">
        <v>6</v>
      </c>
      <c r="D1507" s="1" t="s">
        <v>9</v>
      </c>
      <c r="E1507" s="1">
        <v>122141.98</v>
      </c>
      <c r="F1507" s="1">
        <v>631877</v>
      </c>
      <c r="G1507">
        <v>0.19330024672523291</v>
      </c>
    </row>
    <row r="1508" spans="1:7" x14ac:dyDescent="0.35">
      <c r="A1508">
        <v>2017</v>
      </c>
      <c r="B1508" s="1" t="s">
        <v>32</v>
      </c>
      <c r="C1508" s="1" t="s">
        <v>33</v>
      </c>
      <c r="D1508" s="1" t="s">
        <v>7</v>
      </c>
      <c r="E1508" s="1">
        <v>116177.09</v>
      </c>
      <c r="F1508" s="1">
        <v>533819</v>
      </c>
      <c r="G1508">
        <v>0.2176338609154039</v>
      </c>
    </row>
    <row r="1509" spans="1:7" x14ac:dyDescent="0.35">
      <c r="A1509">
        <v>2017</v>
      </c>
      <c r="B1509" s="1" t="s">
        <v>32</v>
      </c>
      <c r="C1509" s="1" t="s">
        <v>33</v>
      </c>
      <c r="D1509" s="1" t="s">
        <v>8</v>
      </c>
      <c r="E1509" s="1">
        <v>62760.24</v>
      </c>
      <c r="F1509" s="1">
        <v>533819</v>
      </c>
      <c r="G1509">
        <v>0.11756838928550688</v>
      </c>
    </row>
    <row r="1510" spans="1:7" x14ac:dyDescent="0.35">
      <c r="A1510">
        <v>2017</v>
      </c>
      <c r="B1510" s="1" t="s">
        <v>32</v>
      </c>
      <c r="C1510" s="1" t="s">
        <v>33</v>
      </c>
      <c r="D1510" s="1" t="s">
        <v>9</v>
      </c>
      <c r="E1510" s="1">
        <v>85287.95</v>
      </c>
      <c r="F1510" s="1">
        <v>533819</v>
      </c>
      <c r="G1510">
        <v>0.15976941622534979</v>
      </c>
    </row>
    <row r="1511" spans="1:7" x14ac:dyDescent="0.35">
      <c r="A1511">
        <v>2017</v>
      </c>
      <c r="B1511" s="1" t="s">
        <v>48</v>
      </c>
      <c r="C1511" s="1" t="s">
        <v>49</v>
      </c>
      <c r="D1511" s="1" t="s">
        <v>7</v>
      </c>
      <c r="E1511" s="1">
        <v>131133.97</v>
      </c>
      <c r="F1511" s="1">
        <v>598814</v>
      </c>
      <c r="G1511">
        <v>0.21898948588376357</v>
      </c>
    </row>
    <row r="1512" spans="1:7" x14ac:dyDescent="0.35">
      <c r="A1512">
        <v>2017</v>
      </c>
      <c r="B1512" s="1" t="s">
        <v>48</v>
      </c>
      <c r="C1512" s="1" t="s">
        <v>49</v>
      </c>
      <c r="D1512" s="1" t="s">
        <v>8</v>
      </c>
      <c r="E1512" s="1">
        <v>76800.44</v>
      </c>
      <c r="F1512" s="1">
        <v>598814</v>
      </c>
      <c r="G1512">
        <v>0.12825424923264989</v>
      </c>
    </row>
    <row r="1513" spans="1:7" x14ac:dyDescent="0.35">
      <c r="A1513">
        <v>2017</v>
      </c>
      <c r="B1513" s="1" t="s">
        <v>48</v>
      </c>
      <c r="C1513" s="1" t="s">
        <v>49</v>
      </c>
      <c r="D1513" s="1" t="s">
        <v>9</v>
      </c>
      <c r="E1513" s="1">
        <v>228995.87</v>
      </c>
      <c r="F1513" s="1">
        <v>598814</v>
      </c>
      <c r="G1513">
        <v>0.38241569168389516</v>
      </c>
    </row>
    <row r="1514" spans="1:7" x14ac:dyDescent="0.35">
      <c r="A1514">
        <v>2017</v>
      </c>
      <c r="B1514" s="1" t="s">
        <v>146</v>
      </c>
      <c r="C1514" s="1" t="s">
        <v>147</v>
      </c>
      <c r="D1514" s="1" t="s">
        <v>7</v>
      </c>
      <c r="E1514" s="1">
        <v>26893.21</v>
      </c>
      <c r="F1514" s="1">
        <v>118638</v>
      </c>
      <c r="G1514">
        <v>0.22668293464151451</v>
      </c>
    </row>
    <row r="1515" spans="1:7" x14ac:dyDescent="0.35">
      <c r="A1515">
        <v>2017</v>
      </c>
      <c r="B1515" s="1" t="s">
        <v>146</v>
      </c>
      <c r="C1515" s="1" t="s">
        <v>147</v>
      </c>
      <c r="D1515" s="1" t="s">
        <v>8</v>
      </c>
      <c r="E1515" s="1">
        <v>13028.01</v>
      </c>
      <c r="F1515" s="1">
        <v>118638</v>
      </c>
      <c r="G1515">
        <v>0.10981312901431245</v>
      </c>
    </row>
    <row r="1516" spans="1:7" x14ac:dyDescent="0.35">
      <c r="A1516">
        <v>2017</v>
      </c>
      <c r="B1516" s="1" t="s">
        <v>146</v>
      </c>
      <c r="C1516" s="1" t="s">
        <v>147</v>
      </c>
      <c r="D1516" s="1" t="s">
        <v>9</v>
      </c>
      <c r="E1516" s="1">
        <v>20921.310000000001</v>
      </c>
      <c r="F1516" s="1">
        <v>118638</v>
      </c>
      <c r="G1516">
        <v>0.17634577454104083</v>
      </c>
    </row>
    <row r="1517" spans="1:7" x14ac:dyDescent="0.35">
      <c r="A1517">
        <v>2015</v>
      </c>
      <c r="B1517" s="1" t="s">
        <v>10</v>
      </c>
      <c r="C1517" s="1" t="s">
        <v>11</v>
      </c>
      <c r="D1517" s="1" t="s">
        <v>7</v>
      </c>
      <c r="E1517" s="1">
        <v>91615.94</v>
      </c>
      <c r="F1517" s="1">
        <v>341613</v>
      </c>
      <c r="G1517">
        <v>0.26818633951284054</v>
      </c>
    </row>
    <row r="1518" spans="1:7" x14ac:dyDescent="0.35">
      <c r="A1518">
        <v>2015</v>
      </c>
      <c r="B1518" s="1" t="s">
        <v>10</v>
      </c>
      <c r="C1518" s="1" t="s">
        <v>11</v>
      </c>
      <c r="D1518" s="1" t="s">
        <v>8</v>
      </c>
      <c r="E1518" s="1">
        <v>29079.52</v>
      </c>
      <c r="F1518" s="1">
        <v>341613</v>
      </c>
      <c r="G1518">
        <v>8.5124160965771203E-2</v>
      </c>
    </row>
    <row r="1519" spans="1:7" x14ac:dyDescent="0.35">
      <c r="A1519">
        <v>2015</v>
      </c>
      <c r="B1519" s="1" t="s">
        <v>10</v>
      </c>
      <c r="C1519" s="1" t="s">
        <v>11</v>
      </c>
      <c r="D1519" s="1" t="s">
        <v>9</v>
      </c>
      <c r="E1519" s="1">
        <v>61300.13</v>
      </c>
      <c r="F1519" s="1">
        <v>341613</v>
      </c>
      <c r="G1519">
        <v>0.17944320034659103</v>
      </c>
    </row>
    <row r="1520" spans="1:7" x14ac:dyDescent="0.35">
      <c r="A1520">
        <v>2017</v>
      </c>
      <c r="B1520" s="1" t="s">
        <v>148</v>
      </c>
      <c r="C1520" s="1" t="s">
        <v>149</v>
      </c>
      <c r="D1520" s="1" t="s">
        <v>7</v>
      </c>
      <c r="E1520" s="1">
        <v>98846.54</v>
      </c>
      <c r="F1520" s="1">
        <v>413606</v>
      </c>
      <c r="G1520">
        <v>0.23898720037910473</v>
      </c>
    </row>
    <row r="1521" spans="1:7" x14ac:dyDescent="0.35">
      <c r="A1521">
        <v>2017</v>
      </c>
      <c r="B1521" s="1" t="s">
        <v>148</v>
      </c>
      <c r="C1521" s="1" t="s">
        <v>149</v>
      </c>
      <c r="D1521" s="1" t="s">
        <v>8</v>
      </c>
      <c r="E1521" s="1">
        <v>42887.13</v>
      </c>
      <c r="F1521" s="1">
        <v>413606</v>
      </c>
      <c r="G1521">
        <v>0.10369078301572027</v>
      </c>
    </row>
    <row r="1522" spans="1:7" x14ac:dyDescent="0.35">
      <c r="A1522">
        <v>2017</v>
      </c>
      <c r="B1522" s="1" t="s">
        <v>148</v>
      </c>
      <c r="C1522" s="1" t="s">
        <v>149</v>
      </c>
      <c r="D1522" s="1" t="s">
        <v>9</v>
      </c>
      <c r="E1522" s="1">
        <v>87082.16</v>
      </c>
      <c r="F1522" s="1">
        <v>413606</v>
      </c>
      <c r="G1522">
        <v>0.21054375420085783</v>
      </c>
    </row>
    <row r="1523" spans="1:7" x14ac:dyDescent="0.35">
      <c r="A1523">
        <v>2017</v>
      </c>
      <c r="B1523" s="1" t="s">
        <v>34</v>
      </c>
      <c r="C1523" s="1" t="s">
        <v>35</v>
      </c>
      <c r="D1523" s="1" t="s">
        <v>7</v>
      </c>
      <c r="E1523" s="1">
        <v>94205.13</v>
      </c>
      <c r="F1523" s="1">
        <v>539067</v>
      </c>
      <c r="G1523">
        <v>0.17475588377697021</v>
      </c>
    </row>
    <row r="1524" spans="1:7" x14ac:dyDescent="0.35">
      <c r="A1524">
        <v>2017</v>
      </c>
      <c r="B1524" s="1" t="s">
        <v>34</v>
      </c>
      <c r="C1524" s="1" t="s">
        <v>35</v>
      </c>
      <c r="D1524" s="1" t="s">
        <v>8</v>
      </c>
      <c r="E1524" s="1">
        <v>52415.519999999997</v>
      </c>
      <c r="F1524" s="1">
        <v>539067</v>
      </c>
      <c r="G1524">
        <v>9.7233776135433991E-2</v>
      </c>
    </row>
    <row r="1525" spans="1:7" x14ac:dyDescent="0.35">
      <c r="A1525">
        <v>2017</v>
      </c>
      <c r="B1525" s="1" t="s">
        <v>34</v>
      </c>
      <c r="C1525" s="1" t="s">
        <v>35</v>
      </c>
      <c r="D1525" s="1" t="s">
        <v>9</v>
      </c>
      <c r="E1525" s="1">
        <v>94830.88</v>
      </c>
      <c r="F1525" s="1">
        <v>539067</v>
      </c>
      <c r="G1525">
        <v>0.17591668568100069</v>
      </c>
    </row>
    <row r="1526" spans="1:7" x14ac:dyDescent="0.35">
      <c r="A1526">
        <v>2017</v>
      </c>
      <c r="B1526" s="1" t="s">
        <v>16</v>
      </c>
      <c r="C1526" s="1" t="s">
        <v>17</v>
      </c>
      <c r="D1526" s="1" t="s">
        <v>7</v>
      </c>
      <c r="E1526" s="1">
        <v>126174.1</v>
      </c>
      <c r="F1526" s="1">
        <v>511553</v>
      </c>
      <c r="G1526">
        <v>0.2466491253105739</v>
      </c>
    </row>
    <row r="1527" spans="1:7" x14ac:dyDescent="0.35">
      <c r="A1527">
        <v>2017</v>
      </c>
      <c r="B1527" s="1" t="s">
        <v>16</v>
      </c>
      <c r="C1527" s="1" t="s">
        <v>17</v>
      </c>
      <c r="D1527" s="1" t="s">
        <v>8</v>
      </c>
      <c r="E1527" s="1">
        <v>36283.35</v>
      </c>
      <c r="F1527" s="1">
        <v>511553</v>
      </c>
      <c r="G1527">
        <v>7.092784129894654E-2</v>
      </c>
    </row>
    <row r="1528" spans="1:7" x14ac:dyDescent="0.35">
      <c r="A1528">
        <v>2017</v>
      </c>
      <c r="B1528" s="1" t="s">
        <v>16</v>
      </c>
      <c r="C1528" s="1" t="s">
        <v>17</v>
      </c>
      <c r="D1528" s="1" t="s">
        <v>9</v>
      </c>
      <c r="E1528" s="1">
        <v>100857.08</v>
      </c>
      <c r="F1528" s="1">
        <v>511553</v>
      </c>
      <c r="G1528">
        <v>0.19715861308603411</v>
      </c>
    </row>
    <row r="1529" spans="1:7" x14ac:dyDescent="0.35">
      <c r="A1529">
        <v>2015</v>
      </c>
      <c r="B1529" s="1" t="s">
        <v>12</v>
      </c>
      <c r="C1529" s="1" t="s">
        <v>13</v>
      </c>
      <c r="D1529" s="1" t="s">
        <v>7</v>
      </c>
      <c r="E1529" s="1">
        <v>80283.38</v>
      </c>
      <c r="F1529" s="1">
        <v>324209</v>
      </c>
      <c r="G1529">
        <v>0.24762847422495984</v>
      </c>
    </row>
    <row r="1530" spans="1:7" x14ac:dyDescent="0.35">
      <c r="A1530">
        <v>2015</v>
      </c>
      <c r="B1530" s="1" t="s">
        <v>12</v>
      </c>
      <c r="C1530" s="1" t="s">
        <v>13</v>
      </c>
      <c r="D1530" s="1" t="s">
        <v>8</v>
      </c>
      <c r="E1530" s="1">
        <v>24819.45</v>
      </c>
      <c r="F1530" s="1">
        <v>324209</v>
      </c>
      <c r="G1530">
        <v>7.6553858776283207E-2</v>
      </c>
    </row>
    <row r="1531" spans="1:7" x14ac:dyDescent="0.35">
      <c r="A1531">
        <v>2015</v>
      </c>
      <c r="B1531" s="1" t="s">
        <v>12</v>
      </c>
      <c r="C1531" s="1" t="s">
        <v>13</v>
      </c>
      <c r="D1531" s="1" t="s">
        <v>9</v>
      </c>
      <c r="E1531" s="1">
        <v>61930.96</v>
      </c>
      <c r="F1531" s="1">
        <v>324209</v>
      </c>
      <c r="G1531">
        <v>0.19102171747237121</v>
      </c>
    </row>
    <row r="1532" spans="1:7" x14ac:dyDescent="0.35">
      <c r="A1532">
        <v>2017</v>
      </c>
      <c r="B1532" s="1" t="s">
        <v>132</v>
      </c>
      <c r="C1532" s="1" t="s">
        <v>133</v>
      </c>
      <c r="D1532" s="1" t="s">
        <v>7</v>
      </c>
      <c r="E1532" s="1">
        <v>147205.04</v>
      </c>
      <c r="F1532" s="1">
        <v>601843</v>
      </c>
      <c r="G1532">
        <v>0.24459043305313846</v>
      </c>
    </row>
    <row r="1533" spans="1:7" x14ac:dyDescent="0.35">
      <c r="A1533">
        <v>2017</v>
      </c>
      <c r="B1533" s="1" t="s">
        <v>132</v>
      </c>
      <c r="C1533" s="1" t="s">
        <v>133</v>
      </c>
      <c r="D1533" s="1" t="s">
        <v>8</v>
      </c>
      <c r="E1533" s="1">
        <v>62407.21</v>
      </c>
      <c r="F1533" s="1">
        <v>601843</v>
      </c>
      <c r="G1533">
        <v>0.10369350478447037</v>
      </c>
    </row>
    <row r="1534" spans="1:7" x14ac:dyDescent="0.35">
      <c r="A1534">
        <v>2017</v>
      </c>
      <c r="B1534" s="1" t="s">
        <v>132</v>
      </c>
      <c r="C1534" s="1" t="s">
        <v>133</v>
      </c>
      <c r="D1534" s="1" t="s">
        <v>9</v>
      </c>
      <c r="E1534" s="1">
        <v>124935.64</v>
      </c>
      <c r="F1534" s="1">
        <v>601843</v>
      </c>
      <c r="G1534">
        <v>0.20758842422359319</v>
      </c>
    </row>
    <row r="1535" spans="1:7" x14ac:dyDescent="0.35">
      <c r="A1535">
        <v>2017</v>
      </c>
      <c r="B1535" s="1" t="s">
        <v>58</v>
      </c>
      <c r="C1535" s="1" t="s">
        <v>59</v>
      </c>
      <c r="D1535" s="1" t="s">
        <v>7</v>
      </c>
      <c r="E1535" s="1">
        <v>103480.5</v>
      </c>
      <c r="F1535" s="1">
        <v>433233</v>
      </c>
      <c r="G1535">
        <v>0.23885645830303787</v>
      </c>
    </row>
    <row r="1536" spans="1:7" x14ac:dyDescent="0.35">
      <c r="A1536">
        <v>2017</v>
      </c>
      <c r="B1536" s="1" t="s">
        <v>58</v>
      </c>
      <c r="C1536" s="1" t="s">
        <v>59</v>
      </c>
      <c r="D1536" s="1" t="s">
        <v>8</v>
      </c>
      <c r="E1536" s="1">
        <v>52719.33</v>
      </c>
      <c r="F1536" s="1">
        <v>433233</v>
      </c>
      <c r="G1536">
        <v>0.12168816779885189</v>
      </c>
    </row>
    <row r="1537" spans="1:7" x14ac:dyDescent="0.35">
      <c r="A1537">
        <v>2017</v>
      </c>
      <c r="B1537" s="1" t="s">
        <v>58</v>
      </c>
      <c r="C1537" s="1" t="s">
        <v>59</v>
      </c>
      <c r="D1537" s="1" t="s">
        <v>9</v>
      </c>
      <c r="E1537" s="1">
        <v>89284.42</v>
      </c>
      <c r="F1537" s="1">
        <v>433233</v>
      </c>
      <c r="G1537">
        <v>0.2060886866882255</v>
      </c>
    </row>
    <row r="1538" spans="1:7" x14ac:dyDescent="0.35">
      <c r="A1538">
        <v>2017</v>
      </c>
      <c r="B1538" s="1" t="s">
        <v>50</v>
      </c>
      <c r="C1538" s="1" t="s">
        <v>51</v>
      </c>
      <c r="D1538" s="1" t="s">
        <v>7</v>
      </c>
      <c r="E1538" s="1">
        <v>210087.2</v>
      </c>
      <c r="F1538" s="1">
        <v>909028</v>
      </c>
      <c r="G1538">
        <v>0.23111191294437577</v>
      </c>
    </row>
    <row r="1539" spans="1:7" x14ac:dyDescent="0.35">
      <c r="A1539">
        <v>2017</v>
      </c>
      <c r="B1539" s="1" t="s">
        <v>50</v>
      </c>
      <c r="C1539" s="1" t="s">
        <v>51</v>
      </c>
      <c r="D1539" s="1" t="s">
        <v>8</v>
      </c>
      <c r="E1539" s="1">
        <v>142526.09</v>
      </c>
      <c r="F1539" s="1">
        <v>909028</v>
      </c>
      <c r="G1539">
        <v>0.15678954883677951</v>
      </c>
    </row>
    <row r="1540" spans="1:7" x14ac:dyDescent="0.35">
      <c r="A1540">
        <v>2017</v>
      </c>
      <c r="B1540" s="1" t="s">
        <v>50</v>
      </c>
      <c r="C1540" s="1" t="s">
        <v>51</v>
      </c>
      <c r="D1540" s="1" t="s">
        <v>9</v>
      </c>
      <c r="E1540" s="1">
        <v>278108.65999999997</v>
      </c>
      <c r="F1540" s="1">
        <v>909028</v>
      </c>
      <c r="G1540">
        <v>0.30594069709623906</v>
      </c>
    </row>
    <row r="1541" spans="1:7" x14ac:dyDescent="0.35">
      <c r="A1541">
        <v>2015</v>
      </c>
      <c r="B1541" s="1" t="s">
        <v>14</v>
      </c>
      <c r="C1541" s="1" t="s">
        <v>15</v>
      </c>
      <c r="D1541" s="1" t="s">
        <v>7</v>
      </c>
      <c r="E1541" s="1">
        <v>37784.39</v>
      </c>
      <c r="F1541" s="1">
        <v>146219</v>
      </c>
      <c r="G1541">
        <v>0.25840957741469989</v>
      </c>
    </row>
    <row r="1542" spans="1:7" x14ac:dyDescent="0.35">
      <c r="A1542">
        <v>2015</v>
      </c>
      <c r="B1542" s="1" t="s">
        <v>14</v>
      </c>
      <c r="C1542" s="1" t="s">
        <v>15</v>
      </c>
      <c r="D1542" s="1" t="s">
        <v>8</v>
      </c>
      <c r="E1542" s="1">
        <v>12347.98</v>
      </c>
      <c r="F1542" s="1">
        <v>146219</v>
      </c>
      <c r="G1542">
        <v>8.4448532680431398E-2</v>
      </c>
    </row>
    <row r="1543" spans="1:7" x14ac:dyDescent="0.35">
      <c r="A1543">
        <v>2015</v>
      </c>
      <c r="B1543" s="1" t="s">
        <v>14</v>
      </c>
      <c r="C1543" s="1" t="s">
        <v>15</v>
      </c>
      <c r="D1543" s="1" t="s">
        <v>9</v>
      </c>
      <c r="E1543" s="1">
        <v>23968.86</v>
      </c>
      <c r="F1543" s="1">
        <v>146219</v>
      </c>
      <c r="G1543">
        <v>0.16392438739151546</v>
      </c>
    </row>
    <row r="1544" spans="1:7" x14ac:dyDescent="0.35">
      <c r="A1544">
        <v>2017</v>
      </c>
      <c r="B1544" s="1" t="s">
        <v>170</v>
      </c>
      <c r="C1544" s="1" t="s">
        <v>171</v>
      </c>
      <c r="D1544" s="1" t="s">
        <v>7</v>
      </c>
      <c r="E1544" s="1">
        <v>212152.36</v>
      </c>
      <c r="F1544" s="1">
        <v>744178</v>
      </c>
      <c r="G1544">
        <v>0.28508281620795023</v>
      </c>
    </row>
    <row r="1545" spans="1:7" x14ac:dyDescent="0.35">
      <c r="A1545">
        <v>2017</v>
      </c>
      <c r="B1545" s="1" t="s">
        <v>170</v>
      </c>
      <c r="C1545" s="1" t="s">
        <v>171</v>
      </c>
      <c r="D1545" s="1" t="s">
        <v>8</v>
      </c>
      <c r="E1545" s="1">
        <v>63842.45</v>
      </c>
      <c r="F1545" s="1">
        <v>744178</v>
      </c>
      <c r="G1545">
        <v>8.5789219783438911E-2</v>
      </c>
    </row>
    <row r="1546" spans="1:7" x14ac:dyDescent="0.35">
      <c r="A1546">
        <v>2017</v>
      </c>
      <c r="B1546" s="1" t="s">
        <v>170</v>
      </c>
      <c r="C1546" s="1" t="s">
        <v>171</v>
      </c>
      <c r="D1546" s="1" t="s">
        <v>9</v>
      </c>
      <c r="E1546" s="1">
        <v>153234.59</v>
      </c>
      <c r="F1546" s="1">
        <v>744178</v>
      </c>
      <c r="G1546">
        <v>0.20591120672742275</v>
      </c>
    </row>
    <row r="1547" spans="1:7" x14ac:dyDescent="0.35">
      <c r="A1547">
        <v>2017</v>
      </c>
      <c r="B1547" s="1" t="s">
        <v>172</v>
      </c>
      <c r="C1547" s="1" t="s">
        <v>173</v>
      </c>
      <c r="D1547" s="1" t="s">
        <v>7</v>
      </c>
      <c r="E1547" s="1">
        <v>348575.49</v>
      </c>
      <c r="F1547" s="1">
        <v>1362672</v>
      </c>
      <c r="G1547">
        <v>0.25580292983197717</v>
      </c>
    </row>
    <row r="1548" spans="1:7" x14ac:dyDescent="0.35">
      <c r="A1548">
        <v>2017</v>
      </c>
      <c r="B1548" s="1" t="s">
        <v>172</v>
      </c>
      <c r="C1548" s="1" t="s">
        <v>173</v>
      </c>
      <c r="D1548" s="1" t="s">
        <v>8</v>
      </c>
      <c r="E1548" s="1">
        <v>152289.60000000001</v>
      </c>
      <c r="F1548" s="1">
        <v>1362672</v>
      </c>
      <c r="G1548">
        <v>0.11175807531085985</v>
      </c>
    </row>
    <row r="1549" spans="1:7" x14ac:dyDescent="0.35">
      <c r="A1549">
        <v>2017</v>
      </c>
      <c r="B1549" s="1" t="s">
        <v>172</v>
      </c>
      <c r="C1549" s="1" t="s">
        <v>173</v>
      </c>
      <c r="D1549" s="1" t="s">
        <v>9</v>
      </c>
      <c r="E1549" s="1">
        <v>148862.56</v>
      </c>
      <c r="F1549" s="1">
        <v>1362672</v>
      </c>
      <c r="G1549">
        <v>0.10924313407775312</v>
      </c>
    </row>
    <row r="1550" spans="1:7" x14ac:dyDescent="0.35">
      <c r="A1550">
        <v>2017</v>
      </c>
      <c r="B1550" s="1" t="s">
        <v>174</v>
      </c>
      <c r="C1550" s="1" t="s">
        <v>175</v>
      </c>
      <c r="D1550" s="1" t="s">
        <v>7</v>
      </c>
      <c r="E1550" s="1">
        <v>44548.87</v>
      </c>
      <c r="F1550" s="1">
        <v>191091</v>
      </c>
      <c r="G1550">
        <v>0.23312908509558275</v>
      </c>
    </row>
    <row r="1551" spans="1:7" x14ac:dyDescent="0.35">
      <c r="A1551">
        <v>2017</v>
      </c>
      <c r="B1551" s="1" t="s">
        <v>174</v>
      </c>
      <c r="C1551" s="1" t="s">
        <v>175</v>
      </c>
      <c r="D1551" s="1" t="s">
        <v>8</v>
      </c>
      <c r="E1551" s="1">
        <v>18872.79</v>
      </c>
      <c r="F1551" s="1">
        <v>191091</v>
      </c>
      <c r="G1551">
        <v>9.8763364051682193E-2</v>
      </c>
    </row>
    <row r="1552" spans="1:7" x14ac:dyDescent="0.35">
      <c r="A1552">
        <v>2017</v>
      </c>
      <c r="B1552" s="1" t="s">
        <v>174</v>
      </c>
      <c r="C1552" s="1" t="s">
        <v>175</v>
      </c>
      <c r="D1552" s="1" t="s">
        <v>9</v>
      </c>
      <c r="E1552" s="1">
        <v>31159.79</v>
      </c>
      <c r="F1552" s="1">
        <v>191091</v>
      </c>
      <c r="G1552">
        <v>0.16306257228231577</v>
      </c>
    </row>
    <row r="1553" spans="1:7" x14ac:dyDescent="0.35">
      <c r="A1553">
        <v>2015</v>
      </c>
      <c r="B1553" s="1" t="s">
        <v>16</v>
      </c>
      <c r="C1553" s="1" t="s">
        <v>17</v>
      </c>
      <c r="D1553" s="1" t="s">
        <v>7</v>
      </c>
      <c r="E1553" s="1">
        <v>128427.93</v>
      </c>
      <c r="F1553" s="1">
        <v>504637</v>
      </c>
      <c r="G1553">
        <v>0.25449566718254901</v>
      </c>
    </row>
    <row r="1554" spans="1:7" x14ac:dyDescent="0.35">
      <c r="A1554">
        <v>2015</v>
      </c>
      <c r="B1554" s="1" t="s">
        <v>16</v>
      </c>
      <c r="C1554" s="1" t="s">
        <v>17</v>
      </c>
      <c r="D1554" s="1" t="s">
        <v>8</v>
      </c>
      <c r="E1554" s="1">
        <v>35517.89</v>
      </c>
      <c r="F1554" s="1">
        <v>504637</v>
      </c>
      <c r="G1554">
        <v>7.0383047616405459E-2</v>
      </c>
    </row>
    <row r="1555" spans="1:7" x14ac:dyDescent="0.35">
      <c r="A1555">
        <v>2015</v>
      </c>
      <c r="B1555" s="1" t="s">
        <v>16</v>
      </c>
      <c r="C1555" s="1" t="s">
        <v>17</v>
      </c>
      <c r="D1555" s="1" t="s">
        <v>9</v>
      </c>
      <c r="E1555" s="1">
        <v>92115.79</v>
      </c>
      <c r="F1555" s="1">
        <v>504637</v>
      </c>
      <c r="G1555">
        <v>0.18253871594829549</v>
      </c>
    </row>
    <row r="1556" spans="1:7" x14ac:dyDescent="0.35">
      <c r="A1556">
        <v>2017</v>
      </c>
      <c r="B1556" s="1" t="s">
        <v>150</v>
      </c>
      <c r="C1556" s="1" t="s">
        <v>151</v>
      </c>
      <c r="D1556" s="1" t="s">
        <v>7</v>
      </c>
      <c r="E1556" s="1">
        <v>393696.64</v>
      </c>
      <c r="F1556" s="1">
        <v>1583384</v>
      </c>
      <c r="G1556">
        <v>0.24864255291199103</v>
      </c>
    </row>
    <row r="1557" spans="1:7" x14ac:dyDescent="0.35">
      <c r="A1557">
        <v>2017</v>
      </c>
      <c r="B1557" s="1" t="s">
        <v>150</v>
      </c>
      <c r="C1557" s="1" t="s">
        <v>151</v>
      </c>
      <c r="D1557" s="1" t="s">
        <v>8</v>
      </c>
      <c r="E1557" s="1">
        <v>160854.79999999999</v>
      </c>
      <c r="F1557" s="1">
        <v>1583384</v>
      </c>
      <c r="G1557">
        <v>0.10158925440701687</v>
      </c>
    </row>
    <row r="1558" spans="1:7" x14ac:dyDescent="0.35">
      <c r="A1558">
        <v>2017</v>
      </c>
      <c r="B1558" s="1" t="s">
        <v>150</v>
      </c>
      <c r="C1558" s="1" t="s">
        <v>151</v>
      </c>
      <c r="D1558" s="1" t="s">
        <v>9</v>
      </c>
      <c r="E1558" s="1">
        <v>311391.34000000003</v>
      </c>
      <c r="F1558" s="1">
        <v>1583384</v>
      </c>
      <c r="G1558">
        <v>0.19666192155535234</v>
      </c>
    </row>
    <row r="1559" spans="1:7" x14ac:dyDescent="0.35">
      <c r="A1559">
        <v>2017</v>
      </c>
      <c r="B1559" s="1" t="s">
        <v>176</v>
      </c>
      <c r="C1559" s="1" t="s">
        <v>177</v>
      </c>
      <c r="D1559" s="1" t="s">
        <v>7</v>
      </c>
      <c r="E1559" s="1">
        <v>340383.83</v>
      </c>
      <c r="F1559" s="1">
        <v>1144892</v>
      </c>
      <c r="G1559">
        <v>0.29730649703203449</v>
      </c>
    </row>
    <row r="1560" spans="1:7" x14ac:dyDescent="0.35">
      <c r="A1560">
        <v>2017</v>
      </c>
      <c r="B1560" s="1" t="s">
        <v>176</v>
      </c>
      <c r="C1560" s="1" t="s">
        <v>177</v>
      </c>
      <c r="D1560" s="1" t="s">
        <v>8</v>
      </c>
      <c r="E1560" s="1">
        <v>112046.86</v>
      </c>
      <c r="F1560" s="1">
        <v>1144892</v>
      </c>
      <c r="G1560">
        <v>9.7866750750289111E-2</v>
      </c>
    </row>
    <row r="1561" spans="1:7" x14ac:dyDescent="0.35">
      <c r="A1561">
        <v>2017</v>
      </c>
      <c r="B1561" s="1" t="s">
        <v>176</v>
      </c>
      <c r="C1561" s="1" t="s">
        <v>177</v>
      </c>
      <c r="D1561" s="1" t="s">
        <v>9</v>
      </c>
      <c r="E1561" s="1">
        <v>225505.92000000001</v>
      </c>
      <c r="F1561" s="1">
        <v>1144892</v>
      </c>
      <c r="G1561">
        <v>0.19696698029159082</v>
      </c>
    </row>
    <row r="1562" spans="1:7" x14ac:dyDescent="0.35">
      <c r="A1562">
        <v>2017</v>
      </c>
      <c r="B1562" s="1" t="s">
        <v>52</v>
      </c>
      <c r="C1562" s="1" t="s">
        <v>53</v>
      </c>
      <c r="D1562" s="1" t="s">
        <v>7</v>
      </c>
      <c r="E1562" s="1">
        <v>191200.42</v>
      </c>
      <c r="F1562" s="1">
        <v>1060199</v>
      </c>
      <c r="G1562">
        <v>0.18034389770222384</v>
      </c>
    </row>
    <row r="1563" spans="1:7" x14ac:dyDescent="0.35">
      <c r="A1563">
        <v>2017</v>
      </c>
      <c r="B1563" s="1" t="s">
        <v>52</v>
      </c>
      <c r="C1563" s="1" t="s">
        <v>53</v>
      </c>
      <c r="D1563" s="1" t="s">
        <v>8</v>
      </c>
      <c r="E1563" s="1">
        <v>110603.54</v>
      </c>
      <c r="F1563" s="1">
        <v>1060199</v>
      </c>
      <c r="G1563">
        <v>0.10432337702638844</v>
      </c>
    </row>
    <row r="1564" spans="1:7" x14ac:dyDescent="0.35">
      <c r="A1564">
        <v>2017</v>
      </c>
      <c r="B1564" s="1" t="s">
        <v>52</v>
      </c>
      <c r="C1564" s="1" t="s">
        <v>53</v>
      </c>
      <c r="D1564" s="1" t="s">
        <v>9</v>
      </c>
      <c r="E1564" s="1">
        <v>198988.29</v>
      </c>
      <c r="F1564" s="1">
        <v>1060199</v>
      </c>
      <c r="G1564">
        <v>0.18768956582679291</v>
      </c>
    </row>
    <row r="1565" spans="1:7" x14ac:dyDescent="0.35">
      <c r="A1565">
        <v>2015</v>
      </c>
      <c r="B1565" s="1" t="s">
        <v>18</v>
      </c>
      <c r="C1565" s="1" t="s">
        <v>19</v>
      </c>
      <c r="D1565" s="1" t="s">
        <v>7</v>
      </c>
      <c r="E1565" s="1">
        <v>272531.68</v>
      </c>
      <c r="F1565" s="1">
        <v>1251060</v>
      </c>
      <c r="G1565">
        <v>0.21784061515834571</v>
      </c>
    </row>
    <row r="1566" spans="1:7" x14ac:dyDescent="0.35">
      <c r="A1566">
        <v>2015</v>
      </c>
      <c r="B1566" s="1" t="s">
        <v>18</v>
      </c>
      <c r="C1566" s="1" t="s">
        <v>19</v>
      </c>
      <c r="D1566" s="1" t="s">
        <v>8</v>
      </c>
      <c r="E1566" s="1">
        <v>95767.5</v>
      </c>
      <c r="F1566" s="1">
        <v>1251060</v>
      </c>
      <c r="G1566">
        <v>7.6549086374754202E-2</v>
      </c>
    </row>
    <row r="1567" spans="1:7" x14ac:dyDescent="0.35">
      <c r="A1567">
        <v>2015</v>
      </c>
      <c r="B1567" s="1" t="s">
        <v>18</v>
      </c>
      <c r="C1567" s="1" t="s">
        <v>19</v>
      </c>
      <c r="D1567" s="1" t="s">
        <v>9</v>
      </c>
      <c r="E1567" s="1">
        <v>273624.51</v>
      </c>
      <c r="F1567" s="1">
        <v>1251060</v>
      </c>
      <c r="G1567">
        <v>0.21871413841062778</v>
      </c>
    </row>
    <row r="1568" spans="1:7" x14ac:dyDescent="0.35">
      <c r="A1568">
        <v>2017</v>
      </c>
      <c r="B1568" s="1" t="s">
        <v>60</v>
      </c>
      <c r="C1568" s="1" t="s">
        <v>61</v>
      </c>
      <c r="D1568" s="1" t="s">
        <v>7</v>
      </c>
      <c r="E1568" s="1">
        <v>39662.49</v>
      </c>
      <c r="F1568" s="1">
        <v>222232</v>
      </c>
      <c r="G1568">
        <v>0.1784733521725044</v>
      </c>
    </row>
    <row r="1569" spans="1:7" x14ac:dyDescent="0.35">
      <c r="A1569">
        <v>2017</v>
      </c>
      <c r="B1569" s="1" t="s">
        <v>60</v>
      </c>
      <c r="C1569" s="1" t="s">
        <v>61</v>
      </c>
      <c r="D1569" s="1" t="s">
        <v>8</v>
      </c>
      <c r="E1569" s="1">
        <v>29940.97</v>
      </c>
      <c r="F1569" s="1">
        <v>222232</v>
      </c>
      <c r="G1569">
        <v>0.13472843694877426</v>
      </c>
    </row>
    <row r="1570" spans="1:7" x14ac:dyDescent="0.35">
      <c r="A1570">
        <v>2017</v>
      </c>
      <c r="B1570" s="1" t="s">
        <v>60</v>
      </c>
      <c r="C1570" s="1" t="s">
        <v>61</v>
      </c>
      <c r="D1570" s="1" t="s">
        <v>9</v>
      </c>
      <c r="E1570" s="1">
        <v>42488.06</v>
      </c>
      <c r="F1570" s="1">
        <v>222232</v>
      </c>
      <c r="G1570">
        <v>0.19118785773425967</v>
      </c>
    </row>
    <row r="1571" spans="1:7" x14ac:dyDescent="0.35">
      <c r="A1571">
        <v>2017</v>
      </c>
      <c r="B1571" s="1" t="s">
        <v>62</v>
      </c>
      <c r="C1571" s="1" t="s">
        <v>63</v>
      </c>
      <c r="D1571" s="1" t="s">
        <v>7</v>
      </c>
      <c r="E1571" s="1">
        <v>128608.53</v>
      </c>
      <c r="F1571" s="1">
        <v>606511</v>
      </c>
      <c r="G1571">
        <v>0.21204649214935919</v>
      </c>
    </row>
    <row r="1572" spans="1:7" x14ac:dyDescent="0.35">
      <c r="A1572">
        <v>2017</v>
      </c>
      <c r="B1572" s="1" t="s">
        <v>62</v>
      </c>
      <c r="C1572" s="1" t="s">
        <v>63</v>
      </c>
      <c r="D1572" s="1" t="s">
        <v>8</v>
      </c>
      <c r="E1572" s="1">
        <v>78130.14</v>
      </c>
      <c r="F1572" s="1">
        <v>606511</v>
      </c>
      <c r="G1572">
        <v>0.12881899916077366</v>
      </c>
    </row>
    <row r="1573" spans="1:7" x14ac:dyDescent="0.35">
      <c r="A1573">
        <v>2017</v>
      </c>
      <c r="B1573" s="1" t="s">
        <v>62</v>
      </c>
      <c r="C1573" s="1" t="s">
        <v>63</v>
      </c>
      <c r="D1573" s="1" t="s">
        <v>9</v>
      </c>
      <c r="E1573" s="1">
        <v>101296.7</v>
      </c>
      <c r="F1573" s="1">
        <v>606511</v>
      </c>
      <c r="G1573">
        <v>0.1670154374776385</v>
      </c>
    </row>
    <row r="1574" spans="1:7" x14ac:dyDescent="0.35">
      <c r="A1574">
        <v>2017</v>
      </c>
      <c r="B1574" s="1" t="s">
        <v>18</v>
      </c>
      <c r="C1574" s="1" t="s">
        <v>19</v>
      </c>
      <c r="D1574" s="1" t="s">
        <v>7</v>
      </c>
      <c r="E1574" s="1">
        <v>270874.53999999998</v>
      </c>
      <c r="F1574" s="1">
        <v>1258722</v>
      </c>
      <c r="G1574">
        <v>0.21519806597485383</v>
      </c>
    </row>
    <row r="1575" spans="1:7" x14ac:dyDescent="0.35">
      <c r="A1575">
        <v>2017</v>
      </c>
      <c r="B1575" s="1" t="s">
        <v>18</v>
      </c>
      <c r="C1575" s="1" t="s">
        <v>19</v>
      </c>
      <c r="D1575" s="1" t="s">
        <v>8</v>
      </c>
      <c r="E1575" s="1">
        <v>96873.75</v>
      </c>
      <c r="F1575" s="1">
        <v>1258722</v>
      </c>
      <c r="G1575">
        <v>7.6961990018447279E-2</v>
      </c>
    </row>
    <row r="1576" spans="1:7" x14ac:dyDescent="0.35">
      <c r="A1576">
        <v>2017</v>
      </c>
      <c r="B1576" s="1" t="s">
        <v>18</v>
      </c>
      <c r="C1576" s="1" t="s">
        <v>19</v>
      </c>
      <c r="D1576" s="1" t="s">
        <v>9</v>
      </c>
      <c r="E1576" s="1">
        <v>272221.65999999997</v>
      </c>
      <c r="F1576" s="1">
        <v>1258722</v>
      </c>
      <c r="G1576">
        <v>0.21626829434934797</v>
      </c>
    </row>
    <row r="1577" spans="1:7" x14ac:dyDescent="0.35">
      <c r="A1577">
        <v>2015</v>
      </c>
      <c r="B1577" s="1" t="s">
        <v>20</v>
      </c>
      <c r="C1577" s="1" t="s">
        <v>21</v>
      </c>
      <c r="D1577" s="1" t="s">
        <v>7</v>
      </c>
      <c r="E1577" s="1">
        <v>172994.95</v>
      </c>
      <c r="F1577" s="1">
        <v>759411</v>
      </c>
      <c r="G1577">
        <v>0.22780148035780362</v>
      </c>
    </row>
    <row r="1578" spans="1:7" x14ac:dyDescent="0.35">
      <c r="A1578">
        <v>2015</v>
      </c>
      <c r="B1578" s="1" t="s">
        <v>20</v>
      </c>
      <c r="C1578" s="1" t="s">
        <v>21</v>
      </c>
      <c r="D1578" s="1" t="s">
        <v>8</v>
      </c>
      <c r="E1578" s="1">
        <v>59887.94</v>
      </c>
      <c r="F1578" s="1">
        <v>759411</v>
      </c>
      <c r="G1578">
        <v>7.886103835735854E-2</v>
      </c>
    </row>
    <row r="1579" spans="1:7" x14ac:dyDescent="0.35">
      <c r="A1579">
        <v>2015</v>
      </c>
      <c r="B1579" s="1" t="s">
        <v>20</v>
      </c>
      <c r="C1579" s="1" t="s">
        <v>21</v>
      </c>
      <c r="D1579" s="1" t="s">
        <v>9</v>
      </c>
      <c r="E1579" s="1">
        <v>134191.98000000001</v>
      </c>
      <c r="F1579" s="1">
        <v>759411</v>
      </c>
      <c r="G1579">
        <v>0.17670534137640884</v>
      </c>
    </row>
    <row r="1580" spans="1:7" x14ac:dyDescent="0.35">
      <c r="A1580">
        <v>2017</v>
      </c>
      <c r="B1580" s="1" t="s">
        <v>36</v>
      </c>
      <c r="C1580" s="1" t="s">
        <v>37</v>
      </c>
      <c r="D1580" s="1" t="s">
        <v>7</v>
      </c>
      <c r="E1580" s="1">
        <v>49895.47</v>
      </c>
      <c r="F1580" s="1">
        <v>260188</v>
      </c>
      <c r="G1580">
        <v>0.19176699155994897</v>
      </c>
    </row>
    <row r="1581" spans="1:7" x14ac:dyDescent="0.35">
      <c r="A1581">
        <v>2017</v>
      </c>
      <c r="B1581" s="1" t="s">
        <v>36</v>
      </c>
      <c r="C1581" s="1" t="s">
        <v>37</v>
      </c>
      <c r="D1581" s="1" t="s">
        <v>8</v>
      </c>
      <c r="E1581" s="1">
        <v>34545.32</v>
      </c>
      <c r="F1581" s="1">
        <v>260188</v>
      </c>
      <c r="G1581">
        <v>0.13277061201900164</v>
      </c>
    </row>
    <row r="1582" spans="1:7" x14ac:dyDescent="0.35">
      <c r="A1582">
        <v>2017</v>
      </c>
      <c r="B1582" s="1" t="s">
        <v>36</v>
      </c>
      <c r="C1582" s="1" t="s">
        <v>37</v>
      </c>
      <c r="D1582" s="1" t="s">
        <v>9</v>
      </c>
      <c r="E1582" s="1">
        <v>43425.52</v>
      </c>
      <c r="F1582" s="1">
        <v>260188</v>
      </c>
      <c r="G1582">
        <v>0.16690054883392008</v>
      </c>
    </row>
    <row r="1583" spans="1:7" x14ac:dyDescent="0.35">
      <c r="A1583">
        <v>2017</v>
      </c>
      <c r="B1583" s="1" t="s">
        <v>152</v>
      </c>
      <c r="C1583" s="1" t="s">
        <v>153</v>
      </c>
      <c r="D1583" s="1" t="s">
        <v>7</v>
      </c>
      <c r="E1583" s="1">
        <v>122430.93</v>
      </c>
      <c r="F1583" s="1">
        <v>407444</v>
      </c>
      <c r="G1583">
        <v>0.30048529368453086</v>
      </c>
    </row>
    <row r="1584" spans="1:7" x14ac:dyDescent="0.35">
      <c r="A1584">
        <v>2017</v>
      </c>
      <c r="B1584" s="1" t="s">
        <v>152</v>
      </c>
      <c r="C1584" s="1" t="s">
        <v>153</v>
      </c>
      <c r="D1584" s="1" t="s">
        <v>8</v>
      </c>
      <c r="E1584" s="1">
        <v>40635.94</v>
      </c>
      <c r="F1584" s="1">
        <v>407444</v>
      </c>
      <c r="G1584">
        <v>9.973380390924888E-2</v>
      </c>
    </row>
    <row r="1585" spans="1:7" x14ac:dyDescent="0.35">
      <c r="A1585">
        <v>2017</v>
      </c>
      <c r="B1585" s="1" t="s">
        <v>152</v>
      </c>
      <c r="C1585" s="1" t="s">
        <v>153</v>
      </c>
      <c r="D1585" s="1" t="s">
        <v>9</v>
      </c>
      <c r="E1585" s="1">
        <v>176727.81</v>
      </c>
      <c r="F1585" s="1">
        <v>407444</v>
      </c>
      <c r="G1585">
        <v>0.43374748431686316</v>
      </c>
    </row>
    <row r="1586" spans="1:7" x14ac:dyDescent="0.35">
      <c r="A1586">
        <v>2017</v>
      </c>
      <c r="B1586" s="1" t="s">
        <v>64</v>
      </c>
      <c r="C1586" s="1" t="s">
        <v>65</v>
      </c>
      <c r="D1586" s="1" t="s">
        <v>7</v>
      </c>
      <c r="E1586" s="1">
        <v>73941.61</v>
      </c>
      <c r="F1586" s="1">
        <v>331915</v>
      </c>
      <c r="G1586">
        <v>0.22277272795745898</v>
      </c>
    </row>
    <row r="1587" spans="1:7" x14ac:dyDescent="0.35">
      <c r="A1587">
        <v>2017</v>
      </c>
      <c r="B1587" s="1" t="s">
        <v>64</v>
      </c>
      <c r="C1587" s="1" t="s">
        <v>65</v>
      </c>
      <c r="D1587" s="1" t="s">
        <v>8</v>
      </c>
      <c r="E1587" s="1">
        <v>26750.89</v>
      </c>
      <c r="F1587" s="1">
        <v>331915</v>
      </c>
      <c r="G1587">
        <v>8.0595604296280668E-2</v>
      </c>
    </row>
    <row r="1588" spans="1:7" x14ac:dyDescent="0.35">
      <c r="A1588">
        <v>2017</v>
      </c>
      <c r="B1588" s="1" t="s">
        <v>64</v>
      </c>
      <c r="C1588" s="1" t="s">
        <v>65</v>
      </c>
      <c r="D1588" s="1" t="s">
        <v>9</v>
      </c>
      <c r="E1588" s="1">
        <v>75537.97</v>
      </c>
      <c r="F1588" s="1">
        <v>331915</v>
      </c>
      <c r="G1588">
        <v>0.22758227256978444</v>
      </c>
    </row>
    <row r="1589" spans="1:7" x14ac:dyDescent="0.35">
      <c r="A1589">
        <v>2015</v>
      </c>
      <c r="B1589" s="1" t="s">
        <v>22</v>
      </c>
      <c r="C1589" s="1" t="s">
        <v>23</v>
      </c>
      <c r="D1589" s="1" t="s">
        <v>7</v>
      </c>
      <c r="E1589" s="1">
        <v>50287.83</v>
      </c>
      <c r="F1589" s="1">
        <v>227034</v>
      </c>
      <c r="G1589">
        <v>0.22149911467004943</v>
      </c>
    </row>
    <row r="1590" spans="1:7" x14ac:dyDescent="0.35">
      <c r="A1590">
        <v>2015</v>
      </c>
      <c r="B1590" s="1" t="s">
        <v>22</v>
      </c>
      <c r="C1590" s="1" t="s">
        <v>23</v>
      </c>
      <c r="D1590" s="1" t="s">
        <v>8</v>
      </c>
      <c r="E1590" s="1">
        <v>19007.169999999998</v>
      </c>
      <c r="F1590" s="1">
        <v>227034</v>
      </c>
      <c r="G1590">
        <v>8.3719486949091315E-2</v>
      </c>
    </row>
    <row r="1591" spans="1:7" x14ac:dyDescent="0.35">
      <c r="A1591">
        <v>2015</v>
      </c>
      <c r="B1591" s="1" t="s">
        <v>22</v>
      </c>
      <c r="C1591" s="1" t="s">
        <v>23</v>
      </c>
      <c r="D1591" s="1" t="s">
        <v>9</v>
      </c>
      <c r="E1591" s="1">
        <v>36048.949999999997</v>
      </c>
      <c r="F1591" s="1">
        <v>227034</v>
      </c>
      <c r="G1591">
        <v>0.15878216478589108</v>
      </c>
    </row>
    <row r="1592" spans="1:7" x14ac:dyDescent="0.35">
      <c r="A1592">
        <v>2017</v>
      </c>
      <c r="B1592" s="1" t="s">
        <v>20</v>
      </c>
      <c r="C1592" s="1" t="s">
        <v>21</v>
      </c>
      <c r="D1592" s="1" t="s">
        <v>7</v>
      </c>
      <c r="E1592" s="1">
        <v>171271.28</v>
      </c>
      <c r="F1592" s="1">
        <v>762941</v>
      </c>
      <c r="G1592">
        <v>0.22448823696720979</v>
      </c>
    </row>
    <row r="1593" spans="1:7" x14ac:dyDescent="0.35">
      <c r="A1593">
        <v>2017</v>
      </c>
      <c r="B1593" s="1" t="s">
        <v>20</v>
      </c>
      <c r="C1593" s="1" t="s">
        <v>21</v>
      </c>
      <c r="D1593" s="1" t="s">
        <v>8</v>
      </c>
      <c r="E1593" s="1">
        <v>61906.7</v>
      </c>
      <c r="F1593" s="1">
        <v>762941</v>
      </c>
      <c r="G1593">
        <v>8.1142185306596448E-2</v>
      </c>
    </row>
    <row r="1594" spans="1:7" x14ac:dyDescent="0.35">
      <c r="A1594">
        <v>2017</v>
      </c>
      <c r="B1594" s="1" t="s">
        <v>20</v>
      </c>
      <c r="C1594" s="1" t="s">
        <v>21</v>
      </c>
      <c r="D1594" s="1" t="s">
        <v>9</v>
      </c>
      <c r="E1594" s="1">
        <v>132619.92000000001</v>
      </c>
      <c r="F1594" s="1">
        <v>762941</v>
      </c>
      <c r="G1594">
        <v>0.17382722910421647</v>
      </c>
    </row>
    <row r="1595" spans="1:7" x14ac:dyDescent="0.35">
      <c r="A1595">
        <v>2017</v>
      </c>
      <c r="B1595" s="1" t="s">
        <v>22</v>
      </c>
      <c r="C1595" s="1" t="s">
        <v>23</v>
      </c>
      <c r="D1595" s="1" t="s">
        <v>7</v>
      </c>
      <c r="E1595" s="1">
        <v>48463.4</v>
      </c>
      <c r="F1595" s="1">
        <v>227283</v>
      </c>
      <c r="G1595">
        <v>0.21322932203464404</v>
      </c>
    </row>
    <row r="1596" spans="1:7" x14ac:dyDescent="0.35">
      <c r="A1596">
        <v>2017</v>
      </c>
      <c r="B1596" s="1" t="s">
        <v>22</v>
      </c>
      <c r="C1596" s="1" t="s">
        <v>23</v>
      </c>
      <c r="D1596" s="1" t="s">
        <v>8</v>
      </c>
      <c r="E1596" s="1">
        <v>20011.080000000002</v>
      </c>
      <c r="F1596" s="1">
        <v>227283</v>
      </c>
      <c r="G1596">
        <v>8.8044772376288605E-2</v>
      </c>
    </row>
    <row r="1597" spans="1:7" x14ac:dyDescent="0.35">
      <c r="A1597">
        <v>2017</v>
      </c>
      <c r="B1597" s="1" t="s">
        <v>22</v>
      </c>
      <c r="C1597" s="1" t="s">
        <v>23</v>
      </c>
      <c r="D1597" s="1" t="s">
        <v>9</v>
      </c>
      <c r="E1597" s="1">
        <v>38244.85</v>
      </c>
      <c r="F1597" s="1">
        <v>227283</v>
      </c>
      <c r="G1597">
        <v>0.1682697342080138</v>
      </c>
    </row>
    <row r="1598" spans="1:7" x14ac:dyDescent="0.35">
      <c r="A1598">
        <v>2017</v>
      </c>
      <c r="B1598" s="1" t="s">
        <v>190</v>
      </c>
      <c r="C1598" s="1" t="s">
        <v>191</v>
      </c>
      <c r="D1598" s="1" t="s">
        <v>7</v>
      </c>
      <c r="E1598" s="1">
        <v>272212.92</v>
      </c>
      <c r="F1598" s="1">
        <v>1394909</v>
      </c>
      <c r="G1598">
        <v>0.19514743972545878</v>
      </c>
    </row>
    <row r="1599" spans="1:7" x14ac:dyDescent="0.35">
      <c r="A1599">
        <v>2017</v>
      </c>
      <c r="B1599" s="1" t="s">
        <v>190</v>
      </c>
      <c r="C1599" s="1" t="s">
        <v>191</v>
      </c>
      <c r="D1599" s="1" t="s">
        <v>8</v>
      </c>
      <c r="E1599" s="1">
        <v>120617.98</v>
      </c>
      <c r="F1599" s="1">
        <v>1394909</v>
      </c>
      <c r="G1599">
        <v>8.6470142496750682E-2</v>
      </c>
    </row>
    <row r="1600" spans="1:7" x14ac:dyDescent="0.35">
      <c r="A1600">
        <v>2017</v>
      </c>
      <c r="B1600" s="1" t="s">
        <v>190</v>
      </c>
      <c r="C1600" s="1" t="s">
        <v>191</v>
      </c>
      <c r="D1600" s="1" t="s">
        <v>9</v>
      </c>
      <c r="E1600" s="1">
        <v>300508.03999999998</v>
      </c>
      <c r="F1600" s="1">
        <v>1394909</v>
      </c>
      <c r="G1600">
        <v>0.21543200309124105</v>
      </c>
    </row>
    <row r="1601" spans="1:7" x14ac:dyDescent="0.35">
      <c r="A1601">
        <v>2015</v>
      </c>
      <c r="B1601" s="1" t="s">
        <v>24</v>
      </c>
      <c r="C1601" s="1" t="s">
        <v>25</v>
      </c>
      <c r="D1601" s="1" t="s">
        <v>7</v>
      </c>
      <c r="E1601" s="1">
        <v>142092.76999999999</v>
      </c>
      <c r="F1601" s="1">
        <v>647501</v>
      </c>
      <c r="G1601">
        <v>0.21944795452053353</v>
      </c>
    </row>
    <row r="1602" spans="1:7" x14ac:dyDescent="0.35">
      <c r="A1602">
        <v>2015</v>
      </c>
      <c r="B1602" s="1" t="s">
        <v>24</v>
      </c>
      <c r="C1602" s="1" t="s">
        <v>25</v>
      </c>
      <c r="D1602" s="1" t="s">
        <v>8</v>
      </c>
      <c r="E1602" s="1">
        <v>70770.87</v>
      </c>
      <c r="F1602" s="1">
        <v>647501</v>
      </c>
      <c r="G1602">
        <v>0.10929847212591176</v>
      </c>
    </row>
    <row r="1603" spans="1:7" x14ac:dyDescent="0.35">
      <c r="A1603">
        <v>2015</v>
      </c>
      <c r="B1603" s="1" t="s">
        <v>24</v>
      </c>
      <c r="C1603" s="1" t="s">
        <v>25</v>
      </c>
      <c r="D1603" s="1" t="s">
        <v>9</v>
      </c>
      <c r="E1603" s="1">
        <v>92835.79</v>
      </c>
      <c r="F1603" s="1">
        <v>647501</v>
      </c>
      <c r="G1603">
        <v>0.14337551602236906</v>
      </c>
    </row>
    <row r="1604" spans="1:7" x14ac:dyDescent="0.35">
      <c r="A1604">
        <v>2017</v>
      </c>
      <c r="B1604" s="1" t="s">
        <v>66</v>
      </c>
      <c r="C1604" s="1" t="s">
        <v>67</v>
      </c>
      <c r="D1604" s="1" t="s">
        <v>7</v>
      </c>
      <c r="E1604" s="1">
        <v>145686.63</v>
      </c>
      <c r="F1604" s="1">
        <v>678105</v>
      </c>
      <c r="G1604">
        <v>0.21484376313402792</v>
      </c>
    </row>
    <row r="1605" spans="1:7" x14ac:dyDescent="0.35">
      <c r="A1605">
        <v>2017</v>
      </c>
      <c r="B1605" s="1" t="s">
        <v>66</v>
      </c>
      <c r="C1605" s="1" t="s">
        <v>67</v>
      </c>
      <c r="D1605" s="1" t="s">
        <v>8</v>
      </c>
      <c r="E1605" s="1">
        <v>52618.33</v>
      </c>
      <c r="F1605" s="1">
        <v>678105</v>
      </c>
      <c r="G1605">
        <v>7.7596139240973014E-2</v>
      </c>
    </row>
    <row r="1606" spans="1:7" x14ac:dyDescent="0.35">
      <c r="A1606">
        <v>2017</v>
      </c>
      <c r="B1606" s="1" t="s">
        <v>66</v>
      </c>
      <c r="C1606" s="1" t="s">
        <v>67</v>
      </c>
      <c r="D1606" s="1" t="s">
        <v>9</v>
      </c>
      <c r="E1606" s="1">
        <v>141363.29</v>
      </c>
      <c r="F1606" s="1">
        <v>678105</v>
      </c>
      <c r="G1606">
        <v>0.20846814283923581</v>
      </c>
    </row>
    <row r="1607" spans="1:7" x14ac:dyDescent="0.35">
      <c r="A1607">
        <v>2017</v>
      </c>
      <c r="B1607" s="1" t="s">
        <v>178</v>
      </c>
      <c r="C1607" s="1" t="s">
        <v>179</v>
      </c>
      <c r="D1607" s="1" t="s">
        <v>7</v>
      </c>
      <c r="E1607" s="1">
        <v>39342.46</v>
      </c>
      <c r="F1607" s="1">
        <v>173828</v>
      </c>
      <c r="G1607">
        <v>0.22632982028211795</v>
      </c>
    </row>
    <row r="1608" spans="1:7" x14ac:dyDescent="0.35">
      <c r="A1608">
        <v>2017</v>
      </c>
      <c r="B1608" s="1" t="s">
        <v>178</v>
      </c>
      <c r="C1608" s="1" t="s">
        <v>179</v>
      </c>
      <c r="D1608" s="1" t="s">
        <v>8</v>
      </c>
      <c r="E1608" s="1">
        <v>24285.09</v>
      </c>
      <c r="F1608" s="1">
        <v>173828</v>
      </c>
      <c r="G1608">
        <v>0.13970758450882481</v>
      </c>
    </row>
    <row r="1609" spans="1:7" x14ac:dyDescent="0.35">
      <c r="A1609">
        <v>2017</v>
      </c>
      <c r="B1609" s="1" t="s">
        <v>178</v>
      </c>
      <c r="C1609" s="1" t="s">
        <v>179</v>
      </c>
      <c r="D1609" s="1" t="s">
        <v>9</v>
      </c>
      <c r="E1609" s="1">
        <v>37729.360000000001</v>
      </c>
      <c r="F1609" s="1">
        <v>173828</v>
      </c>
      <c r="G1609">
        <v>0.21704995742918287</v>
      </c>
    </row>
    <row r="1610" spans="1:7" x14ac:dyDescent="0.35">
      <c r="A1610">
        <v>2017</v>
      </c>
      <c r="B1610" s="1" t="s">
        <v>154</v>
      </c>
      <c r="C1610" s="1" t="s">
        <v>155</v>
      </c>
      <c r="D1610" s="1" t="s">
        <v>7</v>
      </c>
      <c r="E1610" s="1">
        <v>85254.71</v>
      </c>
      <c r="F1610" s="1">
        <v>332842</v>
      </c>
      <c r="G1610">
        <v>0.25614168284050692</v>
      </c>
    </row>
    <row r="1611" spans="1:7" x14ac:dyDescent="0.35">
      <c r="A1611">
        <v>2017</v>
      </c>
      <c r="B1611" s="1" t="s">
        <v>154</v>
      </c>
      <c r="C1611" s="1" t="s">
        <v>155</v>
      </c>
      <c r="D1611" s="1" t="s">
        <v>8</v>
      </c>
      <c r="E1611" s="1">
        <v>33439.29</v>
      </c>
      <c r="F1611" s="1">
        <v>332842</v>
      </c>
      <c r="G1611">
        <v>0.1004659568203532</v>
      </c>
    </row>
    <row r="1612" spans="1:7" x14ac:dyDescent="0.35">
      <c r="A1612">
        <v>2017</v>
      </c>
      <c r="B1612" s="1" t="s">
        <v>154</v>
      </c>
      <c r="C1612" s="1" t="s">
        <v>155</v>
      </c>
      <c r="D1612" s="1" t="s">
        <v>9</v>
      </c>
      <c r="E1612" s="1">
        <v>65706.66</v>
      </c>
      <c r="F1612" s="1">
        <v>332842</v>
      </c>
      <c r="G1612">
        <v>0.19741096376058312</v>
      </c>
    </row>
    <row r="1613" spans="1:7" x14ac:dyDescent="0.35">
      <c r="A1613">
        <v>2015</v>
      </c>
      <c r="B1613" s="1" t="s">
        <v>26</v>
      </c>
      <c r="C1613" s="1" t="s">
        <v>27</v>
      </c>
      <c r="D1613" s="1" t="s">
        <v>7</v>
      </c>
      <c r="E1613" s="1">
        <v>401938.28</v>
      </c>
      <c r="F1613" s="1">
        <v>1821995</v>
      </c>
      <c r="G1613">
        <v>0.22060339353291311</v>
      </c>
    </row>
    <row r="1614" spans="1:7" x14ac:dyDescent="0.35">
      <c r="A1614">
        <v>2015</v>
      </c>
      <c r="B1614" s="1" t="s">
        <v>26</v>
      </c>
      <c r="C1614" s="1" t="s">
        <v>27</v>
      </c>
      <c r="D1614" s="1" t="s">
        <v>8</v>
      </c>
      <c r="E1614" s="1">
        <v>125315.11</v>
      </c>
      <c r="F1614" s="1">
        <v>1821995</v>
      </c>
      <c r="G1614">
        <v>6.877906360884635E-2</v>
      </c>
    </row>
    <row r="1615" spans="1:7" x14ac:dyDescent="0.35">
      <c r="A1615">
        <v>2015</v>
      </c>
      <c r="B1615" s="1" t="s">
        <v>26</v>
      </c>
      <c r="C1615" s="1" t="s">
        <v>27</v>
      </c>
      <c r="D1615" s="1" t="s">
        <v>9</v>
      </c>
      <c r="E1615" s="1">
        <v>174414.4</v>
      </c>
      <c r="F1615" s="1">
        <v>1821995</v>
      </c>
      <c r="G1615">
        <v>9.5727156221614221E-2</v>
      </c>
    </row>
    <row r="1616" spans="1:7" x14ac:dyDescent="0.35">
      <c r="A1616">
        <v>2017</v>
      </c>
      <c r="B1616" s="1" t="s">
        <v>180</v>
      </c>
      <c r="C1616" s="1" t="s">
        <v>181</v>
      </c>
      <c r="D1616" s="1" t="s">
        <v>7</v>
      </c>
      <c r="E1616" s="1">
        <v>20258.43</v>
      </c>
      <c r="F1616" s="1">
        <v>76601</v>
      </c>
      <c r="G1616">
        <v>0.26446691296458269</v>
      </c>
    </row>
    <row r="1617" spans="1:7" x14ac:dyDescent="0.35">
      <c r="A1617">
        <v>2017</v>
      </c>
      <c r="B1617" s="1" t="s">
        <v>180</v>
      </c>
      <c r="C1617" s="1" t="s">
        <v>181</v>
      </c>
      <c r="D1617" s="1" t="s">
        <v>8</v>
      </c>
      <c r="E1617" s="1">
        <v>5857.73</v>
      </c>
      <c r="F1617" s="1">
        <v>76601</v>
      </c>
      <c r="G1617">
        <v>7.6470672706622625E-2</v>
      </c>
    </row>
    <row r="1618" spans="1:7" x14ac:dyDescent="0.35">
      <c r="A1618">
        <v>2017</v>
      </c>
      <c r="B1618" s="1" t="s">
        <v>180</v>
      </c>
      <c r="C1618" s="1" t="s">
        <v>181</v>
      </c>
      <c r="D1618" s="1" t="s">
        <v>9</v>
      </c>
      <c r="E1618" s="1">
        <v>12972.29</v>
      </c>
      <c r="F1618" s="1">
        <v>76601</v>
      </c>
      <c r="G1618">
        <v>0.16934883356614144</v>
      </c>
    </row>
    <row r="1619" spans="1:7" x14ac:dyDescent="0.35">
      <c r="A1619">
        <v>2017</v>
      </c>
      <c r="B1619" s="1" t="s">
        <v>192</v>
      </c>
      <c r="C1619" s="1" t="s">
        <v>193</v>
      </c>
      <c r="D1619" s="1" t="s">
        <v>7</v>
      </c>
      <c r="E1619" s="1">
        <v>129679.17</v>
      </c>
      <c r="F1619" s="1">
        <v>813493</v>
      </c>
      <c r="G1619">
        <v>0.15941030838618156</v>
      </c>
    </row>
    <row r="1620" spans="1:7" x14ac:dyDescent="0.35">
      <c r="A1620">
        <v>2017</v>
      </c>
      <c r="B1620" s="1" t="s">
        <v>192</v>
      </c>
      <c r="C1620" s="1" t="s">
        <v>193</v>
      </c>
      <c r="D1620" s="1" t="s">
        <v>8</v>
      </c>
      <c r="E1620" s="1">
        <v>81429.81</v>
      </c>
      <c r="F1620" s="1">
        <v>813493</v>
      </c>
      <c r="G1620">
        <v>0.10009896827630969</v>
      </c>
    </row>
    <row r="1621" spans="1:7" x14ac:dyDescent="0.35">
      <c r="A1621">
        <v>2017</v>
      </c>
      <c r="B1621" s="1" t="s">
        <v>192</v>
      </c>
      <c r="C1621" s="1" t="s">
        <v>193</v>
      </c>
      <c r="D1621" s="1" t="s">
        <v>9</v>
      </c>
      <c r="E1621" s="1">
        <v>164976.19</v>
      </c>
      <c r="F1621" s="1">
        <v>813493</v>
      </c>
      <c r="G1621">
        <v>0.20279976594758653</v>
      </c>
    </row>
    <row r="1622" spans="1:7" x14ac:dyDescent="0.35">
      <c r="A1622">
        <v>2017</v>
      </c>
      <c r="B1622" s="1" t="s">
        <v>134</v>
      </c>
      <c r="C1622" s="1" t="s">
        <v>135</v>
      </c>
      <c r="D1622" s="1" t="s">
        <v>7</v>
      </c>
      <c r="E1622" s="1">
        <v>114215.03</v>
      </c>
      <c r="F1622" s="1">
        <v>496883</v>
      </c>
      <c r="G1622">
        <v>0.22986302610473694</v>
      </c>
    </row>
    <row r="1623" spans="1:7" x14ac:dyDescent="0.35">
      <c r="A1623">
        <v>2017</v>
      </c>
      <c r="B1623" s="1" t="s">
        <v>134</v>
      </c>
      <c r="C1623" s="1" t="s">
        <v>135</v>
      </c>
      <c r="D1623" s="1" t="s">
        <v>8</v>
      </c>
      <c r="E1623" s="1">
        <v>54301.97</v>
      </c>
      <c r="F1623" s="1">
        <v>496883</v>
      </c>
      <c r="G1623">
        <v>0.10928522408695809</v>
      </c>
    </row>
    <row r="1624" spans="1:7" x14ac:dyDescent="0.35">
      <c r="A1624">
        <v>2017</v>
      </c>
      <c r="B1624" s="1" t="s">
        <v>134</v>
      </c>
      <c r="C1624" s="1" t="s">
        <v>135</v>
      </c>
      <c r="D1624" s="1" t="s">
        <v>9</v>
      </c>
      <c r="E1624" s="1">
        <v>153189.01999999999</v>
      </c>
      <c r="F1624" s="1">
        <v>496883</v>
      </c>
      <c r="G1624">
        <v>0.3082999820883387</v>
      </c>
    </row>
    <row r="1625" spans="1:7" x14ac:dyDescent="0.35">
      <c r="A1625">
        <v>2015</v>
      </c>
      <c r="B1625" s="1" t="s">
        <v>28</v>
      </c>
      <c r="C1625" s="1" t="s">
        <v>29</v>
      </c>
      <c r="D1625" s="1" t="s">
        <v>7</v>
      </c>
      <c r="E1625" s="1">
        <v>129566.45</v>
      </c>
      <c r="F1625" s="1">
        <v>428204</v>
      </c>
      <c r="G1625">
        <v>0.30258112955507188</v>
      </c>
    </row>
    <row r="1626" spans="1:7" x14ac:dyDescent="0.35">
      <c r="A1626">
        <v>2015</v>
      </c>
      <c r="B1626" s="1" t="s">
        <v>28</v>
      </c>
      <c r="C1626" s="1" t="s">
        <v>29</v>
      </c>
      <c r="D1626" s="1" t="s">
        <v>8</v>
      </c>
      <c r="E1626" s="1">
        <v>47170.23</v>
      </c>
      <c r="F1626" s="1">
        <v>428204</v>
      </c>
      <c r="G1626">
        <v>0.1101583123931584</v>
      </c>
    </row>
    <row r="1627" spans="1:7" x14ac:dyDescent="0.35">
      <c r="A1627">
        <v>2015</v>
      </c>
      <c r="B1627" s="1" t="s">
        <v>28</v>
      </c>
      <c r="C1627" s="1" t="s">
        <v>29</v>
      </c>
      <c r="D1627" s="1" t="s">
        <v>9</v>
      </c>
      <c r="E1627" s="1">
        <v>96152.38</v>
      </c>
      <c r="F1627" s="1">
        <v>428204</v>
      </c>
      <c r="G1627">
        <v>0.22454806587514364</v>
      </c>
    </row>
    <row r="1628" spans="1:7" x14ac:dyDescent="0.35">
      <c r="A1628">
        <v>2017</v>
      </c>
      <c r="B1628" s="1" t="s">
        <v>88</v>
      </c>
      <c r="C1628" s="1" t="s">
        <v>89</v>
      </c>
      <c r="D1628" s="1" t="s">
        <v>7</v>
      </c>
      <c r="E1628" s="1">
        <v>135598.98000000001</v>
      </c>
      <c r="F1628" s="1">
        <v>568895</v>
      </c>
      <c r="G1628">
        <v>0.23835502157691668</v>
      </c>
    </row>
    <row r="1629" spans="1:7" x14ac:dyDescent="0.35">
      <c r="A1629">
        <v>2017</v>
      </c>
      <c r="B1629" s="1" t="s">
        <v>88</v>
      </c>
      <c r="C1629" s="1" t="s">
        <v>89</v>
      </c>
      <c r="D1629" s="1" t="s">
        <v>8</v>
      </c>
      <c r="E1629" s="1">
        <v>58155.93</v>
      </c>
      <c r="F1629" s="1">
        <v>568895</v>
      </c>
      <c r="G1629">
        <v>0.10222612257094894</v>
      </c>
    </row>
    <row r="1630" spans="1:7" x14ac:dyDescent="0.35">
      <c r="A1630">
        <v>2017</v>
      </c>
      <c r="B1630" s="1" t="s">
        <v>88</v>
      </c>
      <c r="C1630" s="1" t="s">
        <v>89</v>
      </c>
      <c r="D1630" s="1" t="s">
        <v>9</v>
      </c>
      <c r="E1630" s="1">
        <v>84430.66</v>
      </c>
      <c r="F1630" s="1">
        <v>568895</v>
      </c>
      <c r="G1630">
        <v>0.14841167526520713</v>
      </c>
    </row>
    <row r="1631" spans="1:7" x14ac:dyDescent="0.35">
      <c r="A1631">
        <v>2017</v>
      </c>
      <c r="B1631" s="1" t="s">
        <v>90</v>
      </c>
      <c r="C1631" s="1" t="s">
        <v>91</v>
      </c>
      <c r="D1631" s="1" t="s">
        <v>7</v>
      </c>
      <c r="E1631" s="1">
        <v>40673.96</v>
      </c>
      <c r="F1631" s="1">
        <v>175640</v>
      </c>
      <c r="G1631">
        <v>0.23157572306991572</v>
      </c>
    </row>
    <row r="1632" spans="1:7" x14ac:dyDescent="0.35">
      <c r="A1632">
        <v>2017</v>
      </c>
      <c r="B1632" s="1" t="s">
        <v>90</v>
      </c>
      <c r="C1632" s="1" t="s">
        <v>91</v>
      </c>
      <c r="D1632" s="1" t="s">
        <v>8</v>
      </c>
      <c r="E1632" s="1">
        <v>15139.1</v>
      </c>
      <c r="F1632" s="1">
        <v>175640</v>
      </c>
      <c r="G1632">
        <v>8.6193919380551126E-2</v>
      </c>
    </row>
    <row r="1633" spans="1:7" x14ac:dyDescent="0.35">
      <c r="A1633">
        <v>2017</v>
      </c>
      <c r="B1633" s="1" t="s">
        <v>90</v>
      </c>
      <c r="C1633" s="1" t="s">
        <v>91</v>
      </c>
      <c r="D1633" s="1" t="s">
        <v>9</v>
      </c>
      <c r="E1633" s="1">
        <v>30305.8</v>
      </c>
      <c r="F1633" s="1">
        <v>175640</v>
      </c>
      <c r="G1633">
        <v>0.17254497836483718</v>
      </c>
    </row>
    <row r="1634" spans="1:7" x14ac:dyDescent="0.35">
      <c r="A1634">
        <v>2017</v>
      </c>
      <c r="B1634" s="1" t="s">
        <v>194</v>
      </c>
      <c r="C1634" s="1" t="s">
        <v>195</v>
      </c>
      <c r="D1634" s="1" t="s">
        <v>7</v>
      </c>
      <c r="E1634" s="1">
        <v>52727.26</v>
      </c>
      <c r="F1634" s="1">
        <v>307445</v>
      </c>
      <c r="G1634">
        <v>0.17150143928182277</v>
      </c>
    </row>
    <row r="1635" spans="1:7" x14ac:dyDescent="0.35">
      <c r="A1635">
        <v>2017</v>
      </c>
      <c r="B1635" s="1" t="s">
        <v>194</v>
      </c>
      <c r="C1635" s="1" t="s">
        <v>195</v>
      </c>
      <c r="D1635" s="1" t="s">
        <v>8</v>
      </c>
      <c r="E1635" s="1">
        <v>32002.98</v>
      </c>
      <c r="F1635" s="1">
        <v>307445</v>
      </c>
      <c r="G1635">
        <v>0.10409335003008668</v>
      </c>
    </row>
    <row r="1636" spans="1:7" x14ac:dyDescent="0.35">
      <c r="A1636">
        <v>2017</v>
      </c>
      <c r="B1636" s="1" t="s">
        <v>194</v>
      </c>
      <c r="C1636" s="1" t="s">
        <v>195</v>
      </c>
      <c r="D1636" s="1" t="s">
        <v>9</v>
      </c>
      <c r="E1636" s="1">
        <v>75415.240000000005</v>
      </c>
      <c r="F1636" s="1">
        <v>307445</v>
      </c>
      <c r="G1636">
        <v>0.24529668721234693</v>
      </c>
    </row>
    <row r="1637" spans="1:7" x14ac:dyDescent="0.35">
      <c r="A1637">
        <v>2015</v>
      </c>
      <c r="B1637" s="1" t="s">
        <v>30</v>
      </c>
      <c r="C1637" s="1" t="s">
        <v>31</v>
      </c>
      <c r="D1637" s="1" t="s">
        <v>7</v>
      </c>
      <c r="E1637" s="1">
        <v>226247.32</v>
      </c>
      <c r="F1637" s="1">
        <v>793938</v>
      </c>
      <c r="G1637">
        <v>0.28496849879965441</v>
      </c>
    </row>
    <row r="1638" spans="1:7" x14ac:dyDescent="0.35">
      <c r="A1638">
        <v>2015</v>
      </c>
      <c r="B1638" s="1" t="s">
        <v>30</v>
      </c>
      <c r="C1638" s="1" t="s">
        <v>31</v>
      </c>
      <c r="D1638" s="1" t="s">
        <v>8</v>
      </c>
      <c r="E1638" s="1">
        <v>66536.86</v>
      </c>
      <c r="F1638" s="1">
        <v>793938</v>
      </c>
      <c r="G1638">
        <v>8.3806115842798803E-2</v>
      </c>
    </row>
    <row r="1639" spans="1:7" x14ac:dyDescent="0.35">
      <c r="A1639">
        <v>2015</v>
      </c>
      <c r="B1639" s="1" t="s">
        <v>30</v>
      </c>
      <c r="C1639" s="1" t="s">
        <v>31</v>
      </c>
      <c r="D1639" s="1" t="s">
        <v>9</v>
      </c>
      <c r="E1639" s="1">
        <v>170397.28</v>
      </c>
      <c r="F1639" s="1">
        <v>793938</v>
      </c>
      <c r="G1639">
        <v>0.21462290506311577</v>
      </c>
    </row>
    <row r="1640" spans="1:7" x14ac:dyDescent="0.35">
      <c r="A1640">
        <v>2017</v>
      </c>
      <c r="B1640" s="1" t="s">
        <v>92</v>
      </c>
      <c r="C1640" s="1" t="s">
        <v>93</v>
      </c>
      <c r="D1640" s="1" t="s">
        <v>7</v>
      </c>
      <c r="E1640" s="1">
        <v>177158.27</v>
      </c>
      <c r="F1640" s="1">
        <v>733481</v>
      </c>
      <c r="G1640">
        <v>0.24153082356598193</v>
      </c>
    </row>
    <row r="1641" spans="1:7" x14ac:dyDescent="0.35">
      <c r="A1641">
        <v>2017</v>
      </c>
      <c r="B1641" s="1" t="s">
        <v>92</v>
      </c>
      <c r="C1641" s="1" t="s">
        <v>93</v>
      </c>
      <c r="D1641" s="1" t="s">
        <v>8</v>
      </c>
      <c r="E1641" s="1">
        <v>74382.02</v>
      </c>
      <c r="F1641" s="1">
        <v>733481</v>
      </c>
      <c r="G1641">
        <v>0.10140960706548637</v>
      </c>
    </row>
    <row r="1642" spans="1:7" x14ac:dyDescent="0.35">
      <c r="A1642">
        <v>2017</v>
      </c>
      <c r="B1642" s="1" t="s">
        <v>92</v>
      </c>
      <c r="C1642" s="1" t="s">
        <v>93</v>
      </c>
      <c r="D1642" s="1" t="s">
        <v>9</v>
      </c>
      <c r="E1642" s="1">
        <v>94423.23</v>
      </c>
      <c r="F1642" s="1">
        <v>733481</v>
      </c>
      <c r="G1642">
        <v>0.12873302784939214</v>
      </c>
    </row>
    <row r="1643" spans="1:7" x14ac:dyDescent="0.35">
      <c r="A1643">
        <v>2017</v>
      </c>
      <c r="B1643" s="1" t="s">
        <v>94</v>
      </c>
      <c r="C1643" s="1" t="s">
        <v>95</v>
      </c>
      <c r="D1643" s="1" t="s">
        <v>7</v>
      </c>
      <c r="E1643" s="1">
        <v>42177.5</v>
      </c>
      <c r="F1643" s="1">
        <v>187187</v>
      </c>
      <c r="G1643">
        <v>0.22532280553670928</v>
      </c>
    </row>
    <row r="1644" spans="1:7" x14ac:dyDescent="0.35">
      <c r="A1644">
        <v>2017</v>
      </c>
      <c r="B1644" s="1" t="s">
        <v>94</v>
      </c>
      <c r="C1644" s="1" t="s">
        <v>95</v>
      </c>
      <c r="D1644" s="1" t="s">
        <v>8</v>
      </c>
      <c r="E1644" s="1">
        <v>17129.830000000002</v>
      </c>
      <c r="F1644" s="1">
        <v>187187</v>
      </c>
      <c r="G1644">
        <v>9.1511857126830395E-2</v>
      </c>
    </row>
    <row r="1645" spans="1:7" x14ac:dyDescent="0.35">
      <c r="A1645">
        <v>2017</v>
      </c>
      <c r="B1645" s="1" t="s">
        <v>94</v>
      </c>
      <c r="C1645" s="1" t="s">
        <v>95</v>
      </c>
      <c r="D1645" s="1" t="s">
        <v>9</v>
      </c>
      <c r="E1645" s="1">
        <v>30695.5</v>
      </c>
      <c r="F1645" s="1">
        <v>187187</v>
      </c>
      <c r="G1645">
        <v>0.16398307574778162</v>
      </c>
    </row>
    <row r="1646" spans="1:7" x14ac:dyDescent="0.35">
      <c r="A1646">
        <v>2017</v>
      </c>
      <c r="B1646" s="1" t="s">
        <v>54</v>
      </c>
      <c r="C1646" s="1" t="s">
        <v>55</v>
      </c>
      <c r="D1646" s="1" t="s">
        <v>7</v>
      </c>
      <c r="E1646" s="1">
        <v>149381.4</v>
      </c>
      <c r="F1646" s="1">
        <v>750863</v>
      </c>
      <c r="G1646">
        <v>0.19894627914812688</v>
      </c>
    </row>
    <row r="1647" spans="1:7" x14ac:dyDescent="0.35">
      <c r="A1647">
        <v>2017</v>
      </c>
      <c r="B1647" s="1" t="s">
        <v>54</v>
      </c>
      <c r="C1647" s="1" t="s">
        <v>55</v>
      </c>
      <c r="D1647" s="1" t="s">
        <v>8</v>
      </c>
      <c r="E1647" s="1">
        <v>94461.48</v>
      </c>
      <c r="F1647" s="1">
        <v>750863</v>
      </c>
      <c r="G1647">
        <v>0.12580388166682871</v>
      </c>
    </row>
    <row r="1648" spans="1:7" x14ac:dyDescent="0.35">
      <c r="A1648">
        <v>2017</v>
      </c>
      <c r="B1648" s="1" t="s">
        <v>54</v>
      </c>
      <c r="C1648" s="1" t="s">
        <v>55</v>
      </c>
      <c r="D1648" s="1" t="s">
        <v>9</v>
      </c>
      <c r="E1648" s="1">
        <v>194401.48</v>
      </c>
      <c r="F1648" s="1">
        <v>750863</v>
      </c>
      <c r="G1648">
        <v>0.25890406106040653</v>
      </c>
    </row>
    <row r="1649" spans="1:7" x14ac:dyDescent="0.35">
      <c r="A1649">
        <v>2015</v>
      </c>
      <c r="B1649" s="1" t="s">
        <v>32</v>
      </c>
      <c r="C1649" s="1" t="s">
        <v>33</v>
      </c>
      <c r="D1649" s="1" t="s">
        <v>7</v>
      </c>
      <c r="E1649" s="1">
        <v>118514.75</v>
      </c>
      <c r="F1649" s="1">
        <v>533147</v>
      </c>
      <c r="G1649">
        <v>0.22229281980391899</v>
      </c>
    </row>
    <row r="1650" spans="1:7" x14ac:dyDescent="0.35">
      <c r="A1650">
        <v>2015</v>
      </c>
      <c r="B1650" s="1" t="s">
        <v>32</v>
      </c>
      <c r="C1650" s="1" t="s">
        <v>33</v>
      </c>
      <c r="D1650" s="1" t="s">
        <v>8</v>
      </c>
      <c r="E1650" s="1">
        <v>57135.48</v>
      </c>
      <c r="F1650" s="1">
        <v>533147</v>
      </c>
      <c r="G1650">
        <v>0.10716646628415803</v>
      </c>
    </row>
    <row r="1651" spans="1:7" x14ac:dyDescent="0.35">
      <c r="A1651">
        <v>2015</v>
      </c>
      <c r="B1651" s="1" t="s">
        <v>32</v>
      </c>
      <c r="C1651" s="1" t="s">
        <v>33</v>
      </c>
      <c r="D1651" s="1" t="s">
        <v>9</v>
      </c>
      <c r="E1651" s="1">
        <v>87594.92</v>
      </c>
      <c r="F1651" s="1">
        <v>533147</v>
      </c>
      <c r="G1651">
        <v>0.16429787657062686</v>
      </c>
    </row>
    <row r="1652" spans="1:7" x14ac:dyDescent="0.35">
      <c r="A1652">
        <v>2017</v>
      </c>
      <c r="B1652" s="1" t="s">
        <v>96</v>
      </c>
      <c r="C1652" s="1" t="s">
        <v>97</v>
      </c>
      <c r="D1652" s="1" t="s">
        <v>7</v>
      </c>
      <c r="E1652" s="1">
        <v>229928.44</v>
      </c>
      <c r="F1652" s="1">
        <v>1043522</v>
      </c>
      <c r="G1652">
        <v>0.22033885246310092</v>
      </c>
    </row>
    <row r="1653" spans="1:7" x14ac:dyDescent="0.35">
      <c r="A1653">
        <v>2017</v>
      </c>
      <c r="B1653" s="1" t="s">
        <v>96</v>
      </c>
      <c r="C1653" s="1" t="s">
        <v>97</v>
      </c>
      <c r="D1653" s="1" t="s">
        <v>8</v>
      </c>
      <c r="E1653" s="1">
        <v>124173.67</v>
      </c>
      <c r="F1653" s="1">
        <v>1043522</v>
      </c>
      <c r="G1653">
        <v>0.11899477921883775</v>
      </c>
    </row>
    <row r="1654" spans="1:7" x14ac:dyDescent="0.35">
      <c r="A1654">
        <v>2017</v>
      </c>
      <c r="B1654" s="1" t="s">
        <v>96</v>
      </c>
      <c r="C1654" s="1" t="s">
        <v>97</v>
      </c>
      <c r="D1654" s="1" t="s">
        <v>9</v>
      </c>
      <c r="E1654" s="1">
        <v>172217.39</v>
      </c>
      <c r="F1654" s="1">
        <v>1043522</v>
      </c>
      <c r="G1654">
        <v>0.1650347477101585</v>
      </c>
    </row>
    <row r="1655" spans="1:7" x14ac:dyDescent="0.35">
      <c r="A1655">
        <v>2017</v>
      </c>
      <c r="B1655" s="1" t="s">
        <v>38</v>
      </c>
      <c r="C1655" s="1" t="s">
        <v>39</v>
      </c>
      <c r="D1655" s="1" t="s">
        <v>7</v>
      </c>
      <c r="E1655" s="1">
        <v>40256.639999999999</v>
      </c>
      <c r="F1655" s="1">
        <v>207182</v>
      </c>
      <c r="G1655">
        <v>0.19430568292612294</v>
      </c>
    </row>
    <row r="1656" spans="1:7" x14ac:dyDescent="0.35">
      <c r="A1656">
        <v>2017</v>
      </c>
      <c r="B1656" s="1" t="s">
        <v>38</v>
      </c>
      <c r="C1656" s="1" t="s">
        <v>39</v>
      </c>
      <c r="D1656" s="1" t="s">
        <v>8</v>
      </c>
      <c r="E1656" s="1">
        <v>23094.05</v>
      </c>
      <c r="F1656" s="1">
        <v>207182</v>
      </c>
      <c r="G1656">
        <v>0.11146745373632844</v>
      </c>
    </row>
    <row r="1657" spans="1:7" x14ac:dyDescent="0.35">
      <c r="A1657">
        <v>2017</v>
      </c>
      <c r="B1657" s="1" t="s">
        <v>38</v>
      </c>
      <c r="C1657" s="1" t="s">
        <v>39</v>
      </c>
      <c r="D1657" s="1" t="s">
        <v>9</v>
      </c>
      <c r="E1657" s="1">
        <v>42126.07</v>
      </c>
      <c r="F1657" s="1">
        <v>207182</v>
      </c>
      <c r="G1657">
        <v>0.20332881234856309</v>
      </c>
    </row>
    <row r="1658" spans="1:7" x14ac:dyDescent="0.35">
      <c r="A1658">
        <v>2017</v>
      </c>
      <c r="B1658" s="1" t="s">
        <v>106</v>
      </c>
      <c r="C1658" s="1" t="s">
        <v>107</v>
      </c>
      <c r="D1658" s="1" t="s">
        <v>7</v>
      </c>
      <c r="E1658" s="1">
        <v>625089.35</v>
      </c>
      <c r="F1658" s="1">
        <v>2604361</v>
      </c>
      <c r="G1658">
        <v>0.24001639941620995</v>
      </c>
    </row>
    <row r="1659" spans="1:7" x14ac:dyDescent="0.35">
      <c r="A1659">
        <v>2017</v>
      </c>
      <c r="B1659" s="1" t="s">
        <v>106</v>
      </c>
      <c r="C1659" s="1" t="s">
        <v>107</v>
      </c>
      <c r="D1659" s="1" t="s">
        <v>8</v>
      </c>
      <c r="E1659" s="1">
        <v>373711.44</v>
      </c>
      <c r="F1659" s="1">
        <v>2604361</v>
      </c>
      <c r="G1659">
        <v>0.14349448482756422</v>
      </c>
    </row>
    <row r="1660" spans="1:7" x14ac:dyDescent="0.35">
      <c r="A1660">
        <v>2017</v>
      </c>
      <c r="B1660" s="1" t="s">
        <v>106</v>
      </c>
      <c r="C1660" s="1" t="s">
        <v>107</v>
      </c>
      <c r="D1660" s="1" t="s">
        <v>9</v>
      </c>
      <c r="E1660" s="1">
        <v>336878.2</v>
      </c>
      <c r="F1660" s="1">
        <v>2604361</v>
      </c>
      <c r="G1660">
        <v>0.1293515760679875</v>
      </c>
    </row>
    <row r="1661" spans="1:7" x14ac:dyDescent="0.35">
      <c r="A1661">
        <v>2015</v>
      </c>
      <c r="B1661" s="1" t="s">
        <v>34</v>
      </c>
      <c r="C1661" s="1" t="s">
        <v>35</v>
      </c>
      <c r="D1661" s="1" t="s">
        <v>7</v>
      </c>
      <c r="E1661" s="1">
        <v>98935.84</v>
      </c>
      <c r="F1661" s="1">
        <v>536959</v>
      </c>
      <c r="G1661">
        <v>0.18425213098206752</v>
      </c>
    </row>
    <row r="1662" spans="1:7" x14ac:dyDescent="0.35">
      <c r="A1662">
        <v>2015</v>
      </c>
      <c r="B1662" s="1" t="s">
        <v>34</v>
      </c>
      <c r="C1662" s="1" t="s">
        <v>35</v>
      </c>
      <c r="D1662" s="1" t="s">
        <v>8</v>
      </c>
      <c r="E1662" s="1">
        <v>52366.45</v>
      </c>
      <c r="F1662" s="1">
        <v>536959</v>
      </c>
      <c r="G1662">
        <v>9.7524112641747318E-2</v>
      </c>
    </row>
    <row r="1663" spans="1:7" x14ac:dyDescent="0.35">
      <c r="A1663">
        <v>2015</v>
      </c>
      <c r="B1663" s="1" t="s">
        <v>34</v>
      </c>
      <c r="C1663" s="1" t="s">
        <v>35</v>
      </c>
      <c r="D1663" s="1" t="s">
        <v>9</v>
      </c>
      <c r="E1663" s="1">
        <v>96430.48</v>
      </c>
      <c r="F1663" s="1">
        <v>536959</v>
      </c>
      <c r="G1663">
        <v>0.17958629988509364</v>
      </c>
    </row>
    <row r="1664" spans="1:7" x14ac:dyDescent="0.35">
      <c r="A1664">
        <v>2017</v>
      </c>
      <c r="B1664" s="1" t="s">
        <v>108</v>
      </c>
      <c r="C1664" s="1" t="s">
        <v>109</v>
      </c>
      <c r="D1664" s="1" t="s">
        <v>7</v>
      </c>
      <c r="E1664" s="1">
        <v>199975.24</v>
      </c>
      <c r="F1664" s="1">
        <v>824503</v>
      </c>
      <c r="G1664">
        <v>0.24254034248510919</v>
      </c>
    </row>
    <row r="1665" spans="1:7" x14ac:dyDescent="0.35">
      <c r="A1665">
        <v>2017</v>
      </c>
      <c r="B1665" s="1" t="s">
        <v>108</v>
      </c>
      <c r="C1665" s="1" t="s">
        <v>109</v>
      </c>
      <c r="D1665" s="1" t="s">
        <v>8</v>
      </c>
      <c r="E1665" s="1">
        <v>118131.67</v>
      </c>
      <c r="F1665" s="1">
        <v>824503</v>
      </c>
      <c r="G1665">
        <v>0.14327621609624222</v>
      </c>
    </row>
    <row r="1666" spans="1:7" x14ac:dyDescent="0.35">
      <c r="A1666">
        <v>2017</v>
      </c>
      <c r="B1666" s="1" t="s">
        <v>108</v>
      </c>
      <c r="C1666" s="1" t="s">
        <v>109</v>
      </c>
      <c r="D1666" s="1" t="s">
        <v>9</v>
      </c>
      <c r="E1666" s="1">
        <v>150781.18</v>
      </c>
      <c r="F1666" s="1">
        <v>824503</v>
      </c>
      <c r="G1666">
        <v>0.18287523514165502</v>
      </c>
    </row>
    <row r="1667" spans="1:7" x14ac:dyDescent="0.35">
      <c r="A1667">
        <v>2017</v>
      </c>
      <c r="B1667" s="1" t="s">
        <v>136</v>
      </c>
      <c r="C1667" s="1" t="s">
        <v>137</v>
      </c>
      <c r="D1667" s="1" t="s">
        <v>7</v>
      </c>
      <c r="E1667" s="1">
        <v>62917.55</v>
      </c>
      <c r="F1667" s="1">
        <v>283372</v>
      </c>
      <c r="G1667">
        <v>0.22203164038790002</v>
      </c>
    </row>
    <row r="1668" spans="1:7" x14ac:dyDescent="0.35">
      <c r="A1668">
        <v>2017</v>
      </c>
      <c r="B1668" s="1" t="s">
        <v>136</v>
      </c>
      <c r="C1668" s="1" t="s">
        <v>137</v>
      </c>
      <c r="D1668" s="1" t="s">
        <v>8</v>
      </c>
      <c r="E1668" s="1">
        <v>22040.85</v>
      </c>
      <c r="F1668" s="1">
        <v>283372</v>
      </c>
      <c r="G1668">
        <v>7.7780620527080999E-2</v>
      </c>
    </row>
    <row r="1669" spans="1:7" x14ac:dyDescent="0.35">
      <c r="A1669">
        <v>2017</v>
      </c>
      <c r="B1669" s="1" t="s">
        <v>136</v>
      </c>
      <c r="C1669" s="1" t="s">
        <v>137</v>
      </c>
      <c r="D1669" s="1" t="s">
        <v>9</v>
      </c>
      <c r="E1669" s="1">
        <v>74703.3</v>
      </c>
      <c r="F1669" s="1">
        <v>283372</v>
      </c>
      <c r="G1669">
        <v>0.26362272913343593</v>
      </c>
    </row>
    <row r="1670" spans="1:7" x14ac:dyDescent="0.35">
      <c r="A1670">
        <v>2017</v>
      </c>
      <c r="B1670" s="1" t="s">
        <v>110</v>
      </c>
      <c r="C1670" s="1" t="s">
        <v>111</v>
      </c>
      <c r="D1670" s="1" t="s">
        <v>7</v>
      </c>
      <c r="E1670" s="1">
        <v>397742.69</v>
      </c>
      <c r="F1670" s="1">
        <v>1468018</v>
      </c>
      <c r="G1670">
        <v>0.27093856478599038</v>
      </c>
    </row>
    <row r="1671" spans="1:7" x14ac:dyDescent="0.35">
      <c r="A1671">
        <v>2017</v>
      </c>
      <c r="B1671" s="1" t="s">
        <v>110</v>
      </c>
      <c r="C1671" s="1" t="s">
        <v>111</v>
      </c>
      <c r="D1671" s="1" t="s">
        <v>8</v>
      </c>
      <c r="E1671" s="1">
        <v>241616.68</v>
      </c>
      <c r="F1671" s="1">
        <v>1468018</v>
      </c>
      <c r="G1671">
        <v>0.16458700097682724</v>
      </c>
    </row>
    <row r="1672" spans="1:7" x14ac:dyDescent="0.35">
      <c r="A1672">
        <v>2017</v>
      </c>
      <c r="B1672" s="1" t="s">
        <v>110</v>
      </c>
      <c r="C1672" s="1" t="s">
        <v>111</v>
      </c>
      <c r="D1672" s="1" t="s">
        <v>9</v>
      </c>
      <c r="E1672" s="1">
        <v>316145.68</v>
      </c>
      <c r="F1672" s="1">
        <v>1468018</v>
      </c>
      <c r="G1672">
        <v>0.21535545204486592</v>
      </c>
    </row>
    <row r="1673" spans="1:7" x14ac:dyDescent="0.35">
      <c r="A1673">
        <v>2015</v>
      </c>
      <c r="B1673" s="1" t="s">
        <v>36</v>
      </c>
      <c r="C1673" s="1" t="s">
        <v>37</v>
      </c>
      <c r="D1673" s="1" t="s">
        <v>7</v>
      </c>
      <c r="E1673" s="1">
        <v>50215.19</v>
      </c>
      <c r="F1673" s="1">
        <v>260587</v>
      </c>
      <c r="G1673">
        <v>0.19270028819549709</v>
      </c>
    </row>
    <row r="1674" spans="1:7" x14ac:dyDescent="0.35">
      <c r="A1674">
        <v>2015</v>
      </c>
      <c r="B1674" s="1" t="s">
        <v>36</v>
      </c>
      <c r="C1674" s="1" t="s">
        <v>37</v>
      </c>
      <c r="D1674" s="1" t="s">
        <v>8</v>
      </c>
      <c r="E1674" s="1">
        <v>34415.22</v>
      </c>
      <c r="F1674" s="1">
        <v>260587</v>
      </c>
      <c r="G1674">
        <v>0.13206806172218877</v>
      </c>
    </row>
    <row r="1675" spans="1:7" x14ac:dyDescent="0.35">
      <c r="A1675">
        <v>2015</v>
      </c>
      <c r="B1675" s="1" t="s">
        <v>36</v>
      </c>
      <c r="C1675" s="1" t="s">
        <v>37</v>
      </c>
      <c r="D1675" s="1" t="s">
        <v>9</v>
      </c>
      <c r="E1675" s="1">
        <v>39422.879999999997</v>
      </c>
      <c r="F1675" s="1">
        <v>260587</v>
      </c>
      <c r="G1675">
        <v>0.15128490676818107</v>
      </c>
    </row>
    <row r="1676" spans="1:7" x14ac:dyDescent="0.35">
      <c r="A1676">
        <v>2017</v>
      </c>
      <c r="B1676" s="1" t="s">
        <v>24</v>
      </c>
      <c r="C1676" s="1" t="s">
        <v>25</v>
      </c>
      <c r="D1676" s="1" t="s">
        <v>7</v>
      </c>
      <c r="E1676" s="1">
        <v>136681.57</v>
      </c>
      <c r="F1676" s="1">
        <v>653742</v>
      </c>
      <c r="G1676">
        <v>0.20907570570653256</v>
      </c>
    </row>
    <row r="1677" spans="1:7" x14ac:dyDescent="0.35">
      <c r="A1677">
        <v>2017</v>
      </c>
      <c r="B1677" s="1" t="s">
        <v>24</v>
      </c>
      <c r="C1677" s="1" t="s">
        <v>25</v>
      </c>
      <c r="D1677" s="1" t="s">
        <v>8</v>
      </c>
      <c r="E1677" s="1">
        <v>72747.88</v>
      </c>
      <c r="F1677" s="1">
        <v>653742</v>
      </c>
      <c r="G1677">
        <v>0.11127918964973951</v>
      </c>
    </row>
    <row r="1678" spans="1:7" x14ac:dyDescent="0.35">
      <c r="A1678">
        <v>2017</v>
      </c>
      <c r="B1678" s="1" t="s">
        <v>24</v>
      </c>
      <c r="C1678" s="1" t="s">
        <v>25</v>
      </c>
      <c r="D1678" s="1" t="s">
        <v>9</v>
      </c>
      <c r="E1678" s="1">
        <v>98134.95</v>
      </c>
      <c r="F1678" s="1">
        <v>653742</v>
      </c>
      <c r="G1678">
        <v>0.15011265912240609</v>
      </c>
    </row>
    <row r="1679" spans="1:7" x14ac:dyDescent="0.35">
      <c r="A1679">
        <v>2017</v>
      </c>
      <c r="B1679" s="1" t="s">
        <v>156</v>
      </c>
      <c r="C1679" s="1" t="s">
        <v>157</v>
      </c>
      <c r="D1679" s="1" t="s">
        <v>7</v>
      </c>
      <c r="E1679" s="1">
        <v>168190.57</v>
      </c>
      <c r="F1679" s="1">
        <v>677309</v>
      </c>
      <c r="G1679">
        <v>0.24832177041793332</v>
      </c>
    </row>
    <row r="1680" spans="1:7" x14ac:dyDescent="0.35">
      <c r="A1680">
        <v>2017</v>
      </c>
      <c r="B1680" s="1" t="s">
        <v>156</v>
      </c>
      <c r="C1680" s="1" t="s">
        <v>157</v>
      </c>
      <c r="D1680" s="1" t="s">
        <v>8</v>
      </c>
      <c r="E1680" s="1">
        <v>74169.55</v>
      </c>
      <c r="F1680" s="1">
        <v>677309</v>
      </c>
      <c r="G1680">
        <v>0.1095062224184235</v>
      </c>
    </row>
    <row r="1681" spans="1:7" x14ac:dyDescent="0.35">
      <c r="A1681">
        <v>2017</v>
      </c>
      <c r="B1681" s="1" t="s">
        <v>156</v>
      </c>
      <c r="C1681" s="1" t="s">
        <v>157</v>
      </c>
      <c r="D1681" s="1" t="s">
        <v>9</v>
      </c>
      <c r="E1681" s="1">
        <v>126370.15</v>
      </c>
      <c r="F1681" s="1">
        <v>677309</v>
      </c>
      <c r="G1681">
        <v>0.18657680615494551</v>
      </c>
    </row>
    <row r="1682" spans="1:7" x14ac:dyDescent="0.35">
      <c r="A1682">
        <v>2017</v>
      </c>
      <c r="B1682" s="1" t="s">
        <v>182</v>
      </c>
      <c r="C1682" s="1" t="s">
        <v>183</v>
      </c>
      <c r="D1682" s="1" t="s">
        <v>7</v>
      </c>
      <c r="E1682" s="1">
        <v>60171.1</v>
      </c>
      <c r="F1682" s="1">
        <v>228530</v>
      </c>
      <c r="G1682">
        <v>0.26329628495164747</v>
      </c>
    </row>
    <row r="1683" spans="1:7" x14ac:dyDescent="0.35">
      <c r="A1683">
        <v>2017</v>
      </c>
      <c r="B1683" s="1" t="s">
        <v>182</v>
      </c>
      <c r="C1683" s="1" t="s">
        <v>183</v>
      </c>
      <c r="D1683" s="1" t="s">
        <v>8</v>
      </c>
      <c r="E1683" s="1">
        <v>21008.47</v>
      </c>
      <c r="F1683" s="1">
        <v>228530</v>
      </c>
      <c r="G1683">
        <v>9.1928718330197348E-2</v>
      </c>
    </row>
    <row r="1684" spans="1:7" x14ac:dyDescent="0.35">
      <c r="A1684">
        <v>2017</v>
      </c>
      <c r="B1684" s="1" t="s">
        <v>182</v>
      </c>
      <c r="C1684" s="1" t="s">
        <v>183</v>
      </c>
      <c r="D1684" s="1" t="s">
        <v>9</v>
      </c>
      <c r="E1684" s="1">
        <v>43210.15</v>
      </c>
      <c r="F1684" s="1">
        <v>228530</v>
      </c>
      <c r="G1684">
        <v>0.18907867676016279</v>
      </c>
    </row>
    <row r="1685" spans="1:7" x14ac:dyDescent="0.35">
      <c r="A1685">
        <v>2015</v>
      </c>
      <c r="B1685" s="1" t="s">
        <v>38</v>
      </c>
      <c r="C1685" s="1" t="s">
        <v>39</v>
      </c>
      <c r="D1685" s="1" t="s">
        <v>7</v>
      </c>
      <c r="E1685" s="1">
        <v>42042.46</v>
      </c>
      <c r="F1685" s="1">
        <v>211747</v>
      </c>
      <c r="G1685">
        <v>0.19855043991178151</v>
      </c>
    </row>
    <row r="1686" spans="1:7" x14ac:dyDescent="0.35">
      <c r="A1686">
        <v>2015</v>
      </c>
      <c r="B1686" s="1" t="s">
        <v>38</v>
      </c>
      <c r="C1686" s="1" t="s">
        <v>39</v>
      </c>
      <c r="D1686" s="1" t="s">
        <v>8</v>
      </c>
      <c r="E1686" s="1">
        <v>21142.11</v>
      </c>
      <c r="F1686" s="1">
        <v>211747</v>
      </c>
      <c r="G1686">
        <v>9.9846089909184074E-2</v>
      </c>
    </row>
    <row r="1687" spans="1:7" x14ac:dyDescent="0.35">
      <c r="A1687">
        <v>2015</v>
      </c>
      <c r="B1687" s="1" t="s">
        <v>38</v>
      </c>
      <c r="C1687" s="1" t="s">
        <v>39</v>
      </c>
      <c r="D1687" s="1" t="s">
        <v>9</v>
      </c>
      <c r="E1687" s="1">
        <v>40390.31</v>
      </c>
      <c r="F1687" s="1">
        <v>211747</v>
      </c>
      <c r="G1687">
        <v>0.19074796809399897</v>
      </c>
    </row>
    <row r="1688" spans="1:7" x14ac:dyDescent="0.35">
      <c r="A1688">
        <v>2017</v>
      </c>
      <c r="B1688" s="1" t="s">
        <v>184</v>
      </c>
      <c r="C1688" s="1" t="s">
        <v>185</v>
      </c>
      <c r="D1688" s="1" t="s">
        <v>7</v>
      </c>
      <c r="E1688" s="1">
        <v>159529.79</v>
      </c>
      <c r="F1688" s="1">
        <v>474452</v>
      </c>
      <c r="G1688">
        <v>0.33624010437304513</v>
      </c>
    </row>
    <row r="1689" spans="1:7" x14ac:dyDescent="0.35">
      <c r="A1689">
        <v>2017</v>
      </c>
      <c r="B1689" s="1" t="s">
        <v>184</v>
      </c>
      <c r="C1689" s="1" t="s">
        <v>185</v>
      </c>
      <c r="D1689" s="1" t="s">
        <v>8</v>
      </c>
      <c r="E1689" s="1">
        <v>47351.58</v>
      </c>
      <c r="F1689" s="1">
        <v>474452</v>
      </c>
      <c r="G1689">
        <v>9.9802677615438443E-2</v>
      </c>
    </row>
    <row r="1690" spans="1:7" x14ac:dyDescent="0.35">
      <c r="A1690">
        <v>2017</v>
      </c>
      <c r="B1690" s="1" t="s">
        <v>184</v>
      </c>
      <c r="C1690" s="1" t="s">
        <v>185</v>
      </c>
      <c r="D1690" s="1" t="s">
        <v>9</v>
      </c>
      <c r="E1690" s="1">
        <v>116530.18</v>
      </c>
      <c r="F1690" s="1">
        <v>474452</v>
      </c>
      <c r="G1690">
        <v>0.24561005117482906</v>
      </c>
    </row>
    <row r="1691" spans="1:7" x14ac:dyDescent="0.35">
      <c r="A1691">
        <v>2017</v>
      </c>
      <c r="B1691" s="1" t="s">
        <v>98</v>
      </c>
      <c r="C1691" s="1" t="s">
        <v>99</v>
      </c>
      <c r="D1691" s="1" t="s">
        <v>7</v>
      </c>
      <c r="E1691" s="1">
        <v>220608.65</v>
      </c>
      <c r="F1691" s="1">
        <v>1125559</v>
      </c>
      <c r="G1691">
        <v>0.19599918795904966</v>
      </c>
    </row>
    <row r="1692" spans="1:7" x14ac:dyDescent="0.35">
      <c r="A1692">
        <v>2017</v>
      </c>
      <c r="B1692" s="1" t="s">
        <v>98</v>
      </c>
      <c r="C1692" s="1" t="s">
        <v>99</v>
      </c>
      <c r="D1692" s="1" t="s">
        <v>8</v>
      </c>
      <c r="E1692" s="1">
        <v>116035.52</v>
      </c>
      <c r="F1692" s="1">
        <v>1125559</v>
      </c>
      <c r="G1692">
        <v>0.10309145944370753</v>
      </c>
    </row>
    <row r="1693" spans="1:7" x14ac:dyDescent="0.35">
      <c r="A1693">
        <v>2017</v>
      </c>
      <c r="B1693" s="1" t="s">
        <v>98</v>
      </c>
      <c r="C1693" s="1" t="s">
        <v>99</v>
      </c>
      <c r="D1693" s="1" t="s">
        <v>9</v>
      </c>
      <c r="E1693" s="1">
        <v>158986.67000000001</v>
      </c>
      <c r="F1693" s="1">
        <v>1125559</v>
      </c>
      <c r="G1693">
        <v>0.14125129824380597</v>
      </c>
    </row>
    <row r="1694" spans="1:7" x14ac:dyDescent="0.35">
      <c r="A1694">
        <v>2017</v>
      </c>
      <c r="B1694" s="1" t="s">
        <v>100</v>
      </c>
      <c r="C1694" s="1" t="s">
        <v>101</v>
      </c>
      <c r="D1694" s="1" t="s">
        <v>7</v>
      </c>
      <c r="E1694" s="1">
        <v>143242.57999999999</v>
      </c>
      <c r="F1694" s="1">
        <v>764030</v>
      </c>
      <c r="G1694">
        <v>0.18748292606311268</v>
      </c>
    </row>
    <row r="1695" spans="1:7" x14ac:dyDescent="0.35">
      <c r="A1695">
        <v>2017</v>
      </c>
      <c r="B1695" s="1" t="s">
        <v>100</v>
      </c>
      <c r="C1695" s="1" t="s">
        <v>101</v>
      </c>
      <c r="D1695" s="1" t="s">
        <v>8</v>
      </c>
      <c r="E1695" s="1">
        <v>128640.35</v>
      </c>
      <c r="F1695" s="1">
        <v>764030</v>
      </c>
      <c r="G1695">
        <v>0.16837081004672591</v>
      </c>
    </row>
    <row r="1696" spans="1:7" x14ac:dyDescent="0.35">
      <c r="A1696">
        <v>2017</v>
      </c>
      <c r="B1696" s="1" t="s">
        <v>100</v>
      </c>
      <c r="C1696" s="1" t="s">
        <v>101</v>
      </c>
      <c r="D1696" s="1" t="s">
        <v>9</v>
      </c>
      <c r="E1696" s="1">
        <v>117789.81</v>
      </c>
      <c r="F1696" s="1">
        <v>764030</v>
      </c>
      <c r="G1696">
        <v>0.15416909021897046</v>
      </c>
    </row>
    <row r="1697" spans="1:7" x14ac:dyDescent="0.35">
      <c r="A1697">
        <v>2015</v>
      </c>
      <c r="B1697" s="1" t="s">
        <v>40</v>
      </c>
      <c r="C1697" s="1" t="s">
        <v>41</v>
      </c>
      <c r="D1697" s="1" t="s">
        <v>7</v>
      </c>
      <c r="E1697" s="1">
        <v>37186.699999999997</v>
      </c>
      <c r="F1697" s="1">
        <v>237706</v>
      </c>
      <c r="G1697">
        <v>0.15643988792878596</v>
      </c>
    </row>
    <row r="1698" spans="1:7" x14ac:dyDescent="0.35">
      <c r="A1698">
        <v>2015</v>
      </c>
      <c r="B1698" s="1" t="s">
        <v>40</v>
      </c>
      <c r="C1698" s="1" t="s">
        <v>41</v>
      </c>
      <c r="D1698" s="1" t="s">
        <v>8</v>
      </c>
      <c r="E1698" s="1">
        <v>38725.839999999997</v>
      </c>
      <c r="F1698" s="1">
        <v>237706</v>
      </c>
      <c r="G1698">
        <v>0.16291486121511445</v>
      </c>
    </row>
    <row r="1699" spans="1:7" x14ac:dyDescent="0.35">
      <c r="A1699">
        <v>2015</v>
      </c>
      <c r="B1699" s="1" t="s">
        <v>40</v>
      </c>
      <c r="C1699" s="1" t="s">
        <v>41</v>
      </c>
      <c r="D1699" s="1" t="s">
        <v>9</v>
      </c>
      <c r="E1699" s="1">
        <v>47060.25</v>
      </c>
      <c r="F1699" s="1">
        <v>237706</v>
      </c>
      <c r="G1699">
        <v>0.19797670231294121</v>
      </c>
    </row>
    <row r="1700" spans="1:7" x14ac:dyDescent="0.35">
      <c r="A1700">
        <v>2017</v>
      </c>
      <c r="B1700" s="1" t="s">
        <v>26</v>
      </c>
      <c r="C1700" s="1" t="s">
        <v>27</v>
      </c>
      <c r="D1700" s="1" t="s">
        <v>7</v>
      </c>
      <c r="E1700" s="1">
        <v>404280.06</v>
      </c>
      <c r="F1700" s="1">
        <v>1843319</v>
      </c>
      <c r="G1700">
        <v>0.21932181027809078</v>
      </c>
    </row>
    <row r="1701" spans="1:7" x14ac:dyDescent="0.35">
      <c r="A1701">
        <v>2017</v>
      </c>
      <c r="B1701" s="1" t="s">
        <v>26</v>
      </c>
      <c r="C1701" s="1" t="s">
        <v>27</v>
      </c>
      <c r="D1701" s="1" t="s">
        <v>8</v>
      </c>
      <c r="E1701" s="1">
        <v>128986.04</v>
      </c>
      <c r="F1701" s="1">
        <v>1843319</v>
      </c>
      <c r="G1701">
        <v>6.9974887689000106E-2</v>
      </c>
    </row>
    <row r="1702" spans="1:7" x14ac:dyDescent="0.35">
      <c r="A1702">
        <v>2017</v>
      </c>
      <c r="B1702" s="1" t="s">
        <v>26</v>
      </c>
      <c r="C1702" s="1" t="s">
        <v>27</v>
      </c>
      <c r="D1702" s="1" t="s">
        <v>9</v>
      </c>
      <c r="E1702" s="1">
        <v>177525.23</v>
      </c>
      <c r="F1702" s="1">
        <v>1843319</v>
      </c>
      <c r="G1702">
        <v>9.6307383583633652E-2</v>
      </c>
    </row>
    <row r="1703" spans="1:7" x14ac:dyDescent="0.35">
      <c r="A1703">
        <v>2017</v>
      </c>
      <c r="B1703" s="1" t="s">
        <v>40</v>
      </c>
      <c r="C1703" s="1" t="s">
        <v>41</v>
      </c>
      <c r="D1703" s="1" t="s">
        <v>7</v>
      </c>
      <c r="E1703" s="1">
        <v>32503.11</v>
      </c>
      <c r="F1703" s="1">
        <v>236659</v>
      </c>
      <c r="G1703">
        <v>0.13734153359897575</v>
      </c>
    </row>
    <row r="1704" spans="1:7" x14ac:dyDescent="0.35">
      <c r="A1704">
        <v>2017</v>
      </c>
      <c r="B1704" s="1" t="s">
        <v>40</v>
      </c>
      <c r="C1704" s="1" t="s">
        <v>41</v>
      </c>
      <c r="D1704" s="1" t="s">
        <v>8</v>
      </c>
      <c r="E1704" s="1">
        <v>30193.43</v>
      </c>
      <c r="F1704" s="1">
        <v>236659</v>
      </c>
      <c r="G1704">
        <v>0.12758200617766491</v>
      </c>
    </row>
    <row r="1705" spans="1:7" x14ac:dyDescent="0.35">
      <c r="A1705">
        <v>2017</v>
      </c>
      <c r="B1705" s="1" t="s">
        <v>40</v>
      </c>
      <c r="C1705" s="1" t="s">
        <v>41</v>
      </c>
      <c r="D1705" s="1" t="s">
        <v>9</v>
      </c>
      <c r="E1705" s="1">
        <v>54406.27</v>
      </c>
      <c r="F1705" s="1">
        <v>236659</v>
      </c>
      <c r="G1705">
        <v>0.22989309512843373</v>
      </c>
    </row>
    <row r="1706" spans="1:7" x14ac:dyDescent="0.35">
      <c r="A1706">
        <v>2017</v>
      </c>
      <c r="B1706" s="1" t="s">
        <v>42</v>
      </c>
      <c r="C1706" s="1" t="s">
        <v>43</v>
      </c>
      <c r="D1706" s="1" t="s">
        <v>7</v>
      </c>
      <c r="E1706" s="1">
        <v>112208.1</v>
      </c>
      <c r="F1706" s="1">
        <v>553595</v>
      </c>
      <c r="G1706">
        <v>0.20268987256026519</v>
      </c>
    </row>
    <row r="1707" spans="1:7" x14ac:dyDescent="0.35">
      <c r="A1707">
        <v>2017</v>
      </c>
      <c r="B1707" s="1" t="s">
        <v>42</v>
      </c>
      <c r="C1707" s="1" t="s">
        <v>43</v>
      </c>
      <c r="D1707" s="1" t="s">
        <v>8</v>
      </c>
      <c r="E1707" s="1">
        <v>53916.81</v>
      </c>
      <c r="F1707" s="1">
        <v>553595</v>
      </c>
      <c r="G1707">
        <v>9.7393961289390249E-2</v>
      </c>
    </row>
    <row r="1708" spans="1:7" x14ac:dyDescent="0.35">
      <c r="A1708">
        <v>2017</v>
      </c>
      <c r="B1708" s="1" t="s">
        <v>42</v>
      </c>
      <c r="C1708" s="1" t="s">
        <v>43</v>
      </c>
      <c r="D1708" s="1" t="s">
        <v>9</v>
      </c>
      <c r="E1708" s="1">
        <v>115855.32</v>
      </c>
      <c r="F1708" s="1">
        <v>553595</v>
      </c>
      <c r="G1708">
        <v>0.20927811848011635</v>
      </c>
    </row>
    <row r="1709" spans="1:7" x14ac:dyDescent="0.35">
      <c r="A1709">
        <v>2015</v>
      </c>
      <c r="B1709" s="1" t="s">
        <v>42</v>
      </c>
      <c r="C1709" s="1" t="s">
        <v>43</v>
      </c>
      <c r="D1709" s="1" t="s">
        <v>7</v>
      </c>
      <c r="E1709" s="1">
        <v>115707.61</v>
      </c>
      <c r="F1709" s="1">
        <v>555408</v>
      </c>
      <c r="G1709">
        <v>0.20832903019041857</v>
      </c>
    </row>
    <row r="1710" spans="1:7" x14ac:dyDescent="0.35">
      <c r="A1710">
        <v>2015</v>
      </c>
      <c r="B1710" s="1" t="s">
        <v>42</v>
      </c>
      <c r="C1710" s="1" t="s">
        <v>43</v>
      </c>
      <c r="D1710" s="1" t="s">
        <v>8</v>
      </c>
      <c r="E1710" s="1">
        <v>50915.99</v>
      </c>
      <c r="F1710" s="1">
        <v>555408</v>
      </c>
      <c r="G1710">
        <v>9.1673130383429835E-2</v>
      </c>
    </row>
    <row r="1711" spans="1:7" x14ac:dyDescent="0.35">
      <c r="A1711">
        <v>2015</v>
      </c>
      <c r="B1711" s="1" t="s">
        <v>42</v>
      </c>
      <c r="C1711" s="1" t="s">
        <v>43</v>
      </c>
      <c r="D1711" s="1" t="s">
        <v>9</v>
      </c>
      <c r="E1711" s="1">
        <v>110973.94</v>
      </c>
      <c r="F1711" s="1">
        <v>555408</v>
      </c>
      <c r="G1711">
        <v>0.19980616051623312</v>
      </c>
    </row>
    <row r="1712" spans="1:7" x14ac:dyDescent="0.35">
      <c r="A1712">
        <v>2017</v>
      </c>
      <c r="B1712" s="1" t="s">
        <v>196</v>
      </c>
      <c r="C1712" s="1" t="s">
        <v>197</v>
      </c>
      <c r="D1712" s="1" t="s">
        <v>7</v>
      </c>
      <c r="E1712" s="1">
        <v>103114.66</v>
      </c>
      <c r="F1712" s="1">
        <v>566506</v>
      </c>
      <c r="G1712">
        <v>0.1820186547009211</v>
      </c>
    </row>
    <row r="1713" spans="1:7" x14ac:dyDescent="0.35">
      <c r="A1713">
        <v>2017</v>
      </c>
      <c r="B1713" s="1" t="s">
        <v>196</v>
      </c>
      <c r="C1713" s="1" t="s">
        <v>197</v>
      </c>
      <c r="D1713" s="1" t="s">
        <v>8</v>
      </c>
      <c r="E1713" s="1">
        <v>56583.54</v>
      </c>
      <c r="F1713" s="1">
        <v>566506</v>
      </c>
      <c r="G1713">
        <v>9.9881625260809237E-2</v>
      </c>
    </row>
    <row r="1714" spans="1:7" x14ac:dyDescent="0.35">
      <c r="A1714">
        <v>2017</v>
      </c>
      <c r="B1714" s="1" t="s">
        <v>196</v>
      </c>
      <c r="C1714" s="1" t="s">
        <v>197</v>
      </c>
      <c r="D1714" s="1" t="s">
        <v>9</v>
      </c>
      <c r="E1714" s="1">
        <v>109021.96</v>
      </c>
      <c r="F1714" s="1">
        <v>566506</v>
      </c>
      <c r="G1714">
        <v>0.19244625829205694</v>
      </c>
    </row>
    <row r="1715" spans="1:7" x14ac:dyDescent="0.35">
      <c r="A1715">
        <v>2017</v>
      </c>
      <c r="B1715" s="1" t="s">
        <v>28</v>
      </c>
      <c r="C1715" s="1" t="s">
        <v>29</v>
      </c>
      <c r="D1715" s="1" t="s">
        <v>7</v>
      </c>
      <c r="E1715" s="1">
        <v>127977.19</v>
      </c>
      <c r="F1715" s="1">
        <v>431174</v>
      </c>
      <c r="G1715">
        <v>0.29681100901260282</v>
      </c>
    </row>
    <row r="1716" spans="1:7" x14ac:dyDescent="0.35">
      <c r="A1716">
        <v>2017</v>
      </c>
      <c r="B1716" s="1" t="s">
        <v>28</v>
      </c>
      <c r="C1716" s="1" t="s">
        <v>29</v>
      </c>
      <c r="D1716" s="1" t="s">
        <v>8</v>
      </c>
      <c r="E1716" s="1">
        <v>48789.65</v>
      </c>
      <c r="F1716" s="1">
        <v>431174</v>
      </c>
      <c r="G1716">
        <v>0.11315536187246912</v>
      </c>
    </row>
    <row r="1717" spans="1:7" x14ac:dyDescent="0.35">
      <c r="A1717">
        <v>2017</v>
      </c>
      <c r="B1717" s="1" t="s">
        <v>28</v>
      </c>
      <c r="C1717" s="1" t="s">
        <v>29</v>
      </c>
      <c r="D1717" s="1" t="s">
        <v>9</v>
      </c>
      <c r="E1717" s="1">
        <v>90660.06</v>
      </c>
      <c r="F1717" s="1">
        <v>431174</v>
      </c>
      <c r="G1717">
        <v>0.21026328118114729</v>
      </c>
    </row>
    <row r="1718" spans="1:7" x14ac:dyDescent="0.35">
      <c r="A1718">
        <v>2017</v>
      </c>
      <c r="B1718" s="1" t="s">
        <v>30</v>
      </c>
      <c r="C1718" s="1" t="s">
        <v>31</v>
      </c>
      <c r="D1718" s="1" t="s">
        <v>7</v>
      </c>
      <c r="E1718" s="1">
        <v>225440.39</v>
      </c>
      <c r="F1718" s="1">
        <v>807360</v>
      </c>
      <c r="G1718">
        <v>0.27923155717399922</v>
      </c>
    </row>
    <row r="1719" spans="1:7" x14ac:dyDescent="0.35">
      <c r="A1719">
        <v>2017</v>
      </c>
      <c r="B1719" s="1" t="s">
        <v>30</v>
      </c>
      <c r="C1719" s="1" t="s">
        <v>31</v>
      </c>
      <c r="D1719" s="1" t="s">
        <v>8</v>
      </c>
      <c r="E1719" s="1">
        <v>70881.17</v>
      </c>
      <c r="F1719" s="1">
        <v>807360</v>
      </c>
      <c r="G1719">
        <v>8.7793759908838684E-2</v>
      </c>
    </row>
    <row r="1720" spans="1:7" x14ac:dyDescent="0.35">
      <c r="A1720">
        <v>2017</v>
      </c>
      <c r="B1720" s="1" t="s">
        <v>30</v>
      </c>
      <c r="C1720" s="1" t="s">
        <v>31</v>
      </c>
      <c r="D1720" s="1" t="s">
        <v>9</v>
      </c>
      <c r="E1720" s="1">
        <v>173875.14</v>
      </c>
      <c r="F1720" s="1">
        <v>807360</v>
      </c>
      <c r="G1720">
        <v>0.21536258917954818</v>
      </c>
    </row>
    <row r="1721" spans="1:7" x14ac:dyDescent="0.35">
      <c r="A1721">
        <v>2015</v>
      </c>
      <c r="B1721" s="1" t="s">
        <v>44</v>
      </c>
      <c r="C1721" s="1" t="s">
        <v>45</v>
      </c>
      <c r="D1721" s="1" t="s">
        <v>7</v>
      </c>
      <c r="E1721" s="1">
        <v>75711.09</v>
      </c>
      <c r="F1721" s="1">
        <v>340903</v>
      </c>
      <c r="G1721">
        <v>0.22208983200499849</v>
      </c>
    </row>
    <row r="1722" spans="1:7" x14ac:dyDescent="0.35">
      <c r="A1722">
        <v>2015</v>
      </c>
      <c r="B1722" s="1" t="s">
        <v>44</v>
      </c>
      <c r="C1722" s="1" t="s">
        <v>45</v>
      </c>
      <c r="D1722" s="1" t="s">
        <v>8</v>
      </c>
      <c r="E1722" s="1">
        <v>34073.949999999997</v>
      </c>
      <c r="F1722" s="1">
        <v>340903</v>
      </c>
      <c r="G1722">
        <v>9.9952039143099344E-2</v>
      </c>
    </row>
    <row r="1723" spans="1:7" x14ac:dyDescent="0.35">
      <c r="A1723">
        <v>2015</v>
      </c>
      <c r="B1723" s="1" t="s">
        <v>44</v>
      </c>
      <c r="C1723" s="1" t="s">
        <v>45</v>
      </c>
      <c r="D1723" s="1" t="s">
        <v>9</v>
      </c>
      <c r="E1723" s="1">
        <v>64201.98</v>
      </c>
      <c r="F1723" s="1">
        <v>340903</v>
      </c>
      <c r="G1723">
        <v>0.1883291728145543</v>
      </c>
    </row>
    <row r="1724" spans="1:7" x14ac:dyDescent="0.35">
      <c r="A1724">
        <v>2017</v>
      </c>
      <c r="B1724" s="1" t="s">
        <v>114</v>
      </c>
      <c r="C1724" s="1" t="s">
        <v>115</v>
      </c>
      <c r="D1724" s="1" t="s">
        <v>7</v>
      </c>
      <c r="E1724" s="1">
        <v>776542</v>
      </c>
      <c r="F1724" s="1">
        <v>2187526</v>
      </c>
      <c r="G1724">
        <v>0.35498640930439229</v>
      </c>
    </row>
    <row r="1725" spans="1:7" x14ac:dyDescent="0.35">
      <c r="A1725">
        <v>2017</v>
      </c>
      <c r="B1725" s="1" t="s">
        <v>114</v>
      </c>
      <c r="C1725" s="1" t="s">
        <v>115</v>
      </c>
      <c r="D1725" s="1" t="s">
        <v>8</v>
      </c>
      <c r="E1725" s="1">
        <v>263851.8</v>
      </c>
      <c r="F1725" s="1">
        <v>2187526</v>
      </c>
      <c r="G1725">
        <v>0.12061653210064703</v>
      </c>
    </row>
    <row r="1726" spans="1:7" x14ac:dyDescent="0.35">
      <c r="A1726">
        <v>2017</v>
      </c>
      <c r="B1726" s="1" t="s">
        <v>114</v>
      </c>
      <c r="C1726" s="1" t="s">
        <v>115</v>
      </c>
      <c r="D1726" s="1" t="s">
        <v>9</v>
      </c>
      <c r="E1726" s="1">
        <v>3694.65</v>
      </c>
      <c r="F1726" s="1">
        <v>2187526</v>
      </c>
      <c r="G1726">
        <v>1.6889627826137839E-3</v>
      </c>
    </row>
    <row r="1727" spans="1:7" x14ac:dyDescent="0.35">
      <c r="A1727">
        <v>2017</v>
      </c>
      <c r="B1727" s="1" t="s">
        <v>138</v>
      </c>
      <c r="C1727" s="1" t="s">
        <v>139</v>
      </c>
      <c r="D1727" s="1" t="s">
        <v>7</v>
      </c>
      <c r="E1727" s="1">
        <v>336256.09</v>
      </c>
      <c r="F1727" s="1">
        <v>1254378</v>
      </c>
      <c r="G1727">
        <v>0.26806599764983124</v>
      </c>
    </row>
    <row r="1728" spans="1:7" x14ac:dyDescent="0.35">
      <c r="A1728">
        <v>2017</v>
      </c>
      <c r="B1728" s="1" t="s">
        <v>138</v>
      </c>
      <c r="C1728" s="1" t="s">
        <v>139</v>
      </c>
      <c r="D1728" s="1" t="s">
        <v>8</v>
      </c>
      <c r="E1728" s="1">
        <v>136711.65</v>
      </c>
      <c r="F1728" s="1">
        <v>1254378</v>
      </c>
      <c r="G1728">
        <v>0.10898760182337382</v>
      </c>
    </row>
    <row r="1729" spans="1:7" x14ac:dyDescent="0.35">
      <c r="A1729">
        <v>2017</v>
      </c>
      <c r="B1729" s="1" t="s">
        <v>138</v>
      </c>
      <c r="C1729" s="1" t="s">
        <v>139</v>
      </c>
      <c r="D1729" s="1" t="s">
        <v>9</v>
      </c>
      <c r="E1729" s="1">
        <v>266808.43</v>
      </c>
      <c r="F1729" s="1">
        <v>1254378</v>
      </c>
      <c r="G1729">
        <v>0.21270177729520129</v>
      </c>
    </row>
    <row r="1730" spans="1:7" x14ac:dyDescent="0.35">
      <c r="A1730">
        <v>2017</v>
      </c>
      <c r="B1730" s="1" t="s">
        <v>116</v>
      </c>
      <c r="C1730" s="1" t="s">
        <v>117</v>
      </c>
      <c r="D1730" s="1" t="s">
        <v>7</v>
      </c>
      <c r="E1730" s="1">
        <v>395224.19</v>
      </c>
      <c r="F1730" s="1">
        <v>1403997</v>
      </c>
      <c r="G1730">
        <v>0.28149931232046793</v>
      </c>
    </row>
    <row r="1731" spans="1:7" x14ac:dyDescent="0.35">
      <c r="A1731">
        <v>2017</v>
      </c>
      <c r="B1731" s="1" t="s">
        <v>116</v>
      </c>
      <c r="C1731" s="1" t="s">
        <v>117</v>
      </c>
      <c r="D1731" s="1" t="s">
        <v>8</v>
      </c>
      <c r="E1731" s="1">
        <v>152818.54999999999</v>
      </c>
      <c r="F1731" s="1">
        <v>1403997</v>
      </c>
      <c r="G1731">
        <v>0.10884535365816309</v>
      </c>
    </row>
    <row r="1732" spans="1:7" x14ac:dyDescent="0.35">
      <c r="A1732">
        <v>2017</v>
      </c>
      <c r="B1732" s="1" t="s">
        <v>116</v>
      </c>
      <c r="C1732" s="1" t="s">
        <v>117</v>
      </c>
      <c r="D1732" s="1" t="s">
        <v>9</v>
      </c>
      <c r="E1732" s="1">
        <v>130908.79</v>
      </c>
      <c r="F1732" s="1">
        <v>1403997</v>
      </c>
      <c r="G1732">
        <v>9.3240078148315128E-2</v>
      </c>
    </row>
    <row r="1733" spans="1:7" x14ac:dyDescent="0.35">
      <c r="A1733">
        <v>2015</v>
      </c>
      <c r="B1733" s="1" t="s">
        <v>46</v>
      </c>
      <c r="C1733" s="1" t="s">
        <v>47</v>
      </c>
      <c r="D1733" s="1" t="s">
        <v>7</v>
      </c>
      <c r="E1733" s="1">
        <v>31932.87</v>
      </c>
      <c r="F1733" s="1">
        <v>144483</v>
      </c>
      <c r="G1733">
        <v>0.22101472145511927</v>
      </c>
    </row>
    <row r="1734" spans="1:7" x14ac:dyDescent="0.35">
      <c r="A1734">
        <v>2015</v>
      </c>
      <c r="B1734" s="1" t="s">
        <v>46</v>
      </c>
      <c r="C1734" s="1" t="s">
        <v>47</v>
      </c>
      <c r="D1734" s="1" t="s">
        <v>8</v>
      </c>
      <c r="E1734" s="1">
        <v>13409.35</v>
      </c>
      <c r="F1734" s="1">
        <v>144483</v>
      </c>
      <c r="G1734">
        <v>9.2809188624267222E-2</v>
      </c>
    </row>
    <row r="1735" spans="1:7" x14ac:dyDescent="0.35">
      <c r="A1735">
        <v>2015</v>
      </c>
      <c r="B1735" s="1" t="s">
        <v>46</v>
      </c>
      <c r="C1735" s="1" t="s">
        <v>47</v>
      </c>
      <c r="D1735" s="1" t="s">
        <v>9</v>
      </c>
      <c r="E1735" s="1">
        <v>17921.13</v>
      </c>
      <c r="F1735" s="1">
        <v>144483</v>
      </c>
      <c r="G1735">
        <v>0.12403625340005399</v>
      </c>
    </row>
    <row r="1736" spans="1:7" x14ac:dyDescent="0.35">
      <c r="A1736">
        <v>2017</v>
      </c>
      <c r="B1736" s="1" t="s">
        <v>118</v>
      </c>
      <c r="C1736" s="1" t="s">
        <v>119</v>
      </c>
      <c r="D1736" s="1" t="s">
        <v>7</v>
      </c>
      <c r="E1736" s="1">
        <v>361105.03</v>
      </c>
      <c r="F1736" s="1">
        <v>1438266</v>
      </c>
      <c r="G1736">
        <v>0.25106971172231007</v>
      </c>
    </row>
    <row r="1737" spans="1:7" x14ac:dyDescent="0.35">
      <c r="A1737">
        <v>2017</v>
      </c>
      <c r="B1737" s="1" t="s">
        <v>118</v>
      </c>
      <c r="C1737" s="1" t="s">
        <v>119</v>
      </c>
      <c r="D1737" s="1" t="s">
        <v>8</v>
      </c>
      <c r="E1737" s="1">
        <v>184210.24</v>
      </c>
      <c r="F1737" s="1">
        <v>1438266</v>
      </c>
      <c r="G1737">
        <v>0.12807800504218272</v>
      </c>
    </row>
    <row r="1738" spans="1:7" x14ac:dyDescent="0.35">
      <c r="A1738">
        <v>2017</v>
      </c>
      <c r="B1738" s="1" t="s">
        <v>118</v>
      </c>
      <c r="C1738" s="1" t="s">
        <v>119</v>
      </c>
      <c r="D1738" s="1" t="s">
        <v>9</v>
      </c>
      <c r="E1738" s="1">
        <v>110301.78</v>
      </c>
      <c r="F1738" s="1">
        <v>1438266</v>
      </c>
      <c r="G1738">
        <v>7.6690806846577753E-2</v>
      </c>
    </row>
    <row r="1739" spans="1:7" x14ac:dyDescent="0.35">
      <c r="A1739">
        <v>2017</v>
      </c>
      <c r="B1739" s="1" t="s">
        <v>158</v>
      </c>
      <c r="C1739" s="1" t="s">
        <v>159</v>
      </c>
      <c r="D1739" s="1" t="s">
        <v>7</v>
      </c>
      <c r="E1739" s="1">
        <v>68326.95</v>
      </c>
      <c r="F1739" s="1">
        <v>374351</v>
      </c>
      <c r="G1739">
        <v>0.18252108315457952</v>
      </c>
    </row>
    <row r="1740" spans="1:7" x14ac:dyDescent="0.35">
      <c r="A1740">
        <v>2017</v>
      </c>
      <c r="B1740" s="1" t="s">
        <v>158</v>
      </c>
      <c r="C1740" s="1" t="s">
        <v>159</v>
      </c>
      <c r="D1740" s="1" t="s">
        <v>8</v>
      </c>
      <c r="E1740" s="1">
        <v>40715.72</v>
      </c>
      <c r="F1740" s="1">
        <v>374351</v>
      </c>
      <c r="G1740">
        <v>0.10876348667427094</v>
      </c>
    </row>
    <row r="1741" spans="1:7" x14ac:dyDescent="0.35">
      <c r="A1741">
        <v>2017</v>
      </c>
      <c r="B1741" s="1" t="s">
        <v>158</v>
      </c>
      <c r="C1741" s="1" t="s">
        <v>159</v>
      </c>
      <c r="D1741" s="1" t="s">
        <v>9</v>
      </c>
      <c r="E1741" s="1">
        <v>78618.86</v>
      </c>
      <c r="F1741" s="1">
        <v>374351</v>
      </c>
      <c r="G1741">
        <v>0.21001375714236103</v>
      </c>
    </row>
    <row r="1742" spans="1:7" x14ac:dyDescent="0.35">
      <c r="A1742">
        <v>2017</v>
      </c>
      <c r="B1742" s="1" t="s">
        <v>112</v>
      </c>
      <c r="C1742" s="1" t="s">
        <v>113</v>
      </c>
      <c r="D1742" s="1" t="s">
        <v>7</v>
      </c>
      <c r="E1742" s="1">
        <v>149716.24</v>
      </c>
      <c r="F1742" s="1">
        <v>572443</v>
      </c>
      <c r="G1742">
        <v>0.2615391226724757</v>
      </c>
    </row>
    <row r="1743" spans="1:7" x14ac:dyDescent="0.35">
      <c r="A1743">
        <v>2017</v>
      </c>
      <c r="B1743" s="1" t="s">
        <v>112</v>
      </c>
      <c r="C1743" s="1" t="s">
        <v>113</v>
      </c>
      <c r="D1743" s="1" t="s">
        <v>8</v>
      </c>
      <c r="E1743" s="1">
        <v>74676.23</v>
      </c>
      <c r="F1743" s="1">
        <v>572443</v>
      </c>
      <c r="G1743">
        <v>0.13045181791025481</v>
      </c>
    </row>
    <row r="1744" spans="1:7" x14ac:dyDescent="0.35">
      <c r="A1744">
        <v>2017</v>
      </c>
      <c r="B1744" s="1" t="s">
        <v>112</v>
      </c>
      <c r="C1744" s="1" t="s">
        <v>113</v>
      </c>
      <c r="D1744" s="1" t="s">
        <v>9</v>
      </c>
      <c r="E1744" s="1">
        <v>107127.67</v>
      </c>
      <c r="F1744" s="1">
        <v>572443</v>
      </c>
      <c r="G1744">
        <v>0.1871412000845499</v>
      </c>
    </row>
    <row r="1745" spans="1:7" x14ac:dyDescent="0.35">
      <c r="A1745">
        <v>2015</v>
      </c>
      <c r="B1745" s="1" t="s">
        <v>48</v>
      </c>
      <c r="C1745" s="1" t="s">
        <v>49</v>
      </c>
      <c r="D1745" s="1" t="s">
        <v>7</v>
      </c>
      <c r="E1745" s="1">
        <v>135702.19</v>
      </c>
      <c r="F1745" s="1">
        <v>598357</v>
      </c>
      <c r="G1745">
        <v>0.2267913469717911</v>
      </c>
    </row>
    <row r="1746" spans="1:7" x14ac:dyDescent="0.35">
      <c r="A1746">
        <v>2015</v>
      </c>
      <c r="B1746" s="1" t="s">
        <v>48</v>
      </c>
      <c r="C1746" s="1" t="s">
        <v>49</v>
      </c>
      <c r="D1746" s="1" t="s">
        <v>8</v>
      </c>
      <c r="E1746" s="1">
        <v>67420.350000000006</v>
      </c>
      <c r="F1746" s="1">
        <v>598357</v>
      </c>
      <c r="G1746">
        <v>0.11267579388224756</v>
      </c>
    </row>
    <row r="1747" spans="1:7" x14ac:dyDescent="0.35">
      <c r="A1747">
        <v>2015</v>
      </c>
      <c r="B1747" s="1" t="s">
        <v>48</v>
      </c>
      <c r="C1747" s="1" t="s">
        <v>49</v>
      </c>
      <c r="D1747" s="1" t="s">
        <v>9</v>
      </c>
      <c r="E1747" s="1">
        <v>193622.33</v>
      </c>
      <c r="F1747" s="1">
        <v>598357</v>
      </c>
      <c r="G1747">
        <v>0.32358998056344285</v>
      </c>
    </row>
    <row r="1748" spans="1:7" x14ac:dyDescent="0.35">
      <c r="A1748">
        <v>2017</v>
      </c>
      <c r="B1748" s="1" t="s">
        <v>186</v>
      </c>
      <c r="C1748" s="1" t="s">
        <v>187</v>
      </c>
      <c r="D1748" s="1" t="s">
        <v>7</v>
      </c>
      <c r="E1748" s="1">
        <v>93188.52</v>
      </c>
      <c r="F1748" s="1">
        <v>387890</v>
      </c>
      <c r="G1748">
        <v>0.24024470855139346</v>
      </c>
    </row>
    <row r="1749" spans="1:7" x14ac:dyDescent="0.35">
      <c r="A1749">
        <v>2017</v>
      </c>
      <c r="B1749" s="1" t="s">
        <v>186</v>
      </c>
      <c r="C1749" s="1" t="s">
        <v>187</v>
      </c>
      <c r="D1749" s="1" t="s">
        <v>8</v>
      </c>
      <c r="E1749" s="1">
        <v>36684.6</v>
      </c>
      <c r="F1749" s="1">
        <v>387890</v>
      </c>
      <c r="G1749">
        <v>9.4574750573616223E-2</v>
      </c>
    </row>
    <row r="1750" spans="1:7" x14ac:dyDescent="0.35">
      <c r="A1750">
        <v>2017</v>
      </c>
      <c r="B1750" s="1" t="s">
        <v>186</v>
      </c>
      <c r="C1750" s="1" t="s">
        <v>187</v>
      </c>
      <c r="D1750" s="1" t="s">
        <v>9</v>
      </c>
      <c r="E1750" s="1">
        <v>69093.19</v>
      </c>
      <c r="F1750" s="1">
        <v>387890</v>
      </c>
      <c r="G1750">
        <v>0.17812573152182321</v>
      </c>
    </row>
    <row r="1751" spans="1:7" x14ac:dyDescent="0.35">
      <c r="A1751">
        <v>2017</v>
      </c>
      <c r="B1751" s="1" t="s">
        <v>188</v>
      </c>
      <c r="C1751" s="1" t="s">
        <v>189</v>
      </c>
      <c r="D1751" s="1" t="s">
        <v>7</v>
      </c>
      <c r="E1751" s="1">
        <v>62888.91</v>
      </c>
      <c r="F1751" s="1">
        <v>258349</v>
      </c>
      <c r="G1751">
        <v>0.243426179315577</v>
      </c>
    </row>
    <row r="1752" spans="1:7" x14ac:dyDescent="0.35">
      <c r="A1752">
        <v>2017</v>
      </c>
      <c r="B1752" s="1" t="s">
        <v>188</v>
      </c>
      <c r="C1752" s="1" t="s">
        <v>189</v>
      </c>
      <c r="D1752" s="1" t="s">
        <v>8</v>
      </c>
      <c r="E1752" s="1">
        <v>27579.29</v>
      </c>
      <c r="F1752" s="1">
        <v>258349</v>
      </c>
      <c r="G1752">
        <v>0.10675206793910563</v>
      </c>
    </row>
    <row r="1753" spans="1:7" x14ac:dyDescent="0.35">
      <c r="A1753">
        <v>2017</v>
      </c>
      <c r="B1753" s="1" t="s">
        <v>188</v>
      </c>
      <c r="C1753" s="1" t="s">
        <v>189</v>
      </c>
      <c r="D1753" s="1" t="s">
        <v>9</v>
      </c>
      <c r="E1753" s="1">
        <v>45329.59</v>
      </c>
      <c r="F1753" s="1">
        <v>258349</v>
      </c>
      <c r="G1753">
        <v>0.17545873992157893</v>
      </c>
    </row>
    <row r="1754" spans="1:7" x14ac:dyDescent="0.35">
      <c r="A1754">
        <v>2017</v>
      </c>
      <c r="B1754" s="1" t="s">
        <v>208</v>
      </c>
      <c r="C1754" s="1" t="s">
        <v>209</v>
      </c>
      <c r="D1754" s="1" t="s">
        <v>7</v>
      </c>
      <c r="E1754" s="1">
        <v>440441.62</v>
      </c>
      <c r="F1754" s="1">
        <v>1058740</v>
      </c>
      <c r="G1754">
        <v>0.41600545931956856</v>
      </c>
    </row>
    <row r="1755" spans="1:7" x14ac:dyDescent="0.35">
      <c r="A1755">
        <v>2017</v>
      </c>
      <c r="B1755" s="1" t="s">
        <v>208</v>
      </c>
      <c r="C1755" s="1" t="s">
        <v>209</v>
      </c>
      <c r="D1755" s="1" t="s">
        <v>8</v>
      </c>
      <c r="E1755" s="1">
        <v>95290.41</v>
      </c>
      <c r="F1755" s="1">
        <v>1058740</v>
      </c>
      <c r="G1755">
        <v>9.0003598617224248E-2</v>
      </c>
    </row>
    <row r="1756" spans="1:7" x14ac:dyDescent="0.35">
      <c r="A1756">
        <v>2017</v>
      </c>
      <c r="B1756" s="1" t="s">
        <v>208</v>
      </c>
      <c r="C1756" s="1" t="s">
        <v>209</v>
      </c>
      <c r="D1756" s="1" t="s">
        <v>9</v>
      </c>
      <c r="E1756" s="1">
        <v>233024.56</v>
      </c>
      <c r="F1756" s="1">
        <v>1058740</v>
      </c>
      <c r="G1756">
        <v>0.22009611424901299</v>
      </c>
    </row>
    <row r="1757" spans="1:7" x14ac:dyDescent="0.35">
      <c r="A1757">
        <v>2015</v>
      </c>
      <c r="B1757" s="1" t="s">
        <v>50</v>
      </c>
      <c r="C1757" s="1" t="s">
        <v>51</v>
      </c>
      <c r="D1757" s="1" t="s">
        <v>7</v>
      </c>
      <c r="E1757" s="1">
        <v>214521.09</v>
      </c>
      <c r="F1757" s="1">
        <v>907796</v>
      </c>
      <c r="G1757">
        <v>0.23630979867723584</v>
      </c>
    </row>
    <row r="1758" spans="1:7" x14ac:dyDescent="0.35">
      <c r="A1758">
        <v>2015</v>
      </c>
      <c r="B1758" s="1" t="s">
        <v>50</v>
      </c>
      <c r="C1758" s="1" t="s">
        <v>51</v>
      </c>
      <c r="D1758" s="1" t="s">
        <v>8</v>
      </c>
      <c r="E1758" s="1">
        <v>135022.65</v>
      </c>
      <c r="F1758" s="1">
        <v>907796</v>
      </c>
      <c r="G1758">
        <v>0.14873677566325474</v>
      </c>
    </row>
    <row r="1759" spans="1:7" x14ac:dyDescent="0.35">
      <c r="A1759">
        <v>2015</v>
      </c>
      <c r="B1759" s="1" t="s">
        <v>50</v>
      </c>
      <c r="C1759" s="1" t="s">
        <v>51</v>
      </c>
      <c r="D1759" s="1" t="s">
        <v>9</v>
      </c>
      <c r="E1759" s="1">
        <v>263106.90999999997</v>
      </c>
      <c r="F1759" s="1">
        <v>907796</v>
      </c>
      <c r="G1759">
        <v>0.28983043547228671</v>
      </c>
    </row>
    <row r="1760" spans="1:7" x14ac:dyDescent="0.35">
      <c r="A1760">
        <v>2017</v>
      </c>
      <c r="B1760" s="1" t="s">
        <v>210</v>
      </c>
      <c r="C1760" s="1" t="s">
        <v>211</v>
      </c>
      <c r="D1760" s="1" t="s">
        <v>7</v>
      </c>
      <c r="E1760" s="1">
        <v>186021.44</v>
      </c>
      <c r="F1760" s="1">
        <v>559479</v>
      </c>
      <c r="G1760">
        <v>0.33249047774804774</v>
      </c>
    </row>
    <row r="1761" spans="1:7" x14ac:dyDescent="0.35">
      <c r="A1761">
        <v>2017</v>
      </c>
      <c r="B1761" s="1" t="s">
        <v>210</v>
      </c>
      <c r="C1761" s="1" t="s">
        <v>211</v>
      </c>
      <c r="D1761" s="1" t="s">
        <v>8</v>
      </c>
      <c r="E1761" s="1">
        <v>40447.839999999997</v>
      </c>
      <c r="F1761" s="1">
        <v>559479</v>
      </c>
      <c r="G1761">
        <v>7.2295546392268512E-2</v>
      </c>
    </row>
    <row r="1762" spans="1:7" x14ac:dyDescent="0.35">
      <c r="A1762">
        <v>2017</v>
      </c>
      <c r="B1762" s="1" t="s">
        <v>210</v>
      </c>
      <c r="C1762" s="1" t="s">
        <v>211</v>
      </c>
      <c r="D1762" s="1" t="s">
        <v>9</v>
      </c>
      <c r="E1762" s="1">
        <v>103381.63</v>
      </c>
      <c r="F1762" s="1">
        <v>559479</v>
      </c>
      <c r="G1762">
        <v>0.18478196679410666</v>
      </c>
    </row>
    <row r="1763" spans="1:7" x14ac:dyDescent="0.35">
      <c r="A1763">
        <v>2017</v>
      </c>
      <c r="B1763" s="1" t="s">
        <v>198</v>
      </c>
      <c r="C1763" s="1" t="s">
        <v>199</v>
      </c>
      <c r="D1763" s="1" t="s">
        <v>7</v>
      </c>
      <c r="E1763" s="1">
        <v>117888.81</v>
      </c>
      <c r="F1763" s="1">
        <v>675247</v>
      </c>
      <c r="G1763">
        <v>0.17458620327080313</v>
      </c>
    </row>
    <row r="1764" spans="1:7" x14ac:dyDescent="0.35">
      <c r="A1764">
        <v>2017</v>
      </c>
      <c r="B1764" s="1" t="s">
        <v>198</v>
      </c>
      <c r="C1764" s="1" t="s">
        <v>199</v>
      </c>
      <c r="D1764" s="1" t="s">
        <v>8</v>
      </c>
      <c r="E1764" s="1">
        <v>81443.759999999995</v>
      </c>
      <c r="F1764" s="1">
        <v>675247</v>
      </c>
      <c r="G1764">
        <v>0.12061328669360989</v>
      </c>
    </row>
    <row r="1765" spans="1:7" x14ac:dyDescent="0.35">
      <c r="A1765">
        <v>2017</v>
      </c>
      <c r="B1765" s="1" t="s">
        <v>198</v>
      </c>
      <c r="C1765" s="1" t="s">
        <v>199</v>
      </c>
      <c r="D1765" s="1" t="s">
        <v>9</v>
      </c>
      <c r="E1765" s="1">
        <v>196743.14</v>
      </c>
      <c r="F1765" s="1">
        <v>675247</v>
      </c>
      <c r="G1765">
        <v>0.29136470062066178</v>
      </c>
    </row>
    <row r="1766" spans="1:7" x14ac:dyDescent="0.35">
      <c r="A1766">
        <v>2017</v>
      </c>
      <c r="B1766" s="1" t="s">
        <v>160</v>
      </c>
      <c r="C1766" s="1" t="s">
        <v>161</v>
      </c>
      <c r="D1766" s="1" t="s">
        <v>7</v>
      </c>
      <c r="E1766" s="1">
        <v>87734.75</v>
      </c>
      <c r="F1766" s="1">
        <v>436876</v>
      </c>
      <c r="G1766">
        <v>0.20082300240800594</v>
      </c>
    </row>
    <row r="1767" spans="1:7" x14ac:dyDescent="0.35">
      <c r="A1767">
        <v>2017</v>
      </c>
      <c r="B1767" s="1" t="s">
        <v>160</v>
      </c>
      <c r="C1767" s="1" t="s">
        <v>161</v>
      </c>
      <c r="D1767" s="1" t="s">
        <v>8</v>
      </c>
      <c r="E1767" s="1">
        <v>38922.03</v>
      </c>
      <c r="F1767" s="1">
        <v>436876</v>
      </c>
      <c r="G1767">
        <v>8.909171023356742E-2</v>
      </c>
    </row>
    <row r="1768" spans="1:7" x14ac:dyDescent="0.35">
      <c r="A1768">
        <v>2017</v>
      </c>
      <c r="B1768" s="1" t="s">
        <v>160</v>
      </c>
      <c r="C1768" s="1" t="s">
        <v>161</v>
      </c>
      <c r="D1768" s="1" t="s">
        <v>9</v>
      </c>
      <c r="E1768" s="1">
        <v>93024.05</v>
      </c>
      <c r="F1768" s="1">
        <v>436876</v>
      </c>
      <c r="G1768">
        <v>0.21293009915857131</v>
      </c>
    </row>
    <row r="1769" spans="1:7" x14ac:dyDescent="0.35">
      <c r="A1769">
        <v>2015</v>
      </c>
      <c r="B1769" s="1" t="s">
        <v>52</v>
      </c>
      <c r="C1769" s="1" t="s">
        <v>53</v>
      </c>
      <c r="D1769" s="1" t="s">
        <v>7</v>
      </c>
      <c r="E1769" s="1">
        <v>197804.4</v>
      </c>
      <c r="F1769" s="1">
        <v>1042884</v>
      </c>
      <c r="G1769">
        <v>0.18967056738812754</v>
      </c>
    </row>
    <row r="1770" spans="1:7" x14ac:dyDescent="0.35">
      <c r="A1770">
        <v>2015</v>
      </c>
      <c r="B1770" s="1" t="s">
        <v>52</v>
      </c>
      <c r="C1770" s="1" t="s">
        <v>53</v>
      </c>
      <c r="D1770" s="1" t="s">
        <v>8</v>
      </c>
      <c r="E1770" s="1">
        <v>112230.72</v>
      </c>
      <c r="F1770" s="1">
        <v>1042884</v>
      </c>
      <c r="G1770">
        <v>0.10761572715661569</v>
      </c>
    </row>
    <row r="1771" spans="1:7" x14ac:dyDescent="0.35">
      <c r="A1771">
        <v>2015</v>
      </c>
      <c r="B1771" s="1" t="s">
        <v>52</v>
      </c>
      <c r="C1771" s="1" t="s">
        <v>53</v>
      </c>
      <c r="D1771" s="1" t="s">
        <v>9</v>
      </c>
      <c r="E1771" s="1">
        <v>180051.75</v>
      </c>
      <c r="F1771" s="1">
        <v>1042884</v>
      </c>
      <c r="G1771">
        <v>0.17264791673858262</v>
      </c>
    </row>
    <row r="1772" spans="1:7" x14ac:dyDescent="0.35">
      <c r="A1772">
        <v>2017</v>
      </c>
      <c r="B1772" s="1" t="s">
        <v>162</v>
      </c>
      <c r="C1772" s="1" t="s">
        <v>163</v>
      </c>
      <c r="D1772" s="1" t="s">
        <v>7</v>
      </c>
      <c r="E1772" s="1">
        <v>82927.320000000007</v>
      </c>
      <c r="F1772" s="1">
        <v>374426</v>
      </c>
      <c r="G1772">
        <v>0.22147852980295174</v>
      </c>
    </row>
    <row r="1773" spans="1:7" x14ac:dyDescent="0.35">
      <c r="A1773">
        <v>2017</v>
      </c>
      <c r="B1773" s="1" t="s">
        <v>162</v>
      </c>
      <c r="C1773" s="1" t="s">
        <v>163</v>
      </c>
      <c r="D1773" s="1" t="s">
        <v>8</v>
      </c>
      <c r="E1773" s="1">
        <v>34988.81</v>
      </c>
      <c r="F1773" s="1">
        <v>374426</v>
      </c>
      <c r="G1773">
        <v>9.3446528820113978E-2</v>
      </c>
    </row>
    <row r="1774" spans="1:7" x14ac:dyDescent="0.35">
      <c r="A1774">
        <v>2017</v>
      </c>
      <c r="B1774" s="1" t="s">
        <v>162</v>
      </c>
      <c r="C1774" s="1" t="s">
        <v>163</v>
      </c>
      <c r="D1774" s="1" t="s">
        <v>9</v>
      </c>
      <c r="E1774" s="1">
        <v>68224.98</v>
      </c>
      <c r="F1774" s="1">
        <v>374426</v>
      </c>
      <c r="G1774">
        <v>0.18221218611955364</v>
      </c>
    </row>
    <row r="1775" spans="1:7" x14ac:dyDescent="0.35">
      <c r="A1775">
        <v>2017</v>
      </c>
      <c r="B1775" s="1" t="s">
        <v>102</v>
      </c>
      <c r="C1775" s="1" t="s">
        <v>103</v>
      </c>
      <c r="D1775" s="1" t="s">
        <v>7</v>
      </c>
      <c r="E1775" s="1">
        <v>80631.38</v>
      </c>
      <c r="F1775" s="1">
        <v>367673</v>
      </c>
      <c r="G1775">
        <v>0.21930187965937126</v>
      </c>
    </row>
    <row r="1776" spans="1:7" x14ac:dyDescent="0.35">
      <c r="A1776">
        <v>2017</v>
      </c>
      <c r="B1776" s="1" t="s">
        <v>102</v>
      </c>
      <c r="C1776" s="1" t="s">
        <v>103</v>
      </c>
      <c r="D1776" s="1" t="s">
        <v>8</v>
      </c>
      <c r="E1776" s="1">
        <v>37536.18</v>
      </c>
      <c r="F1776" s="1">
        <v>367673</v>
      </c>
      <c r="G1776">
        <v>0.1020912060445015</v>
      </c>
    </row>
    <row r="1777" spans="1:7" x14ac:dyDescent="0.35">
      <c r="A1777">
        <v>2017</v>
      </c>
      <c r="B1777" s="1" t="s">
        <v>102</v>
      </c>
      <c r="C1777" s="1" t="s">
        <v>103</v>
      </c>
      <c r="D1777" s="1" t="s">
        <v>9</v>
      </c>
      <c r="E1777" s="1">
        <v>68230.95</v>
      </c>
      <c r="F1777" s="1">
        <v>367673</v>
      </c>
      <c r="G1777">
        <v>0.18557508982166218</v>
      </c>
    </row>
    <row r="1778" spans="1:7" x14ac:dyDescent="0.35">
      <c r="A1778">
        <v>2017</v>
      </c>
      <c r="B1778" s="1" t="s">
        <v>44</v>
      </c>
      <c r="C1778" s="1" t="s">
        <v>45</v>
      </c>
      <c r="D1778" s="1" t="s">
        <v>7</v>
      </c>
      <c r="E1778" s="1">
        <v>67866.22</v>
      </c>
      <c r="F1778" s="1">
        <v>338291</v>
      </c>
      <c r="G1778">
        <v>0.20061491437844933</v>
      </c>
    </row>
    <row r="1779" spans="1:7" x14ac:dyDescent="0.35">
      <c r="A1779">
        <v>2017</v>
      </c>
      <c r="B1779" s="1" t="s">
        <v>44</v>
      </c>
      <c r="C1779" s="1" t="s">
        <v>45</v>
      </c>
      <c r="D1779" s="1" t="s">
        <v>8</v>
      </c>
      <c r="E1779" s="1">
        <v>36071.72</v>
      </c>
      <c r="F1779" s="1">
        <v>338291</v>
      </c>
      <c r="G1779">
        <v>0.10662926297182013</v>
      </c>
    </row>
    <row r="1780" spans="1:7" x14ac:dyDescent="0.35">
      <c r="A1780">
        <v>2017</v>
      </c>
      <c r="B1780" s="1" t="s">
        <v>44</v>
      </c>
      <c r="C1780" s="1" t="s">
        <v>45</v>
      </c>
      <c r="D1780" s="1" t="s">
        <v>9</v>
      </c>
      <c r="E1780" s="1">
        <v>71973.009999999995</v>
      </c>
      <c r="F1780" s="1">
        <v>338291</v>
      </c>
      <c r="G1780">
        <v>0.21275472891682012</v>
      </c>
    </row>
    <row r="1781" spans="1:7" x14ac:dyDescent="0.35">
      <c r="A1781">
        <v>2015</v>
      </c>
      <c r="B1781" s="1" t="s">
        <v>54</v>
      </c>
      <c r="C1781" s="1" t="s">
        <v>55</v>
      </c>
      <c r="D1781" s="1" t="s">
        <v>7</v>
      </c>
      <c r="E1781" s="1">
        <v>153198.07999999999</v>
      </c>
      <c r="F1781" s="1">
        <v>744813</v>
      </c>
      <c r="G1781">
        <v>0.20568663543735138</v>
      </c>
    </row>
    <row r="1782" spans="1:7" x14ac:dyDescent="0.35">
      <c r="A1782">
        <v>2015</v>
      </c>
      <c r="B1782" s="1" t="s">
        <v>54</v>
      </c>
      <c r="C1782" s="1" t="s">
        <v>55</v>
      </c>
      <c r="D1782" s="1" t="s">
        <v>8</v>
      </c>
      <c r="E1782" s="1">
        <v>93508.1</v>
      </c>
      <c r="F1782" s="1">
        <v>744813</v>
      </c>
      <c r="G1782">
        <v>0.12554574101150223</v>
      </c>
    </row>
    <row r="1783" spans="1:7" x14ac:dyDescent="0.35">
      <c r="A1783">
        <v>2015</v>
      </c>
      <c r="B1783" s="1" t="s">
        <v>54</v>
      </c>
      <c r="C1783" s="1" t="s">
        <v>55</v>
      </c>
      <c r="D1783" s="1" t="s">
        <v>9</v>
      </c>
      <c r="E1783" s="1">
        <v>180228.82</v>
      </c>
      <c r="F1783" s="1">
        <v>744813</v>
      </c>
      <c r="G1783">
        <v>0.2419786174516288</v>
      </c>
    </row>
    <row r="1784" spans="1:7" x14ac:dyDescent="0.35">
      <c r="A1784">
        <v>2017</v>
      </c>
      <c r="B1784" s="1" t="s">
        <v>46</v>
      </c>
      <c r="C1784" s="1" t="s">
        <v>47</v>
      </c>
      <c r="D1784" s="1" t="s">
        <v>7</v>
      </c>
      <c r="E1784" s="1">
        <v>31672.3</v>
      </c>
      <c r="F1784" s="1">
        <v>142622</v>
      </c>
      <c r="G1784">
        <v>0.22207162990282003</v>
      </c>
    </row>
    <row r="1785" spans="1:7" x14ac:dyDescent="0.35">
      <c r="A1785">
        <v>2017</v>
      </c>
      <c r="B1785" s="1" t="s">
        <v>46</v>
      </c>
      <c r="C1785" s="1" t="s">
        <v>47</v>
      </c>
      <c r="D1785" s="1" t="s">
        <v>8</v>
      </c>
      <c r="E1785" s="1">
        <v>24877.34</v>
      </c>
      <c r="F1785" s="1">
        <v>142622</v>
      </c>
      <c r="G1785">
        <v>0.1744284892933769</v>
      </c>
    </row>
    <row r="1786" spans="1:7" x14ac:dyDescent="0.35">
      <c r="A1786">
        <v>2017</v>
      </c>
      <c r="B1786" s="1" t="s">
        <v>46</v>
      </c>
      <c r="C1786" s="1" t="s">
        <v>47</v>
      </c>
      <c r="D1786" s="1" t="s">
        <v>9</v>
      </c>
      <c r="E1786" s="1">
        <v>18248.07</v>
      </c>
      <c r="F1786" s="1">
        <v>142622</v>
      </c>
      <c r="G1786">
        <v>0.12794709091164055</v>
      </c>
    </row>
    <row r="1787" spans="1:7" x14ac:dyDescent="0.35">
      <c r="A1787">
        <v>2017</v>
      </c>
      <c r="B1787" s="1" t="s">
        <v>120</v>
      </c>
      <c r="C1787" s="1" t="s">
        <v>121</v>
      </c>
      <c r="D1787" s="1" t="s">
        <v>7</v>
      </c>
      <c r="E1787" s="1">
        <v>322077.83</v>
      </c>
      <c r="F1787" s="1">
        <v>1296130</v>
      </c>
      <c r="G1787">
        <v>0.2484919182489411</v>
      </c>
    </row>
    <row r="1788" spans="1:7" x14ac:dyDescent="0.35">
      <c r="A1788">
        <v>2017</v>
      </c>
      <c r="B1788" s="1" t="s">
        <v>120</v>
      </c>
      <c r="C1788" s="1" t="s">
        <v>121</v>
      </c>
      <c r="D1788" s="1" t="s">
        <v>8</v>
      </c>
      <c r="E1788" s="1">
        <v>170783.1</v>
      </c>
      <c r="F1788" s="1">
        <v>1296130</v>
      </c>
      <c r="G1788">
        <v>0.13176386627884548</v>
      </c>
    </row>
    <row r="1789" spans="1:7" x14ac:dyDescent="0.35">
      <c r="A1789">
        <v>2017</v>
      </c>
      <c r="B1789" s="1" t="s">
        <v>120</v>
      </c>
      <c r="C1789" s="1" t="s">
        <v>121</v>
      </c>
      <c r="D1789" s="1" t="s">
        <v>9</v>
      </c>
      <c r="E1789" s="1">
        <v>111010.07</v>
      </c>
      <c r="F1789" s="1">
        <v>1296130</v>
      </c>
      <c r="G1789">
        <v>8.5647327042812069E-2</v>
      </c>
    </row>
    <row r="1790" spans="1:7" x14ac:dyDescent="0.35">
      <c r="A1790">
        <v>2017</v>
      </c>
      <c r="B1790" s="1" t="s">
        <v>122</v>
      </c>
      <c r="C1790" s="1" t="s">
        <v>123</v>
      </c>
      <c r="D1790" s="1" t="s">
        <v>7</v>
      </c>
      <c r="E1790" s="1">
        <v>428365</v>
      </c>
      <c r="F1790" s="1">
        <v>1609306</v>
      </c>
      <c r="G1790">
        <v>0.26617995583189274</v>
      </c>
    </row>
    <row r="1791" spans="1:7" x14ac:dyDescent="0.35">
      <c r="A1791">
        <v>2017</v>
      </c>
      <c r="B1791" s="1" t="s">
        <v>122</v>
      </c>
      <c r="C1791" s="1" t="s">
        <v>123</v>
      </c>
      <c r="D1791" s="1" t="s">
        <v>8</v>
      </c>
      <c r="E1791" s="1">
        <v>147004.07</v>
      </c>
      <c r="F1791" s="1">
        <v>1609306</v>
      </c>
      <c r="G1791">
        <v>9.1346251116941099E-2</v>
      </c>
    </row>
    <row r="1792" spans="1:7" x14ac:dyDescent="0.35">
      <c r="A1792">
        <v>2017</v>
      </c>
      <c r="B1792" s="1" t="s">
        <v>122</v>
      </c>
      <c r="C1792" s="1" t="s">
        <v>123</v>
      </c>
      <c r="D1792" s="1" t="s">
        <v>9</v>
      </c>
      <c r="E1792" s="1">
        <v>22899.89</v>
      </c>
      <c r="F1792" s="1">
        <v>1609306</v>
      </c>
      <c r="G1792">
        <v>1.4229667943821746E-2</v>
      </c>
    </row>
    <row r="1793" spans="1:7" x14ac:dyDescent="0.35">
      <c r="A1793">
        <v>2015</v>
      </c>
      <c r="B1793" s="1" t="s">
        <v>56</v>
      </c>
      <c r="C1793" s="1" t="s">
        <v>57</v>
      </c>
      <c r="D1793" s="1" t="s">
        <v>7</v>
      </c>
      <c r="E1793" s="1">
        <v>63193.69</v>
      </c>
      <c r="F1793" s="1">
        <v>308992</v>
      </c>
      <c r="G1793">
        <v>0.20451561852734051</v>
      </c>
    </row>
    <row r="1794" spans="1:7" x14ac:dyDescent="0.35">
      <c r="A1794">
        <v>2015</v>
      </c>
      <c r="B1794" s="1" t="s">
        <v>56</v>
      </c>
      <c r="C1794" s="1" t="s">
        <v>57</v>
      </c>
      <c r="D1794" s="1" t="s">
        <v>8</v>
      </c>
      <c r="E1794" s="1">
        <v>30929.93</v>
      </c>
      <c r="F1794" s="1">
        <v>308992</v>
      </c>
      <c r="G1794">
        <v>0.10009945241300745</v>
      </c>
    </row>
    <row r="1795" spans="1:7" x14ac:dyDescent="0.35">
      <c r="A1795">
        <v>2015</v>
      </c>
      <c r="B1795" s="1" t="s">
        <v>56</v>
      </c>
      <c r="C1795" s="1" t="s">
        <v>57</v>
      </c>
      <c r="D1795" s="1" t="s">
        <v>9</v>
      </c>
      <c r="E1795" s="1">
        <v>59151.19</v>
      </c>
      <c r="F1795" s="1">
        <v>308992</v>
      </c>
      <c r="G1795">
        <v>0.19143275554059652</v>
      </c>
    </row>
    <row r="1796" spans="1:7" x14ac:dyDescent="0.35">
      <c r="A1796">
        <v>2017</v>
      </c>
      <c r="B1796" s="1" t="s">
        <v>124</v>
      </c>
      <c r="C1796" s="1" t="s">
        <v>125</v>
      </c>
      <c r="D1796" s="1" t="s">
        <v>7</v>
      </c>
      <c r="E1796" s="1">
        <v>491951.03</v>
      </c>
      <c r="F1796" s="1">
        <v>1623111</v>
      </c>
      <c r="G1796">
        <v>0.30309142751173518</v>
      </c>
    </row>
    <row r="1797" spans="1:7" x14ac:dyDescent="0.35">
      <c r="A1797">
        <v>2017</v>
      </c>
      <c r="B1797" s="1" t="s">
        <v>124</v>
      </c>
      <c r="C1797" s="1" t="s">
        <v>125</v>
      </c>
      <c r="D1797" s="1" t="s">
        <v>8</v>
      </c>
      <c r="E1797" s="1">
        <v>115093.88</v>
      </c>
      <c r="F1797" s="1">
        <v>1623111</v>
      </c>
      <c r="G1797">
        <v>7.0909432564994018E-2</v>
      </c>
    </row>
    <row r="1798" spans="1:7" x14ac:dyDescent="0.35">
      <c r="A1798">
        <v>2017</v>
      </c>
      <c r="B1798" s="1" t="s">
        <v>124</v>
      </c>
      <c r="C1798" s="1" t="s">
        <v>125</v>
      </c>
      <c r="D1798" s="1" t="s">
        <v>9</v>
      </c>
      <c r="E1798" s="1">
        <v>93295.78</v>
      </c>
      <c r="F1798" s="1">
        <v>1623111</v>
      </c>
      <c r="G1798">
        <v>5.7479605522974091E-2</v>
      </c>
    </row>
    <row r="1799" spans="1:7" x14ac:dyDescent="0.35">
      <c r="A1799">
        <v>2017</v>
      </c>
      <c r="B1799" s="1" t="s">
        <v>126</v>
      </c>
      <c r="C1799" s="1" t="s">
        <v>127</v>
      </c>
      <c r="D1799" s="1" t="s">
        <v>7</v>
      </c>
      <c r="E1799" s="1">
        <v>371126.76</v>
      </c>
      <c r="F1799" s="1">
        <v>1387926</v>
      </c>
      <c r="G1799">
        <v>0.26739664794808948</v>
      </c>
    </row>
    <row r="1800" spans="1:7" x14ac:dyDescent="0.35">
      <c r="A1800">
        <v>2017</v>
      </c>
      <c r="B1800" s="1" t="s">
        <v>126</v>
      </c>
      <c r="C1800" s="1" t="s">
        <v>127</v>
      </c>
      <c r="D1800" s="1" t="s">
        <v>8</v>
      </c>
      <c r="E1800" s="1">
        <v>131756.60999999999</v>
      </c>
      <c r="F1800" s="1">
        <v>1387926</v>
      </c>
      <c r="G1800">
        <v>9.4930572667418861E-2</v>
      </c>
    </row>
    <row r="1801" spans="1:7" x14ac:dyDescent="0.35">
      <c r="A1801">
        <v>2017</v>
      </c>
      <c r="B1801" s="1" t="s">
        <v>126</v>
      </c>
      <c r="C1801" s="1" t="s">
        <v>127</v>
      </c>
      <c r="D1801" s="1" t="s">
        <v>9</v>
      </c>
      <c r="E1801" s="1">
        <v>42215.48</v>
      </c>
      <c r="F1801" s="1">
        <v>1387926</v>
      </c>
      <c r="G1801">
        <v>3.0416232565713158E-2</v>
      </c>
    </row>
    <row r="1802" spans="1:7" x14ac:dyDescent="0.35">
      <c r="A1802">
        <v>2017</v>
      </c>
      <c r="B1802" s="1" t="s">
        <v>128</v>
      </c>
      <c r="C1802" s="1" t="s">
        <v>129</v>
      </c>
      <c r="D1802" s="1" t="s">
        <v>7</v>
      </c>
      <c r="E1802" s="1">
        <v>328314.49</v>
      </c>
      <c r="F1802" s="1">
        <v>1228618</v>
      </c>
      <c r="G1802">
        <v>0.26722259481791738</v>
      </c>
    </row>
    <row r="1803" spans="1:7" x14ac:dyDescent="0.35">
      <c r="A1803">
        <v>2017</v>
      </c>
      <c r="B1803" s="1" t="s">
        <v>128</v>
      </c>
      <c r="C1803" s="1" t="s">
        <v>129</v>
      </c>
      <c r="D1803" s="1" t="s">
        <v>8</v>
      </c>
      <c r="E1803" s="1">
        <v>133737.49</v>
      </c>
      <c r="F1803" s="1">
        <v>1228618</v>
      </c>
      <c r="G1803">
        <v>0.10885197026252259</v>
      </c>
    </row>
    <row r="1804" spans="1:7" x14ac:dyDescent="0.35">
      <c r="A1804">
        <v>2017</v>
      </c>
      <c r="B1804" s="1" t="s">
        <v>128</v>
      </c>
      <c r="C1804" s="1" t="s">
        <v>129</v>
      </c>
      <c r="D1804" s="1" t="s">
        <v>9</v>
      </c>
      <c r="E1804" s="1">
        <v>95071.18</v>
      </c>
      <c r="F1804" s="1">
        <v>1228618</v>
      </c>
      <c r="G1804">
        <v>7.7380585340602201E-2</v>
      </c>
    </row>
    <row r="1805" spans="1:7" x14ac:dyDescent="0.35">
      <c r="A1805">
        <v>2015</v>
      </c>
      <c r="B1805" s="1" t="s">
        <v>58</v>
      </c>
      <c r="C1805" s="1" t="s">
        <v>59</v>
      </c>
      <c r="D1805" s="1" t="s">
        <v>7</v>
      </c>
      <c r="E1805" s="1">
        <v>104926.98</v>
      </c>
      <c r="F1805" s="1">
        <v>434035</v>
      </c>
      <c r="G1805">
        <v>0.24174773923761908</v>
      </c>
    </row>
    <row r="1806" spans="1:7" x14ac:dyDescent="0.35">
      <c r="A1806">
        <v>2015</v>
      </c>
      <c r="B1806" s="1" t="s">
        <v>58</v>
      </c>
      <c r="C1806" s="1" t="s">
        <v>59</v>
      </c>
      <c r="D1806" s="1" t="s">
        <v>8</v>
      </c>
      <c r="E1806" s="1">
        <v>52408.59</v>
      </c>
      <c r="F1806" s="1">
        <v>434035</v>
      </c>
      <c r="G1806">
        <v>0.12074738212356145</v>
      </c>
    </row>
    <row r="1807" spans="1:7" x14ac:dyDescent="0.35">
      <c r="A1807">
        <v>2015</v>
      </c>
      <c r="B1807" s="1" t="s">
        <v>58</v>
      </c>
      <c r="C1807" s="1" t="s">
        <v>59</v>
      </c>
      <c r="D1807" s="1" t="s">
        <v>9</v>
      </c>
      <c r="E1807" s="1">
        <v>83274</v>
      </c>
      <c r="F1807" s="1">
        <v>434035</v>
      </c>
      <c r="G1807">
        <v>0.19186010344787863</v>
      </c>
    </row>
    <row r="1808" spans="1:7" x14ac:dyDescent="0.35">
      <c r="A1808">
        <v>2015</v>
      </c>
      <c r="B1808" s="1" t="s">
        <v>60</v>
      </c>
      <c r="C1808" s="1" t="s">
        <v>61</v>
      </c>
      <c r="D1808" s="1" t="s">
        <v>7</v>
      </c>
      <c r="E1808" s="1">
        <v>42511.31</v>
      </c>
      <c r="F1808" s="1">
        <v>224200</v>
      </c>
      <c r="G1808">
        <v>0.18961333630686886</v>
      </c>
    </row>
    <row r="1809" spans="1:7" x14ac:dyDescent="0.35">
      <c r="A1809">
        <v>2015</v>
      </c>
      <c r="B1809" s="1" t="s">
        <v>60</v>
      </c>
      <c r="C1809" s="1" t="s">
        <v>61</v>
      </c>
      <c r="D1809" s="1" t="s">
        <v>8</v>
      </c>
      <c r="E1809" s="1">
        <v>29235.69</v>
      </c>
      <c r="F1809" s="1">
        <v>224200</v>
      </c>
      <c r="G1809">
        <v>0.13040004460303301</v>
      </c>
    </row>
    <row r="1810" spans="1:7" x14ac:dyDescent="0.35">
      <c r="A1810">
        <v>2015</v>
      </c>
      <c r="B1810" s="1" t="s">
        <v>60</v>
      </c>
      <c r="C1810" s="1" t="s">
        <v>61</v>
      </c>
      <c r="D1810" s="1" t="s">
        <v>9</v>
      </c>
      <c r="E1810" s="1">
        <v>38236.06</v>
      </c>
      <c r="F1810" s="1">
        <v>224200</v>
      </c>
      <c r="G1810">
        <v>0.17054442462087421</v>
      </c>
    </row>
    <row r="1811" spans="1:7" x14ac:dyDescent="0.35">
      <c r="A1811">
        <v>2015</v>
      </c>
      <c r="B1811" s="1" t="s">
        <v>62</v>
      </c>
      <c r="C1811" s="1" t="s">
        <v>63</v>
      </c>
      <c r="D1811" s="1" t="s">
        <v>7</v>
      </c>
      <c r="E1811" s="1">
        <v>128827.03</v>
      </c>
      <c r="F1811" s="1">
        <v>604966</v>
      </c>
      <c r="G1811">
        <v>0.21294920706287626</v>
      </c>
    </row>
    <row r="1812" spans="1:7" x14ac:dyDescent="0.35">
      <c r="A1812">
        <v>2015</v>
      </c>
      <c r="B1812" s="1" t="s">
        <v>62</v>
      </c>
      <c r="C1812" s="1" t="s">
        <v>63</v>
      </c>
      <c r="D1812" s="1" t="s">
        <v>8</v>
      </c>
      <c r="E1812" s="1">
        <v>75655.05</v>
      </c>
      <c r="F1812" s="1">
        <v>604966</v>
      </c>
      <c r="G1812">
        <v>0.12505669740117628</v>
      </c>
    </row>
    <row r="1813" spans="1:7" x14ac:dyDescent="0.35">
      <c r="A1813">
        <v>2015</v>
      </c>
      <c r="B1813" s="1" t="s">
        <v>62</v>
      </c>
      <c r="C1813" s="1" t="s">
        <v>63</v>
      </c>
      <c r="D1813" s="1" t="s">
        <v>9</v>
      </c>
      <c r="E1813" s="1">
        <v>95996.33</v>
      </c>
      <c r="F1813" s="1">
        <v>604966</v>
      </c>
      <c r="G1813">
        <v>0.15868053741863181</v>
      </c>
    </row>
    <row r="1814" spans="1:7" x14ac:dyDescent="0.35">
      <c r="A1814">
        <v>2015</v>
      </c>
      <c r="B1814" s="1" t="s">
        <v>64</v>
      </c>
      <c r="C1814" s="1" t="s">
        <v>65</v>
      </c>
      <c r="D1814" s="1" t="s">
        <v>7</v>
      </c>
      <c r="E1814" s="1">
        <v>75424.62</v>
      </c>
      <c r="F1814" s="1">
        <v>333050</v>
      </c>
      <c r="G1814">
        <v>0.22646635640294249</v>
      </c>
    </row>
    <row r="1815" spans="1:7" x14ac:dyDescent="0.35">
      <c r="A1815">
        <v>2015</v>
      </c>
      <c r="B1815" s="1" t="s">
        <v>64</v>
      </c>
      <c r="C1815" s="1" t="s">
        <v>65</v>
      </c>
      <c r="D1815" s="1" t="s">
        <v>8</v>
      </c>
      <c r="E1815" s="1">
        <v>26842.959999999999</v>
      </c>
      <c r="F1815" s="1">
        <v>333050</v>
      </c>
      <c r="G1815">
        <v>8.0597387779612673E-2</v>
      </c>
    </row>
    <row r="1816" spans="1:7" x14ac:dyDescent="0.35">
      <c r="A1816">
        <v>2015</v>
      </c>
      <c r="B1816" s="1" t="s">
        <v>64</v>
      </c>
      <c r="C1816" s="1" t="s">
        <v>65</v>
      </c>
      <c r="D1816" s="1" t="s">
        <v>9</v>
      </c>
      <c r="E1816" s="1">
        <v>68599.69</v>
      </c>
      <c r="F1816" s="1">
        <v>333050</v>
      </c>
      <c r="G1816">
        <v>0.20597414802582195</v>
      </c>
    </row>
    <row r="1817" spans="1:7" x14ac:dyDescent="0.35">
      <c r="A1817">
        <v>2015</v>
      </c>
      <c r="B1817" s="1" t="s">
        <v>66</v>
      </c>
      <c r="C1817" s="1" t="s">
        <v>67</v>
      </c>
      <c r="D1817" s="1" t="s">
        <v>7</v>
      </c>
      <c r="E1817" s="1">
        <v>149510.57999999999</v>
      </c>
      <c r="F1817" s="1">
        <v>673349</v>
      </c>
      <c r="G1817">
        <v>0.22204024955854987</v>
      </c>
    </row>
    <row r="1818" spans="1:7" x14ac:dyDescent="0.35">
      <c r="A1818">
        <v>2015</v>
      </c>
      <c r="B1818" s="1" t="s">
        <v>66</v>
      </c>
      <c r="C1818" s="1" t="s">
        <v>67</v>
      </c>
      <c r="D1818" s="1" t="s">
        <v>8</v>
      </c>
      <c r="E1818" s="1">
        <v>51778.07</v>
      </c>
      <c r="F1818" s="1">
        <v>673349</v>
      </c>
      <c r="G1818">
        <v>7.6896334590234774E-2</v>
      </c>
    </row>
    <row r="1819" spans="1:7" x14ac:dyDescent="0.35">
      <c r="A1819">
        <v>2015</v>
      </c>
      <c r="B1819" s="1" t="s">
        <v>66</v>
      </c>
      <c r="C1819" s="1" t="s">
        <v>67</v>
      </c>
      <c r="D1819" s="1" t="s">
        <v>9</v>
      </c>
      <c r="E1819" s="1">
        <v>127979.17</v>
      </c>
      <c r="F1819" s="1">
        <v>673349</v>
      </c>
      <c r="G1819">
        <v>0.190063651984335</v>
      </c>
    </row>
    <row r="1820" spans="1:7" x14ac:dyDescent="0.35">
      <c r="A1820">
        <v>2015</v>
      </c>
      <c r="B1820" s="1" t="s">
        <v>68</v>
      </c>
      <c r="C1820" s="1" t="s">
        <v>69</v>
      </c>
      <c r="D1820" s="1" t="s">
        <v>7</v>
      </c>
      <c r="E1820" s="1">
        <v>73728.87</v>
      </c>
      <c r="F1820" s="1">
        <v>152730</v>
      </c>
      <c r="G1820">
        <v>0.48273993321547826</v>
      </c>
    </row>
    <row r="1821" spans="1:7" x14ac:dyDescent="0.35">
      <c r="A1821">
        <v>2015</v>
      </c>
      <c r="B1821" s="1" t="s">
        <v>68</v>
      </c>
      <c r="C1821" s="1" t="s">
        <v>69</v>
      </c>
      <c r="D1821" s="1" t="s">
        <v>8</v>
      </c>
      <c r="E1821" s="1">
        <v>10280.01</v>
      </c>
      <c r="F1821" s="1">
        <v>152730</v>
      </c>
      <c r="G1821">
        <v>6.7308387350225887E-2</v>
      </c>
    </row>
    <row r="1822" spans="1:7" x14ac:dyDescent="0.35">
      <c r="A1822">
        <v>2015</v>
      </c>
      <c r="B1822" s="1" t="s">
        <v>68</v>
      </c>
      <c r="C1822" s="1" t="s">
        <v>69</v>
      </c>
      <c r="D1822" s="1" t="s">
        <v>9</v>
      </c>
      <c r="E1822" s="1">
        <v>22156.639999999999</v>
      </c>
      <c r="F1822" s="1">
        <v>152730</v>
      </c>
      <c r="G1822">
        <v>0.14507064754796045</v>
      </c>
    </row>
    <row r="1823" spans="1:7" x14ac:dyDescent="0.35">
      <c r="A1823">
        <v>2015</v>
      </c>
      <c r="B1823" s="1" t="s">
        <v>70</v>
      </c>
      <c r="C1823" s="1" t="s">
        <v>71</v>
      </c>
      <c r="D1823" s="1" t="s">
        <v>7</v>
      </c>
      <c r="E1823" s="1">
        <v>76513.740000000005</v>
      </c>
      <c r="F1823" s="1">
        <v>174553</v>
      </c>
      <c r="G1823">
        <v>0.43834101963300548</v>
      </c>
    </row>
    <row r="1824" spans="1:7" x14ac:dyDescent="0.35">
      <c r="A1824">
        <v>2015</v>
      </c>
      <c r="B1824" s="1" t="s">
        <v>70</v>
      </c>
      <c r="C1824" s="1" t="s">
        <v>71</v>
      </c>
      <c r="D1824" s="1" t="s">
        <v>8</v>
      </c>
      <c r="E1824" s="1">
        <v>9475.2900000000009</v>
      </c>
      <c r="F1824" s="1">
        <v>174553</v>
      </c>
      <c r="G1824">
        <v>5.4283169008839727E-2</v>
      </c>
    </row>
    <row r="1825" spans="1:7" x14ac:dyDescent="0.35">
      <c r="A1825">
        <v>2015</v>
      </c>
      <c r="B1825" s="1" t="s">
        <v>70</v>
      </c>
      <c r="C1825" s="1" t="s">
        <v>71</v>
      </c>
      <c r="D1825" s="1" t="s">
        <v>9</v>
      </c>
      <c r="E1825" s="1">
        <v>18578.400000000001</v>
      </c>
      <c r="F1825" s="1">
        <v>174553</v>
      </c>
      <c r="G1825">
        <v>0.10643414894043644</v>
      </c>
    </row>
    <row r="1826" spans="1:7" x14ac:dyDescent="0.35">
      <c r="A1826">
        <v>2015</v>
      </c>
      <c r="B1826" s="1" t="s">
        <v>84</v>
      </c>
      <c r="C1826" s="1" t="s">
        <v>85</v>
      </c>
      <c r="D1826" s="1" t="s">
        <v>7</v>
      </c>
      <c r="E1826" s="1">
        <v>67643.47</v>
      </c>
      <c r="F1826" s="1">
        <v>277752</v>
      </c>
      <c r="G1826">
        <v>0.2435390924277773</v>
      </c>
    </row>
    <row r="1827" spans="1:7" x14ac:dyDescent="0.35">
      <c r="A1827">
        <v>2015</v>
      </c>
      <c r="B1827" s="1" t="s">
        <v>84</v>
      </c>
      <c r="C1827" s="1" t="s">
        <v>85</v>
      </c>
      <c r="D1827" s="1" t="s">
        <v>8</v>
      </c>
      <c r="E1827" s="1">
        <v>28737.09</v>
      </c>
      <c r="F1827" s="1">
        <v>277752</v>
      </c>
      <c r="G1827">
        <v>0.10346312537803508</v>
      </c>
    </row>
    <row r="1828" spans="1:7" x14ac:dyDescent="0.35">
      <c r="A1828">
        <v>2015</v>
      </c>
      <c r="B1828" s="1" t="s">
        <v>84</v>
      </c>
      <c r="C1828" s="1" t="s">
        <v>85</v>
      </c>
      <c r="D1828" s="1" t="s">
        <v>9</v>
      </c>
      <c r="E1828" s="1">
        <v>46591.42</v>
      </c>
      <c r="F1828" s="1">
        <v>277752</v>
      </c>
      <c r="G1828">
        <v>0.16774467870618393</v>
      </c>
    </row>
    <row r="1829" spans="1:7" x14ac:dyDescent="0.35">
      <c r="A1829">
        <v>2015</v>
      </c>
      <c r="B1829" s="1" t="s">
        <v>86</v>
      </c>
      <c r="C1829" s="1" t="s">
        <v>87</v>
      </c>
      <c r="D1829" s="1" t="s">
        <v>7</v>
      </c>
      <c r="E1829" s="1">
        <v>77536.100000000006</v>
      </c>
      <c r="F1829" s="1">
        <v>309056</v>
      </c>
      <c r="G1829">
        <v>0.25088042296541729</v>
      </c>
    </row>
    <row r="1830" spans="1:7" x14ac:dyDescent="0.35">
      <c r="A1830">
        <v>2015</v>
      </c>
      <c r="B1830" s="1" t="s">
        <v>86</v>
      </c>
      <c r="C1830" s="1" t="s">
        <v>87</v>
      </c>
      <c r="D1830" s="1" t="s">
        <v>8</v>
      </c>
      <c r="E1830" s="1">
        <v>33106.400000000001</v>
      </c>
      <c r="F1830" s="1">
        <v>309056</v>
      </c>
      <c r="G1830">
        <v>0.10712103955270243</v>
      </c>
    </row>
    <row r="1831" spans="1:7" x14ac:dyDescent="0.35">
      <c r="A1831">
        <v>2015</v>
      </c>
      <c r="B1831" s="1" t="s">
        <v>86</v>
      </c>
      <c r="C1831" s="1" t="s">
        <v>87</v>
      </c>
      <c r="D1831" s="1" t="s">
        <v>9</v>
      </c>
      <c r="E1831" s="1">
        <v>35233.760000000002</v>
      </c>
      <c r="F1831" s="1">
        <v>309056</v>
      </c>
      <c r="G1831">
        <v>0.11400445226755022</v>
      </c>
    </row>
    <row r="1832" spans="1:7" x14ac:dyDescent="0.35">
      <c r="A1832">
        <v>2015</v>
      </c>
      <c r="B1832" s="1" t="s">
        <v>88</v>
      </c>
      <c r="C1832" s="1" t="s">
        <v>89</v>
      </c>
      <c r="D1832" s="1" t="s">
        <v>7</v>
      </c>
      <c r="E1832" s="1">
        <v>136440.60999999999</v>
      </c>
      <c r="F1832" s="1">
        <v>572293</v>
      </c>
      <c r="G1832">
        <v>0.23841041214902153</v>
      </c>
    </row>
    <row r="1833" spans="1:7" x14ac:dyDescent="0.35">
      <c r="A1833">
        <v>2015</v>
      </c>
      <c r="B1833" s="1" t="s">
        <v>88</v>
      </c>
      <c r="C1833" s="1" t="s">
        <v>89</v>
      </c>
      <c r="D1833" s="1" t="s">
        <v>8</v>
      </c>
      <c r="E1833" s="1">
        <v>57822.79</v>
      </c>
      <c r="F1833" s="1">
        <v>572293</v>
      </c>
      <c r="G1833">
        <v>0.10103703871967681</v>
      </c>
    </row>
    <row r="1834" spans="1:7" x14ac:dyDescent="0.35">
      <c r="A1834">
        <v>2015</v>
      </c>
      <c r="B1834" s="1" t="s">
        <v>88</v>
      </c>
      <c r="C1834" s="1" t="s">
        <v>89</v>
      </c>
      <c r="D1834" s="1" t="s">
        <v>9</v>
      </c>
      <c r="E1834" s="1">
        <v>81977.759999999995</v>
      </c>
      <c r="F1834" s="1">
        <v>572293</v>
      </c>
      <c r="G1834">
        <v>0.14324438705348483</v>
      </c>
    </row>
    <row r="1835" spans="1:7" x14ac:dyDescent="0.35">
      <c r="A1835">
        <v>2015</v>
      </c>
      <c r="B1835" s="1" t="s">
        <v>90</v>
      </c>
      <c r="C1835" s="1" t="s">
        <v>91</v>
      </c>
      <c r="D1835" s="1" t="s">
        <v>7</v>
      </c>
      <c r="E1835" s="1">
        <v>43473.85</v>
      </c>
      <c r="F1835" s="1">
        <v>179154</v>
      </c>
      <c r="G1835">
        <v>0.24266189981803363</v>
      </c>
    </row>
    <row r="1836" spans="1:7" x14ac:dyDescent="0.35">
      <c r="A1836">
        <v>2015</v>
      </c>
      <c r="B1836" s="1" t="s">
        <v>90</v>
      </c>
      <c r="C1836" s="1" t="s">
        <v>91</v>
      </c>
      <c r="D1836" s="1" t="s">
        <v>8</v>
      </c>
      <c r="E1836" s="1">
        <v>14892.8</v>
      </c>
      <c r="F1836" s="1">
        <v>179154</v>
      </c>
      <c r="G1836">
        <v>8.3128481641492794E-2</v>
      </c>
    </row>
    <row r="1837" spans="1:7" x14ac:dyDescent="0.35">
      <c r="A1837">
        <v>2015</v>
      </c>
      <c r="B1837" s="1" t="s">
        <v>90</v>
      </c>
      <c r="C1837" s="1" t="s">
        <v>91</v>
      </c>
      <c r="D1837" s="1" t="s">
        <v>9</v>
      </c>
      <c r="E1837" s="1">
        <v>28332.25</v>
      </c>
      <c r="F1837" s="1">
        <v>179154</v>
      </c>
      <c r="G1837">
        <v>0.15814466883240116</v>
      </c>
    </row>
    <row r="1838" spans="1:7" x14ac:dyDescent="0.35">
      <c r="A1838">
        <v>2015</v>
      </c>
      <c r="B1838" s="1" t="s">
        <v>92</v>
      </c>
      <c r="C1838" s="1" t="s">
        <v>93</v>
      </c>
      <c r="D1838" s="1" t="s">
        <v>7</v>
      </c>
      <c r="E1838" s="1">
        <v>183285.53</v>
      </c>
      <c r="F1838" s="1">
        <v>734403</v>
      </c>
      <c r="G1838">
        <v>0.24957078062044954</v>
      </c>
    </row>
    <row r="1839" spans="1:7" x14ac:dyDescent="0.35">
      <c r="A1839">
        <v>2015</v>
      </c>
      <c r="B1839" s="1" t="s">
        <v>92</v>
      </c>
      <c r="C1839" s="1" t="s">
        <v>93</v>
      </c>
      <c r="D1839" s="1" t="s">
        <v>8</v>
      </c>
      <c r="E1839" s="1">
        <v>65208.08</v>
      </c>
      <c r="F1839" s="1">
        <v>734403</v>
      </c>
      <c r="G1839">
        <v>8.8790595898981903E-2</v>
      </c>
    </row>
    <row r="1840" spans="1:7" x14ac:dyDescent="0.35">
      <c r="A1840">
        <v>2015</v>
      </c>
      <c r="B1840" s="1" t="s">
        <v>92</v>
      </c>
      <c r="C1840" s="1" t="s">
        <v>93</v>
      </c>
      <c r="D1840" s="1" t="s">
        <v>9</v>
      </c>
      <c r="E1840" s="1">
        <v>70588.86</v>
      </c>
      <c r="F1840" s="1">
        <v>734403</v>
      </c>
      <c r="G1840">
        <v>9.6117336121992969E-2</v>
      </c>
    </row>
    <row r="1841" spans="1:7" x14ac:dyDescent="0.35">
      <c r="A1841">
        <v>2015</v>
      </c>
      <c r="B1841" s="1" t="s">
        <v>94</v>
      </c>
      <c r="C1841" s="1" t="s">
        <v>95</v>
      </c>
      <c r="D1841" s="1" t="s">
        <v>7</v>
      </c>
      <c r="E1841" s="1">
        <v>43434.65</v>
      </c>
      <c r="F1841" s="1">
        <v>190626</v>
      </c>
      <c r="G1841">
        <v>0.22785270634645852</v>
      </c>
    </row>
    <row r="1842" spans="1:7" x14ac:dyDescent="0.35">
      <c r="A1842">
        <v>2015</v>
      </c>
      <c r="B1842" s="1" t="s">
        <v>94</v>
      </c>
      <c r="C1842" s="1" t="s">
        <v>95</v>
      </c>
      <c r="D1842" s="1" t="s">
        <v>8</v>
      </c>
      <c r="E1842" s="1">
        <v>16289.12</v>
      </c>
      <c r="F1842" s="1">
        <v>190626</v>
      </c>
      <c r="G1842">
        <v>8.54506730456496E-2</v>
      </c>
    </row>
    <row r="1843" spans="1:7" x14ac:dyDescent="0.35">
      <c r="A1843">
        <v>2015</v>
      </c>
      <c r="B1843" s="1" t="s">
        <v>94</v>
      </c>
      <c r="C1843" s="1" t="s">
        <v>95</v>
      </c>
      <c r="D1843" s="1" t="s">
        <v>9</v>
      </c>
      <c r="E1843" s="1">
        <v>26288.23</v>
      </c>
      <c r="F1843" s="1">
        <v>190626</v>
      </c>
      <c r="G1843">
        <v>0.13790474541772896</v>
      </c>
    </row>
    <row r="1844" spans="1:7" x14ac:dyDescent="0.35">
      <c r="A1844">
        <v>2015</v>
      </c>
      <c r="B1844" s="1" t="s">
        <v>96</v>
      </c>
      <c r="C1844" s="1" t="s">
        <v>97</v>
      </c>
      <c r="D1844" s="1" t="s">
        <v>7</v>
      </c>
      <c r="E1844" s="1">
        <v>247206.79</v>
      </c>
      <c r="F1844" s="1">
        <v>1044486</v>
      </c>
      <c r="G1844">
        <v>0.23667793536725243</v>
      </c>
    </row>
    <row r="1845" spans="1:7" x14ac:dyDescent="0.35">
      <c r="A1845">
        <v>2015</v>
      </c>
      <c r="B1845" s="1" t="s">
        <v>96</v>
      </c>
      <c r="C1845" s="1" t="s">
        <v>97</v>
      </c>
      <c r="D1845" s="1" t="s">
        <v>8</v>
      </c>
      <c r="E1845" s="1">
        <v>125163.41</v>
      </c>
      <c r="F1845" s="1">
        <v>1044486</v>
      </c>
      <c r="G1845">
        <v>0.11983253964150789</v>
      </c>
    </row>
    <row r="1846" spans="1:7" x14ac:dyDescent="0.35">
      <c r="A1846">
        <v>2015</v>
      </c>
      <c r="B1846" s="1" t="s">
        <v>96</v>
      </c>
      <c r="C1846" s="1" t="s">
        <v>97</v>
      </c>
      <c r="D1846" s="1" t="s">
        <v>9</v>
      </c>
      <c r="E1846" s="1">
        <v>164066.79999999999</v>
      </c>
      <c r="F1846" s="1">
        <v>1044486</v>
      </c>
      <c r="G1846">
        <v>0.1570789843042415</v>
      </c>
    </row>
    <row r="1847" spans="1:7" x14ac:dyDescent="0.35">
      <c r="A1847">
        <v>2015</v>
      </c>
      <c r="B1847" s="1" t="s">
        <v>98</v>
      </c>
      <c r="C1847" s="1" t="s">
        <v>99</v>
      </c>
      <c r="D1847" s="1" t="s">
        <v>7</v>
      </c>
      <c r="E1847" s="1">
        <v>230261.12</v>
      </c>
      <c r="F1847" s="1">
        <v>1116658</v>
      </c>
      <c r="G1847">
        <v>0.20620558846128356</v>
      </c>
    </row>
    <row r="1848" spans="1:7" x14ac:dyDescent="0.35">
      <c r="A1848">
        <v>2015</v>
      </c>
      <c r="B1848" s="1" t="s">
        <v>98</v>
      </c>
      <c r="C1848" s="1" t="s">
        <v>99</v>
      </c>
      <c r="D1848" s="1" t="s">
        <v>8</v>
      </c>
      <c r="E1848" s="1">
        <v>109474.19</v>
      </c>
      <c r="F1848" s="1">
        <v>1116658</v>
      </c>
      <c r="G1848">
        <v>9.8037348946588845E-2</v>
      </c>
    </row>
    <row r="1849" spans="1:7" x14ac:dyDescent="0.35">
      <c r="A1849">
        <v>2015</v>
      </c>
      <c r="B1849" s="1" t="s">
        <v>98</v>
      </c>
      <c r="C1849" s="1" t="s">
        <v>99</v>
      </c>
      <c r="D1849" s="1" t="s">
        <v>9</v>
      </c>
      <c r="E1849" s="1">
        <v>162541.85999999999</v>
      </c>
      <c r="F1849" s="1">
        <v>1116658</v>
      </c>
      <c r="G1849">
        <v>0.14556100435406363</v>
      </c>
    </row>
    <row r="1850" spans="1:7" x14ac:dyDescent="0.35">
      <c r="A1850">
        <v>2015</v>
      </c>
      <c r="B1850" s="1" t="s">
        <v>100</v>
      </c>
      <c r="C1850" s="1" t="s">
        <v>101</v>
      </c>
      <c r="D1850" s="1" t="s">
        <v>7</v>
      </c>
      <c r="E1850" s="1">
        <v>151330.18</v>
      </c>
      <c r="F1850" s="1">
        <v>762607</v>
      </c>
      <c r="G1850">
        <v>0.19843796345955386</v>
      </c>
    </row>
    <row r="1851" spans="1:7" x14ac:dyDescent="0.35">
      <c r="A1851">
        <v>2015</v>
      </c>
      <c r="B1851" s="1" t="s">
        <v>100</v>
      </c>
      <c r="C1851" s="1" t="s">
        <v>101</v>
      </c>
      <c r="D1851" s="1" t="s">
        <v>8</v>
      </c>
      <c r="E1851" s="1">
        <v>116150.14</v>
      </c>
      <c r="F1851" s="1">
        <v>762607</v>
      </c>
      <c r="G1851">
        <v>0.15230667958725791</v>
      </c>
    </row>
    <row r="1852" spans="1:7" x14ac:dyDescent="0.35">
      <c r="A1852">
        <v>2015</v>
      </c>
      <c r="B1852" s="1" t="s">
        <v>100</v>
      </c>
      <c r="C1852" s="1" t="s">
        <v>101</v>
      </c>
      <c r="D1852" s="1" t="s">
        <v>9</v>
      </c>
      <c r="E1852" s="1">
        <v>100105.73</v>
      </c>
      <c r="F1852" s="1">
        <v>762607</v>
      </c>
      <c r="G1852">
        <v>0.13126778275048614</v>
      </c>
    </row>
    <row r="1853" spans="1:7" x14ac:dyDescent="0.35">
      <c r="A1853">
        <v>2015</v>
      </c>
      <c r="B1853" s="1" t="s">
        <v>102</v>
      </c>
      <c r="C1853" s="1" t="s">
        <v>103</v>
      </c>
      <c r="D1853" s="1" t="s">
        <v>7</v>
      </c>
      <c r="E1853" s="1">
        <v>85018.53</v>
      </c>
      <c r="F1853" s="1">
        <v>372016</v>
      </c>
      <c r="G1853">
        <v>0.22853460603844997</v>
      </c>
    </row>
    <row r="1854" spans="1:7" x14ac:dyDescent="0.35">
      <c r="A1854">
        <v>2015</v>
      </c>
      <c r="B1854" s="1" t="s">
        <v>102</v>
      </c>
      <c r="C1854" s="1" t="s">
        <v>103</v>
      </c>
      <c r="D1854" s="1" t="s">
        <v>8</v>
      </c>
      <c r="E1854" s="1">
        <v>34996.43</v>
      </c>
      <c r="F1854" s="1">
        <v>372016</v>
      </c>
      <c r="G1854">
        <v>9.4072378607371721E-2</v>
      </c>
    </row>
    <row r="1855" spans="1:7" x14ac:dyDescent="0.35">
      <c r="A1855">
        <v>2015</v>
      </c>
      <c r="B1855" s="1" t="s">
        <v>102</v>
      </c>
      <c r="C1855" s="1" t="s">
        <v>103</v>
      </c>
      <c r="D1855" s="1" t="s">
        <v>9</v>
      </c>
      <c r="E1855" s="1">
        <v>64604.36</v>
      </c>
      <c r="F1855" s="1">
        <v>372016</v>
      </c>
      <c r="G1855">
        <v>0.17366016515418692</v>
      </c>
    </row>
    <row r="1856" spans="1:7" x14ac:dyDescent="0.35">
      <c r="A1856">
        <v>2015</v>
      </c>
      <c r="B1856" s="1" t="s">
        <v>104</v>
      </c>
      <c r="C1856" s="1" t="s">
        <v>105</v>
      </c>
      <c r="D1856" s="1" t="s">
        <v>7</v>
      </c>
      <c r="E1856" s="1">
        <v>125994.6</v>
      </c>
      <c r="F1856" s="1">
        <v>538659</v>
      </c>
      <c r="G1856">
        <v>0.23390419541862292</v>
      </c>
    </row>
    <row r="1857" spans="1:7" x14ac:dyDescent="0.35">
      <c r="A1857">
        <v>2015</v>
      </c>
      <c r="B1857" s="1" t="s">
        <v>104</v>
      </c>
      <c r="C1857" s="1" t="s">
        <v>105</v>
      </c>
      <c r="D1857" s="1" t="s">
        <v>8</v>
      </c>
      <c r="E1857" s="1">
        <v>56441.2</v>
      </c>
      <c r="F1857" s="1">
        <v>538659</v>
      </c>
      <c r="G1857">
        <v>0.10478094675852441</v>
      </c>
    </row>
    <row r="1858" spans="1:7" x14ac:dyDescent="0.35">
      <c r="A1858">
        <v>2015</v>
      </c>
      <c r="B1858" s="1" t="s">
        <v>104</v>
      </c>
      <c r="C1858" s="1" t="s">
        <v>105</v>
      </c>
      <c r="D1858" s="1" t="s">
        <v>9</v>
      </c>
      <c r="E1858" s="1">
        <v>84531.18</v>
      </c>
      <c r="F1858" s="1">
        <v>538659</v>
      </c>
      <c r="G1858">
        <v>0.15692892906272798</v>
      </c>
    </row>
    <row r="1859" spans="1:7" x14ac:dyDescent="0.35">
      <c r="A1859">
        <v>2015</v>
      </c>
      <c r="B1859" s="1" t="s">
        <v>106</v>
      </c>
      <c r="C1859" s="1" t="s">
        <v>107</v>
      </c>
      <c r="D1859" s="1" t="s">
        <v>7</v>
      </c>
      <c r="E1859" s="1">
        <v>652472.65</v>
      </c>
      <c r="F1859" s="1">
        <v>2605238</v>
      </c>
      <c r="G1859">
        <v>0.25044646592748915</v>
      </c>
    </row>
    <row r="1860" spans="1:7" x14ac:dyDescent="0.35">
      <c r="A1860">
        <v>2015</v>
      </c>
      <c r="B1860" s="1" t="s">
        <v>106</v>
      </c>
      <c r="C1860" s="1" t="s">
        <v>107</v>
      </c>
      <c r="D1860" s="1" t="s">
        <v>8</v>
      </c>
      <c r="E1860" s="1">
        <v>388161.36</v>
      </c>
      <c r="F1860" s="1">
        <v>2605238</v>
      </c>
      <c r="G1860">
        <v>0.14899266784838852</v>
      </c>
    </row>
    <row r="1861" spans="1:7" x14ac:dyDescent="0.35">
      <c r="A1861">
        <v>2015</v>
      </c>
      <c r="B1861" s="1" t="s">
        <v>106</v>
      </c>
      <c r="C1861" s="1" t="s">
        <v>107</v>
      </c>
      <c r="D1861" s="1" t="s">
        <v>9</v>
      </c>
      <c r="E1861" s="1">
        <v>327912.31</v>
      </c>
      <c r="F1861" s="1">
        <v>2605238</v>
      </c>
      <c r="G1861">
        <v>0.12586654654968182</v>
      </c>
    </row>
    <row r="1862" spans="1:7" x14ac:dyDescent="0.35">
      <c r="A1862">
        <v>2015</v>
      </c>
      <c r="B1862" s="1" t="s">
        <v>108</v>
      </c>
      <c r="C1862" s="1" t="s">
        <v>109</v>
      </c>
      <c r="D1862" s="1" t="s">
        <v>7</v>
      </c>
      <c r="E1862" s="1">
        <v>206567.31</v>
      </c>
      <c r="F1862" s="1">
        <v>821552</v>
      </c>
      <c r="G1862">
        <v>0.25143546604475431</v>
      </c>
    </row>
    <row r="1863" spans="1:7" x14ac:dyDescent="0.35">
      <c r="A1863">
        <v>2015</v>
      </c>
      <c r="B1863" s="1" t="s">
        <v>108</v>
      </c>
      <c r="C1863" s="1" t="s">
        <v>109</v>
      </c>
      <c r="D1863" s="1" t="s">
        <v>8</v>
      </c>
      <c r="E1863" s="1">
        <v>109983.51</v>
      </c>
      <c r="F1863" s="1">
        <v>821552</v>
      </c>
      <c r="G1863">
        <v>0.13387285284437259</v>
      </c>
    </row>
    <row r="1864" spans="1:7" x14ac:dyDescent="0.35">
      <c r="A1864">
        <v>2015</v>
      </c>
      <c r="B1864" s="1" t="s">
        <v>108</v>
      </c>
      <c r="C1864" s="1" t="s">
        <v>109</v>
      </c>
      <c r="D1864" s="1" t="s">
        <v>9</v>
      </c>
      <c r="E1864" s="1">
        <v>134890.82</v>
      </c>
      <c r="F1864" s="1">
        <v>821552</v>
      </c>
      <c r="G1864">
        <v>0.16419023993612092</v>
      </c>
    </row>
    <row r="1865" spans="1:7" x14ac:dyDescent="0.35">
      <c r="A1865">
        <v>2015</v>
      </c>
      <c r="B1865" s="1" t="s">
        <v>110</v>
      </c>
      <c r="C1865" s="1" t="s">
        <v>111</v>
      </c>
      <c r="D1865" s="1" t="s">
        <v>7</v>
      </c>
      <c r="E1865" s="1">
        <v>394215.07</v>
      </c>
      <c r="F1865" s="1">
        <v>1472648</v>
      </c>
      <c r="G1865">
        <v>0.26769130844573857</v>
      </c>
    </row>
    <row r="1866" spans="1:7" x14ac:dyDescent="0.35">
      <c r="A1866">
        <v>2015</v>
      </c>
      <c r="B1866" s="1" t="s">
        <v>110</v>
      </c>
      <c r="C1866" s="1" t="s">
        <v>111</v>
      </c>
      <c r="D1866" s="1" t="s">
        <v>8</v>
      </c>
      <c r="E1866" s="1">
        <v>295317.01</v>
      </c>
      <c r="F1866" s="1">
        <v>1472648</v>
      </c>
      <c r="G1866">
        <v>0.20053468989194975</v>
      </c>
    </row>
    <row r="1867" spans="1:7" x14ac:dyDescent="0.35">
      <c r="A1867">
        <v>2015</v>
      </c>
      <c r="B1867" s="1" t="s">
        <v>110</v>
      </c>
      <c r="C1867" s="1" t="s">
        <v>111</v>
      </c>
      <c r="D1867" s="1" t="s">
        <v>9</v>
      </c>
      <c r="E1867" s="1">
        <v>182389.51</v>
      </c>
      <c r="F1867" s="1">
        <v>1472648</v>
      </c>
      <c r="G1867">
        <v>0.12385139558129303</v>
      </c>
    </row>
    <row r="1868" spans="1:7" x14ac:dyDescent="0.35">
      <c r="A1868">
        <v>2015</v>
      </c>
      <c r="B1868" s="1" t="s">
        <v>112</v>
      </c>
      <c r="C1868" s="1" t="s">
        <v>113</v>
      </c>
      <c r="D1868" s="1" t="s">
        <v>7</v>
      </c>
      <c r="E1868" s="1">
        <v>159682.88</v>
      </c>
      <c r="F1868" s="1">
        <v>571879</v>
      </c>
      <c r="G1868">
        <v>0.27922494094030381</v>
      </c>
    </row>
    <row r="1869" spans="1:7" x14ac:dyDescent="0.35">
      <c r="A1869">
        <v>2015</v>
      </c>
      <c r="B1869" s="1" t="s">
        <v>112</v>
      </c>
      <c r="C1869" s="1" t="s">
        <v>113</v>
      </c>
      <c r="D1869" s="1" t="s">
        <v>8</v>
      </c>
      <c r="E1869" s="1">
        <v>58164.37</v>
      </c>
      <c r="F1869" s="1">
        <v>571879</v>
      </c>
      <c r="G1869">
        <v>0.10170747658158458</v>
      </c>
    </row>
    <row r="1870" spans="1:7" x14ac:dyDescent="0.35">
      <c r="A1870">
        <v>2015</v>
      </c>
      <c r="B1870" s="1" t="s">
        <v>112</v>
      </c>
      <c r="C1870" s="1" t="s">
        <v>113</v>
      </c>
      <c r="D1870" s="1" t="s">
        <v>9</v>
      </c>
      <c r="E1870" s="1">
        <v>90451.12</v>
      </c>
      <c r="F1870" s="1">
        <v>571879</v>
      </c>
      <c r="G1870">
        <v>0.15816478660695707</v>
      </c>
    </row>
    <row r="1871" spans="1:7" x14ac:dyDescent="0.35">
      <c r="A1871">
        <v>2015</v>
      </c>
      <c r="B1871" s="1" t="s">
        <v>114</v>
      </c>
      <c r="C1871" s="1" t="s">
        <v>115</v>
      </c>
      <c r="D1871" s="1" t="s">
        <v>7</v>
      </c>
      <c r="E1871" s="1">
        <v>787400</v>
      </c>
      <c r="F1871" s="1">
        <v>2206488</v>
      </c>
      <c r="G1871">
        <v>0.35685668809438348</v>
      </c>
    </row>
    <row r="1872" spans="1:7" x14ac:dyDescent="0.35">
      <c r="A1872">
        <v>2015</v>
      </c>
      <c r="B1872" s="1" t="s">
        <v>114</v>
      </c>
      <c r="C1872" s="1" t="s">
        <v>115</v>
      </c>
      <c r="D1872" s="1" t="s">
        <v>8</v>
      </c>
      <c r="E1872" s="1">
        <v>233881.1</v>
      </c>
      <c r="F1872" s="1">
        <v>2206488</v>
      </c>
      <c r="G1872">
        <v>0.10599699613140882</v>
      </c>
    </row>
    <row r="1873" spans="1:7" x14ac:dyDescent="0.35">
      <c r="A1873">
        <v>2015</v>
      </c>
      <c r="B1873" s="1" t="s">
        <v>114</v>
      </c>
      <c r="C1873" s="1" t="s">
        <v>115</v>
      </c>
      <c r="D1873" s="1" t="s">
        <v>9</v>
      </c>
      <c r="E1873" s="1">
        <v>4676.16</v>
      </c>
      <c r="F1873" s="1">
        <v>2206488</v>
      </c>
      <c r="G1873">
        <v>2.1192773312159411E-3</v>
      </c>
    </row>
    <row r="1874" spans="1:7" x14ac:dyDescent="0.35">
      <c r="A1874">
        <v>2015</v>
      </c>
      <c r="B1874" s="1" t="s">
        <v>116</v>
      </c>
      <c r="C1874" s="1" t="s">
        <v>117</v>
      </c>
      <c r="D1874" s="1" t="s">
        <v>7</v>
      </c>
      <c r="E1874" s="1">
        <v>391050.6</v>
      </c>
      <c r="F1874" s="1">
        <v>1390121</v>
      </c>
      <c r="G1874">
        <v>0.28130687904146473</v>
      </c>
    </row>
    <row r="1875" spans="1:7" x14ac:dyDescent="0.35">
      <c r="A1875">
        <v>2015</v>
      </c>
      <c r="B1875" s="1" t="s">
        <v>116</v>
      </c>
      <c r="C1875" s="1" t="s">
        <v>117</v>
      </c>
      <c r="D1875" s="1" t="s">
        <v>8</v>
      </c>
      <c r="E1875" s="1">
        <v>152999.06</v>
      </c>
      <c r="F1875" s="1">
        <v>1390121</v>
      </c>
      <c r="G1875">
        <v>0.11006168527775639</v>
      </c>
    </row>
    <row r="1876" spans="1:7" x14ac:dyDescent="0.35">
      <c r="A1876">
        <v>2015</v>
      </c>
      <c r="B1876" s="1" t="s">
        <v>116</v>
      </c>
      <c r="C1876" s="1" t="s">
        <v>117</v>
      </c>
      <c r="D1876" s="1" t="s">
        <v>9</v>
      </c>
      <c r="E1876" s="1">
        <v>121552.75</v>
      </c>
      <c r="F1876" s="1">
        <v>1390121</v>
      </c>
      <c r="G1876">
        <v>8.7440409863601798E-2</v>
      </c>
    </row>
    <row r="1877" spans="1:7" x14ac:dyDescent="0.35">
      <c r="A1877">
        <v>2015</v>
      </c>
      <c r="B1877" s="1" t="s">
        <v>118</v>
      </c>
      <c r="C1877" s="1" t="s">
        <v>119</v>
      </c>
      <c r="D1877" s="1" t="s">
        <v>7</v>
      </c>
      <c r="E1877" s="1">
        <v>357445.28</v>
      </c>
      <c r="F1877" s="1">
        <v>1427291</v>
      </c>
      <c r="G1877">
        <v>0.25043616193193963</v>
      </c>
    </row>
    <row r="1878" spans="1:7" x14ac:dyDescent="0.35">
      <c r="A1878">
        <v>2015</v>
      </c>
      <c r="B1878" s="1" t="s">
        <v>118</v>
      </c>
      <c r="C1878" s="1" t="s">
        <v>119</v>
      </c>
      <c r="D1878" s="1" t="s">
        <v>8</v>
      </c>
      <c r="E1878" s="1">
        <v>178740.45</v>
      </c>
      <c r="F1878" s="1">
        <v>1427291</v>
      </c>
      <c r="G1878">
        <v>0.12523055915016632</v>
      </c>
    </row>
    <row r="1879" spans="1:7" x14ac:dyDescent="0.35">
      <c r="A1879">
        <v>2015</v>
      </c>
      <c r="B1879" s="1" t="s">
        <v>118</v>
      </c>
      <c r="C1879" s="1" t="s">
        <v>119</v>
      </c>
      <c r="D1879" s="1" t="s">
        <v>9</v>
      </c>
      <c r="E1879" s="1">
        <v>99941.54</v>
      </c>
      <c r="F1879" s="1">
        <v>1427291</v>
      </c>
      <c r="G1879">
        <v>7.0021838573913794E-2</v>
      </c>
    </row>
    <row r="1880" spans="1:7" x14ac:dyDescent="0.35">
      <c r="A1880">
        <v>2015</v>
      </c>
      <c r="B1880" s="1" t="s">
        <v>120</v>
      </c>
      <c r="C1880" s="1" t="s">
        <v>121</v>
      </c>
      <c r="D1880" s="1" t="s">
        <v>7</v>
      </c>
      <c r="E1880" s="1">
        <v>321402.55</v>
      </c>
      <c r="F1880" s="1">
        <v>1276233</v>
      </c>
      <c r="G1880">
        <v>0.25183689028570799</v>
      </c>
    </row>
    <row r="1881" spans="1:7" x14ac:dyDescent="0.35">
      <c r="A1881">
        <v>2015</v>
      </c>
      <c r="B1881" s="1" t="s">
        <v>120</v>
      </c>
      <c r="C1881" s="1" t="s">
        <v>121</v>
      </c>
      <c r="D1881" s="1" t="s">
        <v>8</v>
      </c>
      <c r="E1881" s="1">
        <v>167072.5</v>
      </c>
      <c r="F1881" s="1">
        <v>1276233</v>
      </c>
      <c r="G1881">
        <v>0.13091065659640519</v>
      </c>
    </row>
    <row r="1882" spans="1:7" x14ac:dyDescent="0.35">
      <c r="A1882">
        <v>2015</v>
      </c>
      <c r="B1882" s="1" t="s">
        <v>120</v>
      </c>
      <c r="C1882" s="1" t="s">
        <v>121</v>
      </c>
      <c r="D1882" s="1" t="s">
        <v>9</v>
      </c>
      <c r="E1882" s="1">
        <v>89985.99</v>
      </c>
      <c r="F1882" s="1">
        <v>1276233</v>
      </c>
      <c r="G1882">
        <v>7.050906064958358E-2</v>
      </c>
    </row>
    <row r="1883" spans="1:7" x14ac:dyDescent="0.35">
      <c r="A1883">
        <v>2015</v>
      </c>
      <c r="B1883" s="1" t="s">
        <v>122</v>
      </c>
      <c r="C1883" s="1" t="s">
        <v>123</v>
      </c>
      <c r="D1883" s="1" t="s">
        <v>7</v>
      </c>
      <c r="E1883" s="1">
        <v>426522.34</v>
      </c>
      <c r="F1883" s="1">
        <v>1601569</v>
      </c>
      <c r="G1883">
        <v>0.26631530705202211</v>
      </c>
    </row>
    <row r="1884" spans="1:7" x14ac:dyDescent="0.35">
      <c r="A1884">
        <v>2015</v>
      </c>
      <c r="B1884" s="1" t="s">
        <v>122</v>
      </c>
      <c r="C1884" s="1" t="s">
        <v>123</v>
      </c>
      <c r="D1884" s="1" t="s">
        <v>8</v>
      </c>
      <c r="E1884" s="1">
        <v>135390.69</v>
      </c>
      <c r="F1884" s="1">
        <v>1601569</v>
      </c>
      <c r="G1884">
        <v>8.4536282857622741E-2</v>
      </c>
    </row>
    <row r="1885" spans="1:7" x14ac:dyDescent="0.35">
      <c r="A1885">
        <v>2015</v>
      </c>
      <c r="B1885" s="1" t="s">
        <v>122</v>
      </c>
      <c r="C1885" s="1" t="s">
        <v>123</v>
      </c>
      <c r="D1885" s="1" t="s">
        <v>9</v>
      </c>
      <c r="E1885" s="1">
        <v>18626.87</v>
      </c>
      <c r="F1885" s="1">
        <v>1601569</v>
      </c>
      <c r="G1885">
        <v>1.1630388700080983E-2</v>
      </c>
    </row>
    <row r="1886" spans="1:7" x14ac:dyDescent="0.35">
      <c r="A1886">
        <v>2015</v>
      </c>
      <c r="B1886" s="1" t="s">
        <v>124</v>
      </c>
      <c r="C1886" s="1" t="s">
        <v>125</v>
      </c>
      <c r="D1886" s="1" t="s">
        <v>7</v>
      </c>
      <c r="E1886" s="1">
        <v>485653.4</v>
      </c>
      <c r="F1886" s="1">
        <v>1592663</v>
      </c>
      <c r="G1886">
        <v>0.3049316773228235</v>
      </c>
    </row>
    <row r="1887" spans="1:7" x14ac:dyDescent="0.35">
      <c r="A1887">
        <v>2015</v>
      </c>
      <c r="B1887" s="1" t="s">
        <v>124</v>
      </c>
      <c r="C1887" s="1" t="s">
        <v>125</v>
      </c>
      <c r="D1887" s="1" t="s">
        <v>8</v>
      </c>
      <c r="E1887" s="1">
        <v>105158.86</v>
      </c>
      <c r="F1887" s="1">
        <v>1592663</v>
      </c>
      <c r="G1887">
        <v>6.6027062850081905E-2</v>
      </c>
    </row>
    <row r="1888" spans="1:7" x14ac:dyDescent="0.35">
      <c r="A1888">
        <v>2015</v>
      </c>
      <c r="B1888" s="1" t="s">
        <v>124</v>
      </c>
      <c r="C1888" s="1" t="s">
        <v>125</v>
      </c>
      <c r="D1888" s="1" t="s">
        <v>9</v>
      </c>
      <c r="E1888" s="1">
        <v>81613.25</v>
      </c>
      <c r="F1888" s="1">
        <v>1592663</v>
      </c>
      <c r="G1888">
        <v>5.1243263640832995E-2</v>
      </c>
    </row>
    <row r="1889" spans="1:7" x14ac:dyDescent="0.35">
      <c r="A1889">
        <v>2015</v>
      </c>
      <c r="B1889" s="1" t="s">
        <v>126</v>
      </c>
      <c r="C1889" s="1" t="s">
        <v>127</v>
      </c>
      <c r="D1889" s="1" t="s">
        <v>7</v>
      </c>
      <c r="E1889" s="1">
        <v>367559.11</v>
      </c>
      <c r="F1889" s="1">
        <v>1372389</v>
      </c>
      <c r="G1889">
        <v>0.2678242903433356</v>
      </c>
    </row>
    <row r="1890" spans="1:7" x14ac:dyDescent="0.35">
      <c r="A1890">
        <v>2015</v>
      </c>
      <c r="B1890" s="1" t="s">
        <v>126</v>
      </c>
      <c r="C1890" s="1" t="s">
        <v>127</v>
      </c>
      <c r="D1890" s="1" t="s">
        <v>8</v>
      </c>
      <c r="E1890" s="1">
        <v>120818</v>
      </c>
      <c r="F1890" s="1">
        <v>1372389</v>
      </c>
      <c r="G1890">
        <v>8.8034806457935766E-2</v>
      </c>
    </row>
    <row r="1891" spans="1:7" x14ac:dyDescent="0.35">
      <c r="A1891">
        <v>2015</v>
      </c>
      <c r="B1891" s="1" t="s">
        <v>126</v>
      </c>
      <c r="C1891" s="1" t="s">
        <v>127</v>
      </c>
      <c r="D1891" s="1" t="s">
        <v>9</v>
      </c>
      <c r="E1891" s="1">
        <v>47755.59</v>
      </c>
      <c r="F1891" s="1">
        <v>1372389</v>
      </c>
      <c r="G1891">
        <v>3.4797415310090653E-2</v>
      </c>
    </row>
    <row r="1892" spans="1:7" x14ac:dyDescent="0.35">
      <c r="A1892">
        <v>2015</v>
      </c>
      <c r="B1892" s="1" t="s">
        <v>128</v>
      </c>
      <c r="C1892" s="1" t="s">
        <v>129</v>
      </c>
      <c r="D1892" s="1" t="s">
        <v>7</v>
      </c>
      <c r="E1892" s="1">
        <v>345183.84</v>
      </c>
      <c r="F1892" s="1">
        <v>1215390</v>
      </c>
      <c r="G1892">
        <v>0.28401076197763681</v>
      </c>
    </row>
    <row r="1893" spans="1:7" x14ac:dyDescent="0.35">
      <c r="A1893">
        <v>2015</v>
      </c>
      <c r="B1893" s="1" t="s">
        <v>128</v>
      </c>
      <c r="C1893" s="1" t="s">
        <v>129</v>
      </c>
      <c r="D1893" s="1" t="s">
        <v>8</v>
      </c>
      <c r="E1893" s="1">
        <v>118424.25</v>
      </c>
      <c r="F1893" s="1">
        <v>1215390</v>
      </c>
      <c r="G1893">
        <v>9.7437242366647747E-2</v>
      </c>
    </row>
    <row r="1894" spans="1:7" x14ac:dyDescent="0.35">
      <c r="A1894">
        <v>2015</v>
      </c>
      <c r="B1894" s="1" t="s">
        <v>128</v>
      </c>
      <c r="C1894" s="1" t="s">
        <v>129</v>
      </c>
      <c r="D1894" s="1" t="s">
        <v>9</v>
      </c>
      <c r="E1894" s="1">
        <v>88236.33</v>
      </c>
      <c r="F1894" s="1">
        <v>1215390</v>
      </c>
      <c r="G1894">
        <v>7.2599190383333748E-2</v>
      </c>
    </row>
    <row r="1895" spans="1:7" x14ac:dyDescent="0.35">
      <c r="A1895">
        <v>2015</v>
      </c>
      <c r="B1895" s="1" t="s">
        <v>130</v>
      </c>
      <c r="C1895" s="1" t="s">
        <v>131</v>
      </c>
      <c r="D1895" s="1" t="s">
        <v>7</v>
      </c>
      <c r="E1895" s="1">
        <v>187552.43</v>
      </c>
      <c r="F1895" s="1">
        <v>693579</v>
      </c>
      <c r="G1895">
        <v>0.27041249807159673</v>
      </c>
    </row>
    <row r="1896" spans="1:7" x14ac:dyDescent="0.35">
      <c r="A1896">
        <v>2015</v>
      </c>
      <c r="B1896" s="1" t="s">
        <v>130</v>
      </c>
      <c r="C1896" s="1" t="s">
        <v>131</v>
      </c>
      <c r="D1896" s="1" t="s">
        <v>8</v>
      </c>
      <c r="E1896" s="1">
        <v>89066.76</v>
      </c>
      <c r="F1896" s="1">
        <v>693579</v>
      </c>
      <c r="G1896">
        <v>0.12841617176990652</v>
      </c>
    </row>
    <row r="1897" spans="1:7" x14ac:dyDescent="0.35">
      <c r="A1897">
        <v>2015</v>
      </c>
      <c r="B1897" s="1" t="s">
        <v>130</v>
      </c>
      <c r="C1897" s="1" t="s">
        <v>131</v>
      </c>
      <c r="D1897" s="1" t="s">
        <v>9</v>
      </c>
      <c r="E1897" s="1">
        <v>142863.26</v>
      </c>
      <c r="F1897" s="1">
        <v>693579</v>
      </c>
      <c r="G1897">
        <v>0.20597979465929622</v>
      </c>
    </row>
    <row r="1898" spans="1:7" x14ac:dyDescent="0.35">
      <c r="A1898">
        <v>2015</v>
      </c>
      <c r="B1898" s="1" t="s">
        <v>132</v>
      </c>
      <c r="C1898" s="1" t="s">
        <v>133</v>
      </c>
      <c r="D1898" s="1" t="s">
        <v>7</v>
      </c>
      <c r="E1898" s="1">
        <v>154420.99</v>
      </c>
      <c r="F1898" s="1">
        <v>601948</v>
      </c>
      <c r="G1898">
        <v>0.25653543163196818</v>
      </c>
    </row>
    <row r="1899" spans="1:7" x14ac:dyDescent="0.35">
      <c r="A1899">
        <v>2015</v>
      </c>
      <c r="B1899" s="1" t="s">
        <v>132</v>
      </c>
      <c r="C1899" s="1" t="s">
        <v>133</v>
      </c>
      <c r="D1899" s="1" t="s">
        <v>8</v>
      </c>
      <c r="E1899" s="1">
        <v>64090.81</v>
      </c>
      <c r="F1899" s="1">
        <v>601948</v>
      </c>
      <c r="G1899">
        <v>0.10647233648089204</v>
      </c>
    </row>
    <row r="1900" spans="1:7" x14ac:dyDescent="0.35">
      <c r="A1900">
        <v>2015</v>
      </c>
      <c r="B1900" s="1" t="s">
        <v>132</v>
      </c>
      <c r="C1900" s="1" t="s">
        <v>133</v>
      </c>
      <c r="D1900" s="1" t="s">
        <v>9</v>
      </c>
      <c r="E1900" s="1">
        <v>127873.05</v>
      </c>
      <c r="F1900" s="1">
        <v>601948</v>
      </c>
      <c r="G1900">
        <v>0.21243205393156883</v>
      </c>
    </row>
    <row r="1901" spans="1:7" x14ac:dyDescent="0.35">
      <c r="A1901">
        <v>2015</v>
      </c>
      <c r="B1901" s="1" t="s">
        <v>134</v>
      </c>
      <c r="C1901" s="1" t="s">
        <v>135</v>
      </c>
      <c r="D1901" s="1" t="s">
        <v>7</v>
      </c>
      <c r="E1901" s="1">
        <v>131113.49</v>
      </c>
      <c r="F1901" s="1">
        <v>499287</v>
      </c>
      <c r="G1901">
        <v>0.26260144966722543</v>
      </c>
    </row>
    <row r="1902" spans="1:7" x14ac:dyDescent="0.35">
      <c r="A1902">
        <v>2015</v>
      </c>
      <c r="B1902" s="1" t="s">
        <v>134</v>
      </c>
      <c r="C1902" s="1" t="s">
        <v>135</v>
      </c>
      <c r="D1902" s="1" t="s">
        <v>8</v>
      </c>
      <c r="E1902" s="1">
        <v>54294.32</v>
      </c>
      <c r="F1902" s="1">
        <v>499287</v>
      </c>
      <c r="G1902">
        <v>0.10874370852836145</v>
      </c>
    </row>
    <row r="1903" spans="1:7" x14ac:dyDescent="0.35">
      <c r="A1903">
        <v>2015</v>
      </c>
      <c r="B1903" s="1" t="s">
        <v>134</v>
      </c>
      <c r="C1903" s="1" t="s">
        <v>135</v>
      </c>
      <c r="D1903" s="1" t="s">
        <v>9</v>
      </c>
      <c r="E1903" s="1">
        <v>135304.4</v>
      </c>
      <c r="F1903" s="1">
        <v>499287</v>
      </c>
      <c r="G1903">
        <v>0.27099523921111501</v>
      </c>
    </row>
    <row r="1904" spans="1:7" x14ac:dyDescent="0.35">
      <c r="A1904">
        <v>2015</v>
      </c>
      <c r="B1904" s="1" t="s">
        <v>136</v>
      </c>
      <c r="C1904" s="1" t="s">
        <v>137</v>
      </c>
      <c r="D1904" s="1" t="s">
        <v>7</v>
      </c>
      <c r="E1904" s="1">
        <v>65198.98</v>
      </c>
      <c r="F1904" s="1">
        <v>286618</v>
      </c>
      <c r="G1904">
        <v>0.22747692050045706</v>
      </c>
    </row>
    <row r="1905" spans="1:7" x14ac:dyDescent="0.35">
      <c r="A1905">
        <v>2015</v>
      </c>
      <c r="B1905" s="1" t="s">
        <v>136</v>
      </c>
      <c r="C1905" s="1" t="s">
        <v>137</v>
      </c>
      <c r="D1905" s="1" t="s">
        <v>8</v>
      </c>
      <c r="E1905" s="1">
        <v>21893.96</v>
      </c>
      <c r="F1905" s="1">
        <v>286618</v>
      </c>
      <c r="G1905">
        <v>7.6387247137304701E-2</v>
      </c>
    </row>
    <row r="1906" spans="1:7" x14ac:dyDescent="0.35">
      <c r="A1906">
        <v>2015</v>
      </c>
      <c r="B1906" s="1" t="s">
        <v>136</v>
      </c>
      <c r="C1906" s="1" t="s">
        <v>137</v>
      </c>
      <c r="D1906" s="1" t="s">
        <v>9</v>
      </c>
      <c r="E1906" s="1">
        <v>71012.77</v>
      </c>
      <c r="F1906" s="1">
        <v>286618</v>
      </c>
      <c r="G1906">
        <v>0.24776102687200385</v>
      </c>
    </row>
    <row r="1907" spans="1:7" x14ac:dyDescent="0.35">
      <c r="A1907">
        <v>2015</v>
      </c>
      <c r="B1907" s="1" t="s">
        <v>138</v>
      </c>
      <c r="C1907" s="1" t="s">
        <v>139</v>
      </c>
      <c r="D1907" s="1" t="s">
        <v>7</v>
      </c>
      <c r="E1907" s="1">
        <v>342378.03</v>
      </c>
      <c r="F1907" s="1">
        <v>1257699</v>
      </c>
      <c r="G1907">
        <v>0.27222573127592536</v>
      </c>
    </row>
    <row r="1908" spans="1:7" x14ac:dyDescent="0.35">
      <c r="A1908">
        <v>2015</v>
      </c>
      <c r="B1908" s="1" t="s">
        <v>138</v>
      </c>
      <c r="C1908" s="1" t="s">
        <v>139</v>
      </c>
      <c r="D1908" s="1" t="s">
        <v>8</v>
      </c>
      <c r="E1908" s="1">
        <v>137903.84</v>
      </c>
      <c r="F1908" s="1">
        <v>1257699</v>
      </c>
      <c r="G1908">
        <v>0.10964772970321197</v>
      </c>
    </row>
    <row r="1909" spans="1:7" x14ac:dyDescent="0.35">
      <c r="A1909">
        <v>2015</v>
      </c>
      <c r="B1909" s="1" t="s">
        <v>138</v>
      </c>
      <c r="C1909" s="1" t="s">
        <v>139</v>
      </c>
      <c r="D1909" s="1" t="s">
        <v>9</v>
      </c>
      <c r="E1909" s="1">
        <v>240277.41</v>
      </c>
      <c r="F1909" s="1">
        <v>1257699</v>
      </c>
      <c r="G1909">
        <v>0.1910452421445831</v>
      </c>
    </row>
    <row r="1910" spans="1:7" x14ac:dyDescent="0.35">
      <c r="A1910">
        <v>2015</v>
      </c>
      <c r="B1910" s="1" t="s">
        <v>140</v>
      </c>
      <c r="C1910" s="1" t="s">
        <v>141</v>
      </c>
      <c r="D1910" s="1" t="s">
        <v>7</v>
      </c>
      <c r="E1910" s="1">
        <v>73169.94</v>
      </c>
      <c r="F1910" s="1">
        <v>353613</v>
      </c>
      <c r="G1910">
        <v>0.20692095596032953</v>
      </c>
    </row>
    <row r="1911" spans="1:7" x14ac:dyDescent="0.35">
      <c r="A1911">
        <v>2015</v>
      </c>
      <c r="B1911" s="1" t="s">
        <v>140</v>
      </c>
      <c r="C1911" s="1" t="s">
        <v>141</v>
      </c>
      <c r="D1911" s="1" t="s">
        <v>8</v>
      </c>
      <c r="E1911" s="1">
        <v>34324.410000000003</v>
      </c>
      <c r="F1911" s="1">
        <v>353613</v>
      </c>
      <c r="G1911">
        <v>9.7067726582450317E-2</v>
      </c>
    </row>
    <row r="1912" spans="1:7" x14ac:dyDescent="0.35">
      <c r="A1912">
        <v>2015</v>
      </c>
      <c r="B1912" s="1" t="s">
        <v>140</v>
      </c>
      <c r="C1912" s="1" t="s">
        <v>141</v>
      </c>
      <c r="D1912" s="1" t="s">
        <v>9</v>
      </c>
      <c r="E1912" s="1">
        <v>73453.11</v>
      </c>
      <c r="F1912" s="1">
        <v>353613</v>
      </c>
      <c r="G1912">
        <v>0.20772174665524176</v>
      </c>
    </row>
    <row r="1913" spans="1:7" x14ac:dyDescent="0.35">
      <c r="A1913">
        <v>2015</v>
      </c>
      <c r="B1913" s="1" t="s">
        <v>200</v>
      </c>
      <c r="C1913" s="1" t="s">
        <v>201</v>
      </c>
      <c r="D1913" s="1" t="s">
        <v>7</v>
      </c>
      <c r="E1913" s="1">
        <v>59452.2</v>
      </c>
      <c r="F1913" s="1">
        <v>161799</v>
      </c>
      <c r="G1913">
        <v>0.3674447926130569</v>
      </c>
    </row>
    <row r="1914" spans="1:7" x14ac:dyDescent="0.35">
      <c r="A1914">
        <v>2015</v>
      </c>
      <c r="B1914" s="1" t="s">
        <v>200</v>
      </c>
      <c r="C1914" s="1" t="s">
        <v>201</v>
      </c>
      <c r="D1914" s="1" t="s">
        <v>8</v>
      </c>
      <c r="E1914" s="1">
        <v>10263.4</v>
      </c>
      <c r="F1914" s="1">
        <v>161799</v>
      </c>
      <c r="G1914">
        <v>6.3433024925988415E-2</v>
      </c>
    </row>
    <row r="1915" spans="1:7" x14ac:dyDescent="0.35">
      <c r="A1915">
        <v>2015</v>
      </c>
      <c r="B1915" s="1" t="s">
        <v>200</v>
      </c>
      <c r="C1915" s="1" t="s">
        <v>201</v>
      </c>
      <c r="D1915" s="1" t="s">
        <v>9</v>
      </c>
      <c r="E1915" s="1">
        <v>33509.230000000003</v>
      </c>
      <c r="F1915" s="1">
        <v>161799</v>
      </c>
      <c r="G1915">
        <v>0.2071040612117504</v>
      </c>
    </row>
    <row r="1916" spans="1:7" x14ac:dyDescent="0.35">
      <c r="A1916">
        <v>2015</v>
      </c>
      <c r="B1916" s="1" t="s">
        <v>202</v>
      </c>
      <c r="C1916" s="1" t="s">
        <v>203</v>
      </c>
      <c r="D1916" s="1" t="s">
        <v>7</v>
      </c>
      <c r="E1916" s="1">
        <v>46329.96</v>
      </c>
      <c r="F1916" s="1">
        <v>140916</v>
      </c>
      <c r="G1916">
        <v>0.32877714383036705</v>
      </c>
    </row>
    <row r="1917" spans="1:7" x14ac:dyDescent="0.35">
      <c r="A1917">
        <v>2015</v>
      </c>
      <c r="B1917" s="1" t="s">
        <v>202</v>
      </c>
      <c r="C1917" s="1" t="s">
        <v>203</v>
      </c>
      <c r="D1917" s="1" t="s">
        <v>8</v>
      </c>
      <c r="E1917" s="1">
        <v>13493.34</v>
      </c>
      <c r="F1917" s="1">
        <v>140916</v>
      </c>
      <c r="G1917">
        <v>9.5754492037809766E-2</v>
      </c>
    </row>
    <row r="1918" spans="1:7" x14ac:dyDescent="0.35">
      <c r="A1918">
        <v>2015</v>
      </c>
      <c r="B1918" s="1" t="s">
        <v>202</v>
      </c>
      <c r="C1918" s="1" t="s">
        <v>203</v>
      </c>
      <c r="D1918" s="1" t="s">
        <v>9</v>
      </c>
      <c r="E1918" s="1">
        <v>31020.07</v>
      </c>
      <c r="F1918" s="1">
        <v>140916</v>
      </c>
      <c r="G1918">
        <v>0.22013163870674729</v>
      </c>
    </row>
    <row r="1919" spans="1:7" x14ac:dyDescent="0.35">
      <c r="A1919">
        <v>2015</v>
      </c>
      <c r="B1919" s="1" t="s">
        <v>142</v>
      </c>
      <c r="C1919" s="1" t="s">
        <v>143</v>
      </c>
      <c r="D1919" s="1" t="s">
        <v>7</v>
      </c>
      <c r="E1919" s="1">
        <v>175782.39999999999</v>
      </c>
      <c r="F1919" s="1">
        <v>639938</v>
      </c>
      <c r="G1919">
        <v>0.27468661026536945</v>
      </c>
    </row>
    <row r="1920" spans="1:7" x14ac:dyDescent="0.35">
      <c r="A1920">
        <v>2015</v>
      </c>
      <c r="B1920" s="1" t="s">
        <v>142</v>
      </c>
      <c r="C1920" s="1" t="s">
        <v>143</v>
      </c>
      <c r="D1920" s="1" t="s">
        <v>8</v>
      </c>
      <c r="E1920" s="1">
        <v>77905.47</v>
      </c>
      <c r="F1920" s="1">
        <v>639938</v>
      </c>
      <c r="G1920">
        <v>0.1217390903493776</v>
      </c>
    </row>
    <row r="1921" spans="1:7" x14ac:dyDescent="0.35">
      <c r="A1921">
        <v>2015</v>
      </c>
      <c r="B1921" s="1" t="s">
        <v>142</v>
      </c>
      <c r="C1921" s="1" t="s">
        <v>143</v>
      </c>
      <c r="D1921" s="1" t="s">
        <v>9</v>
      </c>
      <c r="E1921" s="1">
        <v>154998.32</v>
      </c>
      <c r="F1921" s="1">
        <v>639938</v>
      </c>
      <c r="G1921">
        <v>0.24220833893283414</v>
      </c>
    </row>
    <row r="1922" spans="1:7" x14ac:dyDescent="0.35">
      <c r="A1922">
        <v>2015</v>
      </c>
      <c r="B1922" s="1" t="s">
        <v>204</v>
      </c>
      <c r="C1922" s="1" t="s">
        <v>205</v>
      </c>
      <c r="D1922" s="1" t="s">
        <v>7</v>
      </c>
      <c r="E1922" s="1">
        <v>452008.04</v>
      </c>
      <c r="F1922" s="1">
        <v>1082440</v>
      </c>
      <c r="G1922">
        <v>0.41758253575255899</v>
      </c>
    </row>
    <row r="1923" spans="1:7" x14ac:dyDescent="0.35">
      <c r="A1923">
        <v>2015</v>
      </c>
      <c r="B1923" s="1" t="s">
        <v>204</v>
      </c>
      <c r="C1923" s="1" t="s">
        <v>205</v>
      </c>
      <c r="D1923" s="1" t="s">
        <v>8</v>
      </c>
      <c r="E1923" s="1">
        <v>117647.78</v>
      </c>
      <c r="F1923" s="1">
        <v>1082440</v>
      </c>
      <c r="G1923">
        <v>0.10868757621669561</v>
      </c>
    </row>
    <row r="1924" spans="1:7" x14ac:dyDescent="0.35">
      <c r="A1924">
        <v>2015</v>
      </c>
      <c r="B1924" s="1" t="s">
        <v>204</v>
      </c>
      <c r="C1924" s="1" t="s">
        <v>205</v>
      </c>
      <c r="D1924" s="1" t="s">
        <v>9</v>
      </c>
      <c r="E1924" s="1">
        <v>185568.92</v>
      </c>
      <c r="F1924" s="1">
        <v>1082440</v>
      </c>
      <c r="G1924">
        <v>0.17143575625438826</v>
      </c>
    </row>
    <row r="1925" spans="1:7" x14ac:dyDescent="0.35">
      <c r="A1925">
        <v>2015</v>
      </c>
      <c r="B1925" s="1" t="s">
        <v>144</v>
      </c>
      <c r="C1925" s="1" t="s">
        <v>145</v>
      </c>
      <c r="D1925" s="1" t="s">
        <v>7</v>
      </c>
      <c r="E1925" s="1">
        <v>56804.53</v>
      </c>
      <c r="F1925" s="1">
        <v>241871</v>
      </c>
      <c r="G1925">
        <v>0.23485465392709337</v>
      </c>
    </row>
    <row r="1926" spans="1:7" x14ac:dyDescent="0.35">
      <c r="A1926">
        <v>2015</v>
      </c>
      <c r="B1926" s="1" t="s">
        <v>144</v>
      </c>
      <c r="C1926" s="1" t="s">
        <v>145</v>
      </c>
      <c r="D1926" s="1" t="s">
        <v>8</v>
      </c>
      <c r="E1926" s="1">
        <v>19818.68</v>
      </c>
      <c r="F1926" s="1">
        <v>241871</v>
      </c>
      <c r="G1926">
        <v>8.1939050154834603E-2</v>
      </c>
    </row>
    <row r="1927" spans="1:7" x14ac:dyDescent="0.35">
      <c r="A1927">
        <v>2015</v>
      </c>
      <c r="B1927" s="1" t="s">
        <v>144</v>
      </c>
      <c r="C1927" s="1" t="s">
        <v>145</v>
      </c>
      <c r="D1927" s="1" t="s">
        <v>9</v>
      </c>
      <c r="E1927" s="1">
        <v>42406.47</v>
      </c>
      <c r="F1927" s="1">
        <v>241871</v>
      </c>
      <c r="G1927">
        <v>0.17532680643814266</v>
      </c>
    </row>
    <row r="1928" spans="1:7" x14ac:dyDescent="0.35">
      <c r="A1928">
        <v>2015</v>
      </c>
      <c r="B1928" s="1" t="s">
        <v>164</v>
      </c>
      <c r="C1928" s="1" t="s">
        <v>165</v>
      </c>
      <c r="D1928" s="1" t="s">
        <v>7</v>
      </c>
      <c r="E1928" s="1">
        <v>45542.79</v>
      </c>
      <c r="F1928" s="1">
        <v>152499</v>
      </c>
      <c r="G1928">
        <v>0.29864320421773261</v>
      </c>
    </row>
    <row r="1929" spans="1:7" x14ac:dyDescent="0.35">
      <c r="A1929">
        <v>2015</v>
      </c>
      <c r="B1929" s="1" t="s">
        <v>164</v>
      </c>
      <c r="C1929" s="1" t="s">
        <v>165</v>
      </c>
      <c r="D1929" s="1" t="s">
        <v>8</v>
      </c>
      <c r="E1929" s="1">
        <v>20766.71</v>
      </c>
      <c r="F1929" s="1">
        <v>152499</v>
      </c>
      <c r="G1929">
        <v>0.13617604049862622</v>
      </c>
    </row>
    <row r="1930" spans="1:7" x14ac:dyDescent="0.35">
      <c r="A1930">
        <v>2015</v>
      </c>
      <c r="B1930" s="1" t="s">
        <v>164</v>
      </c>
      <c r="C1930" s="1" t="s">
        <v>165</v>
      </c>
      <c r="D1930" s="1" t="s">
        <v>9</v>
      </c>
      <c r="E1930" s="1">
        <v>32551.11</v>
      </c>
      <c r="F1930" s="1">
        <v>152499</v>
      </c>
      <c r="G1930">
        <v>0.21345130132000867</v>
      </c>
    </row>
    <row r="1931" spans="1:7" x14ac:dyDescent="0.35">
      <c r="A1931">
        <v>2015</v>
      </c>
      <c r="B1931" s="1" t="s">
        <v>166</v>
      </c>
      <c r="C1931" s="1" t="s">
        <v>167</v>
      </c>
      <c r="D1931" s="1" t="s">
        <v>7</v>
      </c>
      <c r="E1931" s="1">
        <v>124541.75</v>
      </c>
      <c r="F1931" s="1">
        <v>366957</v>
      </c>
      <c r="G1931">
        <v>0.33939058254781895</v>
      </c>
    </row>
    <row r="1932" spans="1:7" x14ac:dyDescent="0.35">
      <c r="A1932">
        <v>2015</v>
      </c>
      <c r="B1932" s="1" t="s">
        <v>166</v>
      </c>
      <c r="C1932" s="1" t="s">
        <v>167</v>
      </c>
      <c r="D1932" s="1" t="s">
        <v>8</v>
      </c>
      <c r="E1932" s="1">
        <v>32788.53</v>
      </c>
      <c r="F1932" s="1">
        <v>366957</v>
      </c>
      <c r="G1932">
        <v>8.9352512692222788E-2</v>
      </c>
    </row>
    <row r="1933" spans="1:7" x14ac:dyDescent="0.35">
      <c r="A1933">
        <v>2015</v>
      </c>
      <c r="B1933" s="1" t="s">
        <v>166</v>
      </c>
      <c r="C1933" s="1" t="s">
        <v>167</v>
      </c>
      <c r="D1933" s="1" t="s">
        <v>9</v>
      </c>
      <c r="E1933" s="1">
        <v>65150.11</v>
      </c>
      <c r="F1933" s="1">
        <v>366957</v>
      </c>
      <c r="G1933">
        <v>0.17754153756434679</v>
      </c>
    </row>
    <row r="1934" spans="1:7" x14ac:dyDescent="0.35">
      <c r="A1934">
        <v>2015</v>
      </c>
      <c r="B1934" s="1" t="s">
        <v>146</v>
      </c>
      <c r="C1934" s="1" t="s">
        <v>147</v>
      </c>
      <c r="D1934" s="1" t="s">
        <v>7</v>
      </c>
      <c r="E1934" s="1">
        <v>28005.02</v>
      </c>
      <c r="F1934" s="1">
        <v>120365</v>
      </c>
      <c r="G1934">
        <v>0.23266746977942093</v>
      </c>
    </row>
    <row r="1935" spans="1:7" x14ac:dyDescent="0.35">
      <c r="A1935">
        <v>2015</v>
      </c>
      <c r="B1935" s="1" t="s">
        <v>146</v>
      </c>
      <c r="C1935" s="1" t="s">
        <v>147</v>
      </c>
      <c r="D1935" s="1" t="s">
        <v>8</v>
      </c>
      <c r="E1935" s="1">
        <v>11297.48</v>
      </c>
      <c r="F1935" s="1">
        <v>120365</v>
      </c>
      <c r="G1935">
        <v>9.3860175300128773E-2</v>
      </c>
    </row>
    <row r="1936" spans="1:7" x14ac:dyDescent="0.35">
      <c r="A1936">
        <v>2015</v>
      </c>
      <c r="B1936" s="1" t="s">
        <v>146</v>
      </c>
      <c r="C1936" s="1" t="s">
        <v>147</v>
      </c>
      <c r="D1936" s="1" t="s">
        <v>9</v>
      </c>
      <c r="E1936" s="1">
        <v>17535.45</v>
      </c>
      <c r="F1936" s="1">
        <v>120365</v>
      </c>
      <c r="G1936">
        <v>0.14568562289702155</v>
      </c>
    </row>
    <row r="1937" spans="1:7" x14ac:dyDescent="0.35">
      <c r="A1937">
        <v>2015</v>
      </c>
      <c r="B1937" s="1" t="s">
        <v>168</v>
      </c>
      <c r="C1937" s="1" t="s">
        <v>169</v>
      </c>
      <c r="D1937" s="1" t="s">
        <v>7</v>
      </c>
      <c r="E1937" s="1">
        <v>63029.47</v>
      </c>
      <c r="F1937" s="1">
        <v>279169</v>
      </c>
      <c r="G1937">
        <v>0.22577531889285701</v>
      </c>
    </row>
    <row r="1938" spans="1:7" x14ac:dyDescent="0.35">
      <c r="A1938">
        <v>2015</v>
      </c>
      <c r="B1938" s="1" t="s">
        <v>168</v>
      </c>
      <c r="C1938" s="1" t="s">
        <v>169</v>
      </c>
      <c r="D1938" s="1" t="s">
        <v>8</v>
      </c>
      <c r="E1938" s="1">
        <v>25481.95</v>
      </c>
      <c r="F1938" s="1">
        <v>279169</v>
      </c>
      <c r="G1938">
        <v>9.127786394621179E-2</v>
      </c>
    </row>
    <row r="1939" spans="1:7" x14ac:dyDescent="0.35">
      <c r="A1939">
        <v>2015</v>
      </c>
      <c r="B1939" s="1" t="s">
        <v>168</v>
      </c>
      <c r="C1939" s="1" t="s">
        <v>169</v>
      </c>
      <c r="D1939" s="1" t="s">
        <v>9</v>
      </c>
      <c r="E1939" s="1">
        <v>42946.83</v>
      </c>
      <c r="F1939" s="1">
        <v>279169</v>
      </c>
      <c r="G1939">
        <v>0.1538381052337473</v>
      </c>
    </row>
    <row r="1940" spans="1:7" x14ac:dyDescent="0.35">
      <c r="A1940">
        <v>2015</v>
      </c>
      <c r="B1940" s="1" t="s">
        <v>206</v>
      </c>
      <c r="C1940" s="1" t="s">
        <v>207</v>
      </c>
      <c r="D1940" s="1" t="s">
        <v>7</v>
      </c>
      <c r="E1940" s="1">
        <v>760504.6</v>
      </c>
      <c r="F1940" s="1">
        <v>2016622</v>
      </c>
      <c r="G1940">
        <v>0.37711807170605099</v>
      </c>
    </row>
    <row r="1941" spans="1:7" x14ac:dyDescent="0.35">
      <c r="A1941">
        <v>2015</v>
      </c>
      <c r="B1941" s="1" t="s">
        <v>206</v>
      </c>
      <c r="C1941" s="1" t="s">
        <v>207</v>
      </c>
      <c r="D1941" s="1" t="s">
        <v>8</v>
      </c>
      <c r="E1941" s="1">
        <v>106037.54</v>
      </c>
      <c r="F1941" s="1">
        <v>2016622</v>
      </c>
      <c r="G1941">
        <v>5.2581762967973171E-2</v>
      </c>
    </row>
    <row r="1942" spans="1:7" x14ac:dyDescent="0.35">
      <c r="A1942">
        <v>2015</v>
      </c>
      <c r="B1942" s="1" t="s">
        <v>206</v>
      </c>
      <c r="C1942" s="1" t="s">
        <v>207</v>
      </c>
      <c r="D1942" s="1" t="s">
        <v>9</v>
      </c>
      <c r="E1942" s="1">
        <v>254830.84</v>
      </c>
      <c r="F1942" s="1">
        <v>2016622</v>
      </c>
      <c r="G1942">
        <v>0.12636519883250308</v>
      </c>
    </row>
    <row r="1943" spans="1:7" x14ac:dyDescent="0.35">
      <c r="A1943">
        <v>2015</v>
      </c>
      <c r="B1943" s="1" t="s">
        <v>148</v>
      </c>
      <c r="C1943" s="1" t="s">
        <v>149</v>
      </c>
      <c r="D1943" s="1" t="s">
        <v>7</v>
      </c>
      <c r="E1943" s="1">
        <v>97068.56</v>
      </c>
      <c r="F1943" s="1">
        <v>415417</v>
      </c>
      <c r="G1943">
        <v>0.2336653531270988</v>
      </c>
    </row>
    <row r="1944" spans="1:7" x14ac:dyDescent="0.35">
      <c r="A1944">
        <v>2015</v>
      </c>
      <c r="B1944" s="1" t="s">
        <v>148</v>
      </c>
      <c r="C1944" s="1" t="s">
        <v>149</v>
      </c>
      <c r="D1944" s="1" t="s">
        <v>8</v>
      </c>
      <c r="E1944" s="1">
        <v>43907.97</v>
      </c>
      <c r="F1944" s="1">
        <v>415417</v>
      </c>
      <c r="G1944">
        <v>0.10569613183861036</v>
      </c>
    </row>
    <row r="1945" spans="1:7" x14ac:dyDescent="0.35">
      <c r="A1945">
        <v>2015</v>
      </c>
      <c r="B1945" s="1" t="s">
        <v>148</v>
      </c>
      <c r="C1945" s="1" t="s">
        <v>149</v>
      </c>
      <c r="D1945" s="1" t="s">
        <v>9</v>
      </c>
      <c r="E1945" s="1">
        <v>69283.100000000006</v>
      </c>
      <c r="F1945" s="1">
        <v>415417</v>
      </c>
      <c r="G1945">
        <v>0.16677964551282207</v>
      </c>
    </row>
    <row r="1946" spans="1:7" x14ac:dyDescent="0.35">
      <c r="A1946">
        <v>2015</v>
      </c>
      <c r="B1946" s="1" t="s">
        <v>150</v>
      </c>
      <c r="C1946" s="1" t="s">
        <v>151</v>
      </c>
      <c r="D1946" s="1" t="s">
        <v>7</v>
      </c>
      <c r="E1946" s="1">
        <v>377077.97</v>
      </c>
      <c r="F1946" s="1">
        <v>1548478</v>
      </c>
      <c r="G1946">
        <v>0.24351522591861169</v>
      </c>
    </row>
    <row r="1947" spans="1:7" x14ac:dyDescent="0.35">
      <c r="A1947">
        <v>2015</v>
      </c>
      <c r="B1947" s="1" t="s">
        <v>150</v>
      </c>
      <c r="C1947" s="1" t="s">
        <v>151</v>
      </c>
      <c r="D1947" s="1" t="s">
        <v>8</v>
      </c>
      <c r="E1947" s="1">
        <v>152376.81</v>
      </c>
      <c r="F1947" s="1">
        <v>1548478</v>
      </c>
      <c r="G1947">
        <v>9.8404245975725835E-2</v>
      </c>
    </row>
    <row r="1948" spans="1:7" x14ac:dyDescent="0.35">
      <c r="A1948">
        <v>2015</v>
      </c>
      <c r="B1948" s="1" t="s">
        <v>150</v>
      </c>
      <c r="C1948" s="1" t="s">
        <v>151</v>
      </c>
      <c r="D1948" s="1" t="s">
        <v>9</v>
      </c>
      <c r="E1948" s="1">
        <v>280471.78999999998</v>
      </c>
      <c r="F1948" s="1">
        <v>1548478</v>
      </c>
      <c r="G1948">
        <v>0.18112739735404698</v>
      </c>
    </row>
    <row r="1949" spans="1:7" x14ac:dyDescent="0.35">
      <c r="A1949">
        <v>2015</v>
      </c>
      <c r="B1949" s="1" t="s">
        <v>152</v>
      </c>
      <c r="C1949" s="1" t="s">
        <v>153</v>
      </c>
      <c r="D1949" s="1" t="s">
        <v>7</v>
      </c>
      <c r="E1949" s="1">
        <v>130013.52</v>
      </c>
      <c r="F1949" s="1">
        <v>403234</v>
      </c>
      <c r="G1949">
        <v>0.32242697788380942</v>
      </c>
    </row>
    <row r="1950" spans="1:7" x14ac:dyDescent="0.35">
      <c r="A1950">
        <v>2015</v>
      </c>
      <c r="B1950" s="1" t="s">
        <v>152</v>
      </c>
      <c r="C1950" s="1" t="s">
        <v>153</v>
      </c>
      <c r="D1950" s="1" t="s">
        <v>8</v>
      </c>
      <c r="E1950" s="1">
        <v>33751.980000000003</v>
      </c>
      <c r="F1950" s="1">
        <v>403234</v>
      </c>
      <c r="G1950">
        <v>8.3703209550781935E-2</v>
      </c>
    </row>
    <row r="1951" spans="1:7" x14ac:dyDescent="0.35">
      <c r="A1951">
        <v>2015</v>
      </c>
      <c r="B1951" s="1" t="s">
        <v>152</v>
      </c>
      <c r="C1951" s="1" t="s">
        <v>153</v>
      </c>
      <c r="D1951" s="1" t="s">
        <v>9</v>
      </c>
      <c r="E1951" s="1">
        <v>156834.87</v>
      </c>
      <c r="F1951" s="1">
        <v>403234</v>
      </c>
      <c r="G1951">
        <v>0.3889425742868905</v>
      </c>
    </row>
    <row r="1952" spans="1:7" x14ac:dyDescent="0.35">
      <c r="A1952">
        <v>2015</v>
      </c>
      <c r="B1952" s="1" t="s">
        <v>154</v>
      </c>
      <c r="C1952" s="1" t="s">
        <v>155</v>
      </c>
      <c r="D1952" s="1" t="s">
        <v>7</v>
      </c>
      <c r="E1952" s="1">
        <v>87166.01</v>
      </c>
      <c r="F1952" s="1">
        <v>333417</v>
      </c>
      <c r="G1952">
        <v>0.26143241046497329</v>
      </c>
    </row>
    <row r="1953" spans="1:7" x14ac:dyDescent="0.35">
      <c r="A1953">
        <v>2015</v>
      </c>
      <c r="B1953" s="1" t="s">
        <v>154</v>
      </c>
      <c r="C1953" s="1" t="s">
        <v>155</v>
      </c>
      <c r="D1953" s="1" t="s">
        <v>8</v>
      </c>
      <c r="E1953" s="1">
        <v>30911.21</v>
      </c>
      <c r="F1953" s="1">
        <v>333417</v>
      </c>
      <c r="G1953">
        <v>9.2710359699715375E-2</v>
      </c>
    </row>
    <row r="1954" spans="1:7" x14ac:dyDescent="0.35">
      <c r="A1954">
        <v>2015</v>
      </c>
      <c r="B1954" s="1" t="s">
        <v>154</v>
      </c>
      <c r="C1954" s="1" t="s">
        <v>155</v>
      </c>
      <c r="D1954" s="1" t="s">
        <v>9</v>
      </c>
      <c r="E1954" s="1">
        <v>59359.97</v>
      </c>
      <c r="F1954" s="1">
        <v>333417</v>
      </c>
      <c r="G1954">
        <v>0.17803522315898709</v>
      </c>
    </row>
    <row r="1955" spans="1:7" x14ac:dyDescent="0.35">
      <c r="A1955">
        <v>2015</v>
      </c>
      <c r="B1955" s="1" t="s">
        <v>156</v>
      </c>
      <c r="C1955" s="1" t="s">
        <v>157</v>
      </c>
      <c r="D1955" s="1" t="s">
        <v>7</v>
      </c>
      <c r="E1955" s="1">
        <v>171100.39</v>
      </c>
      <c r="F1955" s="1">
        <v>670032</v>
      </c>
      <c r="G1955">
        <v>0.25536152004680374</v>
      </c>
    </row>
    <row r="1956" spans="1:7" x14ac:dyDescent="0.35">
      <c r="A1956">
        <v>2015</v>
      </c>
      <c r="B1956" s="1" t="s">
        <v>156</v>
      </c>
      <c r="C1956" s="1" t="s">
        <v>157</v>
      </c>
      <c r="D1956" s="1" t="s">
        <v>8</v>
      </c>
      <c r="E1956" s="1">
        <v>70680.42</v>
      </c>
      <c r="F1956" s="1">
        <v>670032</v>
      </c>
      <c r="G1956">
        <v>0.1054881259402536</v>
      </c>
    </row>
    <row r="1957" spans="1:7" x14ac:dyDescent="0.35">
      <c r="A1957">
        <v>2015</v>
      </c>
      <c r="B1957" s="1" t="s">
        <v>156</v>
      </c>
      <c r="C1957" s="1" t="s">
        <v>157</v>
      </c>
      <c r="D1957" s="1" t="s">
        <v>9</v>
      </c>
      <c r="E1957" s="1">
        <v>122491.9</v>
      </c>
      <c r="F1957" s="1">
        <v>670032</v>
      </c>
      <c r="G1957">
        <v>0.18281499988060271</v>
      </c>
    </row>
    <row r="1958" spans="1:7" x14ac:dyDescent="0.35">
      <c r="A1958">
        <v>2015</v>
      </c>
      <c r="B1958" s="1" t="s">
        <v>158</v>
      </c>
      <c r="C1958" s="1" t="s">
        <v>159</v>
      </c>
      <c r="D1958" s="1" t="s">
        <v>7</v>
      </c>
      <c r="E1958" s="1">
        <v>72578.78</v>
      </c>
      <c r="F1958" s="1">
        <v>374435</v>
      </c>
      <c r="G1958">
        <v>0.19383545875786184</v>
      </c>
    </row>
    <row r="1959" spans="1:7" x14ac:dyDescent="0.35">
      <c r="A1959">
        <v>2015</v>
      </c>
      <c r="B1959" s="1" t="s">
        <v>158</v>
      </c>
      <c r="C1959" s="1" t="s">
        <v>159</v>
      </c>
      <c r="D1959" s="1" t="s">
        <v>8</v>
      </c>
      <c r="E1959" s="1">
        <v>38751.21</v>
      </c>
      <c r="F1959" s="1">
        <v>374435</v>
      </c>
      <c r="G1959">
        <v>0.10349248868294897</v>
      </c>
    </row>
    <row r="1960" spans="1:7" x14ac:dyDescent="0.35">
      <c r="A1960">
        <v>2015</v>
      </c>
      <c r="B1960" s="1" t="s">
        <v>158</v>
      </c>
      <c r="C1960" s="1" t="s">
        <v>159</v>
      </c>
      <c r="D1960" s="1" t="s">
        <v>9</v>
      </c>
      <c r="E1960" s="1">
        <v>79883.44</v>
      </c>
      <c r="F1960" s="1">
        <v>374435</v>
      </c>
      <c r="G1960">
        <v>0.21334394487694794</v>
      </c>
    </row>
    <row r="1961" spans="1:7" x14ac:dyDescent="0.35">
      <c r="A1961">
        <v>2015</v>
      </c>
      <c r="B1961" s="1" t="s">
        <v>170</v>
      </c>
      <c r="C1961" s="1" t="s">
        <v>171</v>
      </c>
      <c r="D1961" s="1" t="s">
        <v>7</v>
      </c>
      <c r="E1961" s="1">
        <v>214672.93</v>
      </c>
      <c r="F1961" s="1">
        <v>738189</v>
      </c>
      <c r="G1961">
        <v>0.29081025320073856</v>
      </c>
    </row>
    <row r="1962" spans="1:7" x14ac:dyDescent="0.35">
      <c r="A1962">
        <v>2015</v>
      </c>
      <c r="B1962" s="1" t="s">
        <v>170</v>
      </c>
      <c r="C1962" s="1" t="s">
        <v>171</v>
      </c>
      <c r="D1962" s="1" t="s">
        <v>8</v>
      </c>
      <c r="E1962" s="1">
        <v>59075.57</v>
      </c>
      <c r="F1962" s="1">
        <v>738189</v>
      </c>
      <c r="G1962">
        <v>8.0027702932446834E-2</v>
      </c>
    </row>
    <row r="1963" spans="1:7" x14ac:dyDescent="0.35">
      <c r="A1963">
        <v>2015</v>
      </c>
      <c r="B1963" s="1" t="s">
        <v>170</v>
      </c>
      <c r="C1963" s="1" t="s">
        <v>171</v>
      </c>
      <c r="D1963" s="1" t="s">
        <v>9</v>
      </c>
      <c r="E1963" s="1">
        <v>155699.73000000001</v>
      </c>
      <c r="F1963" s="1">
        <v>738189</v>
      </c>
      <c r="G1963">
        <v>0.21092122749052072</v>
      </c>
    </row>
    <row r="1964" spans="1:7" x14ac:dyDescent="0.35">
      <c r="A1964">
        <v>2015</v>
      </c>
      <c r="B1964" s="1" t="s">
        <v>172</v>
      </c>
      <c r="C1964" s="1" t="s">
        <v>173</v>
      </c>
      <c r="D1964" s="1" t="s">
        <v>7</v>
      </c>
      <c r="E1964" s="1">
        <v>347505.45</v>
      </c>
      <c r="F1964" s="1">
        <v>1335103</v>
      </c>
      <c r="G1964">
        <v>0.26028362605731542</v>
      </c>
    </row>
    <row r="1965" spans="1:7" x14ac:dyDescent="0.35">
      <c r="A1965">
        <v>2015</v>
      </c>
      <c r="B1965" s="1" t="s">
        <v>172</v>
      </c>
      <c r="C1965" s="1" t="s">
        <v>173</v>
      </c>
      <c r="D1965" s="1" t="s">
        <v>8</v>
      </c>
      <c r="E1965" s="1">
        <v>144083.99</v>
      </c>
      <c r="F1965" s="1">
        <v>1335103</v>
      </c>
      <c r="G1965">
        <v>0.10791975600384389</v>
      </c>
    </row>
    <row r="1966" spans="1:7" x14ac:dyDescent="0.35">
      <c r="A1966">
        <v>2015</v>
      </c>
      <c r="B1966" s="1" t="s">
        <v>172</v>
      </c>
      <c r="C1966" s="1" t="s">
        <v>173</v>
      </c>
      <c r="D1966" s="1" t="s">
        <v>9</v>
      </c>
      <c r="E1966" s="1">
        <v>145189.22</v>
      </c>
      <c r="F1966" s="1">
        <v>1335103</v>
      </c>
      <c r="G1966">
        <v>0.10874757977474397</v>
      </c>
    </row>
    <row r="1967" spans="1:7" x14ac:dyDescent="0.35">
      <c r="A1967">
        <v>2015</v>
      </c>
      <c r="B1967" s="1" t="s">
        <v>160</v>
      </c>
      <c r="C1967" s="1" t="s">
        <v>161</v>
      </c>
      <c r="D1967" s="1" t="s">
        <v>7</v>
      </c>
      <c r="E1967" s="1">
        <v>91307.57</v>
      </c>
      <c r="F1967" s="1">
        <v>434887</v>
      </c>
      <c r="G1967">
        <v>0.20995700032422218</v>
      </c>
    </row>
    <row r="1968" spans="1:7" x14ac:dyDescent="0.35">
      <c r="A1968">
        <v>2015</v>
      </c>
      <c r="B1968" s="1" t="s">
        <v>160</v>
      </c>
      <c r="C1968" s="1" t="s">
        <v>161</v>
      </c>
      <c r="D1968" s="1" t="s">
        <v>8</v>
      </c>
      <c r="E1968" s="1">
        <v>37632.86</v>
      </c>
      <c r="F1968" s="1">
        <v>434887</v>
      </c>
      <c r="G1968">
        <v>8.6534800994281277E-2</v>
      </c>
    </row>
    <row r="1969" spans="1:7" x14ac:dyDescent="0.35">
      <c r="A1969">
        <v>2015</v>
      </c>
      <c r="B1969" s="1" t="s">
        <v>160</v>
      </c>
      <c r="C1969" s="1" t="s">
        <v>161</v>
      </c>
      <c r="D1969" s="1" t="s">
        <v>9</v>
      </c>
      <c r="E1969" s="1">
        <v>87581.6</v>
      </c>
      <c r="F1969" s="1">
        <v>434887</v>
      </c>
      <c r="G1969">
        <v>0.20138932642272592</v>
      </c>
    </row>
    <row r="1970" spans="1:7" x14ac:dyDescent="0.35">
      <c r="A1970">
        <v>2015</v>
      </c>
      <c r="B1970" s="1" t="s">
        <v>174</v>
      </c>
      <c r="C1970" s="1" t="s">
        <v>175</v>
      </c>
      <c r="D1970" s="1" t="s">
        <v>7</v>
      </c>
      <c r="E1970" s="1">
        <v>46411.18</v>
      </c>
      <c r="F1970" s="1">
        <v>190932</v>
      </c>
      <c r="G1970">
        <v>0.24307701171097565</v>
      </c>
    </row>
    <row r="1971" spans="1:7" x14ac:dyDescent="0.35">
      <c r="A1971">
        <v>2015</v>
      </c>
      <c r="B1971" s="1" t="s">
        <v>174</v>
      </c>
      <c r="C1971" s="1" t="s">
        <v>175</v>
      </c>
      <c r="D1971" s="1" t="s">
        <v>8</v>
      </c>
      <c r="E1971" s="1">
        <v>16417.740000000002</v>
      </c>
      <c r="F1971" s="1">
        <v>190932</v>
      </c>
      <c r="G1971">
        <v>8.598736723021809E-2</v>
      </c>
    </row>
    <row r="1972" spans="1:7" x14ac:dyDescent="0.35">
      <c r="A1972">
        <v>2015</v>
      </c>
      <c r="B1972" s="1" t="s">
        <v>174</v>
      </c>
      <c r="C1972" s="1" t="s">
        <v>175</v>
      </c>
      <c r="D1972" s="1" t="s">
        <v>9</v>
      </c>
      <c r="E1972" s="1">
        <v>30719.38</v>
      </c>
      <c r="F1972" s="1">
        <v>190932</v>
      </c>
      <c r="G1972">
        <v>0.16089173108750759</v>
      </c>
    </row>
    <row r="1973" spans="1:7" x14ac:dyDescent="0.35">
      <c r="A1973">
        <v>2015</v>
      </c>
      <c r="B1973" s="1" t="s">
        <v>176</v>
      </c>
      <c r="C1973" s="1" t="s">
        <v>177</v>
      </c>
      <c r="D1973" s="1" t="s">
        <v>7</v>
      </c>
      <c r="E1973" s="1">
        <v>347493.58</v>
      </c>
      <c r="F1973" s="1">
        <v>1120190</v>
      </c>
      <c r="G1973">
        <v>0.31020950017407761</v>
      </c>
    </row>
    <row r="1974" spans="1:7" x14ac:dyDescent="0.35">
      <c r="A1974">
        <v>2015</v>
      </c>
      <c r="B1974" s="1" t="s">
        <v>176</v>
      </c>
      <c r="C1974" s="1" t="s">
        <v>177</v>
      </c>
      <c r="D1974" s="1" t="s">
        <v>8</v>
      </c>
      <c r="E1974" s="1">
        <v>95719.4</v>
      </c>
      <c r="F1974" s="1">
        <v>1120190</v>
      </c>
      <c r="G1974">
        <v>8.5449254144386214E-2</v>
      </c>
    </row>
    <row r="1975" spans="1:7" x14ac:dyDescent="0.35">
      <c r="A1975">
        <v>2015</v>
      </c>
      <c r="B1975" s="1" t="s">
        <v>176</v>
      </c>
      <c r="C1975" s="1" t="s">
        <v>177</v>
      </c>
      <c r="D1975" s="1" t="s">
        <v>9</v>
      </c>
      <c r="E1975" s="1">
        <v>221857.03</v>
      </c>
      <c r="F1975" s="1">
        <v>1120190</v>
      </c>
      <c r="G1975">
        <v>0.19805303564573867</v>
      </c>
    </row>
    <row r="1976" spans="1:7" x14ac:dyDescent="0.35">
      <c r="A1976">
        <v>2015</v>
      </c>
      <c r="B1976" s="1" t="s">
        <v>162</v>
      </c>
      <c r="C1976" s="1" t="s">
        <v>163</v>
      </c>
      <c r="D1976" s="1" t="s">
        <v>7</v>
      </c>
      <c r="E1976" s="1">
        <v>84839.64</v>
      </c>
      <c r="F1976" s="1">
        <v>375795</v>
      </c>
      <c r="G1976">
        <v>0.22576042789286713</v>
      </c>
    </row>
    <row r="1977" spans="1:7" x14ac:dyDescent="0.35">
      <c r="A1977">
        <v>2015</v>
      </c>
      <c r="B1977" s="1" t="s">
        <v>162</v>
      </c>
      <c r="C1977" s="1" t="s">
        <v>163</v>
      </c>
      <c r="D1977" s="1" t="s">
        <v>8</v>
      </c>
      <c r="E1977" s="1">
        <v>33220.47</v>
      </c>
      <c r="F1977" s="1">
        <v>375795</v>
      </c>
      <c r="G1977">
        <v>8.8400510916856273E-2</v>
      </c>
    </row>
    <row r="1978" spans="1:7" x14ac:dyDescent="0.35">
      <c r="A1978">
        <v>2015</v>
      </c>
      <c r="B1978" s="1" t="s">
        <v>162</v>
      </c>
      <c r="C1978" s="1" t="s">
        <v>163</v>
      </c>
      <c r="D1978" s="1" t="s">
        <v>9</v>
      </c>
      <c r="E1978" s="1">
        <v>58673.73</v>
      </c>
      <c r="F1978" s="1">
        <v>375795</v>
      </c>
      <c r="G1978">
        <v>0.15613227956731729</v>
      </c>
    </row>
    <row r="1979" spans="1:7" x14ac:dyDescent="0.35">
      <c r="A1979">
        <v>2015</v>
      </c>
      <c r="B1979" s="1" t="s">
        <v>190</v>
      </c>
      <c r="C1979" s="1" t="s">
        <v>191</v>
      </c>
      <c r="D1979" s="1" t="s">
        <v>7</v>
      </c>
      <c r="E1979" s="1">
        <v>277004.57</v>
      </c>
      <c r="F1979" s="1">
        <v>1365227</v>
      </c>
      <c r="G1979">
        <v>0.20290000857000337</v>
      </c>
    </row>
    <row r="1980" spans="1:7" x14ac:dyDescent="0.35">
      <c r="A1980">
        <v>2015</v>
      </c>
      <c r="B1980" s="1" t="s">
        <v>190</v>
      </c>
      <c r="C1980" s="1" t="s">
        <v>191</v>
      </c>
      <c r="D1980" s="1" t="s">
        <v>8</v>
      </c>
      <c r="E1980" s="1">
        <v>131311.57</v>
      </c>
      <c r="F1980" s="1">
        <v>1365227</v>
      </c>
      <c r="G1980">
        <v>9.6182957119951479E-2</v>
      </c>
    </row>
    <row r="1981" spans="1:7" x14ac:dyDescent="0.35">
      <c r="A1981">
        <v>2015</v>
      </c>
      <c r="B1981" s="1" t="s">
        <v>190</v>
      </c>
      <c r="C1981" s="1" t="s">
        <v>191</v>
      </c>
      <c r="D1981" s="1" t="s">
        <v>9</v>
      </c>
      <c r="E1981" s="1">
        <v>281214.8</v>
      </c>
      <c r="F1981" s="1">
        <v>1365227</v>
      </c>
      <c r="G1981">
        <v>0.20598391329793506</v>
      </c>
    </row>
    <row r="1982" spans="1:7" x14ac:dyDescent="0.35">
      <c r="A1982">
        <v>2015</v>
      </c>
      <c r="B1982" s="1" t="s">
        <v>178</v>
      </c>
      <c r="C1982" s="1" t="s">
        <v>179</v>
      </c>
      <c r="D1982" s="1" t="s">
        <v>7</v>
      </c>
      <c r="E1982" s="1">
        <v>40294.339999999997</v>
      </c>
      <c r="F1982" s="1">
        <v>173400</v>
      </c>
      <c r="G1982">
        <v>0.23237797001153401</v>
      </c>
    </row>
    <row r="1983" spans="1:7" x14ac:dyDescent="0.35">
      <c r="A1983">
        <v>2015</v>
      </c>
      <c r="B1983" s="1" t="s">
        <v>178</v>
      </c>
      <c r="C1983" s="1" t="s">
        <v>179</v>
      </c>
      <c r="D1983" s="1" t="s">
        <v>8</v>
      </c>
      <c r="E1983" s="1">
        <v>23439.72</v>
      </c>
      <c r="F1983" s="1">
        <v>173400</v>
      </c>
      <c r="G1983">
        <v>0.13517716262975779</v>
      </c>
    </row>
    <row r="1984" spans="1:7" x14ac:dyDescent="0.35">
      <c r="A1984">
        <v>2015</v>
      </c>
      <c r="B1984" s="1" t="s">
        <v>178</v>
      </c>
      <c r="C1984" s="1" t="s">
        <v>179</v>
      </c>
      <c r="D1984" s="1" t="s">
        <v>9</v>
      </c>
      <c r="E1984" s="1">
        <v>34223.379999999997</v>
      </c>
      <c r="F1984" s="1">
        <v>173400</v>
      </c>
      <c r="G1984">
        <v>0.19736666666666666</v>
      </c>
    </row>
    <row r="1985" spans="1:7" x14ac:dyDescent="0.35">
      <c r="A1985">
        <v>2015</v>
      </c>
      <c r="B1985" s="1" t="s">
        <v>180</v>
      </c>
      <c r="C1985" s="1" t="s">
        <v>181</v>
      </c>
      <c r="D1985" s="1" t="s">
        <v>7</v>
      </c>
      <c r="E1985" s="1">
        <v>20786.37</v>
      </c>
      <c r="F1985" s="1">
        <v>76309</v>
      </c>
      <c r="G1985">
        <v>0.27239735810979043</v>
      </c>
    </row>
    <row r="1986" spans="1:7" x14ac:dyDescent="0.35">
      <c r="A1986">
        <v>2015</v>
      </c>
      <c r="B1986" s="1" t="s">
        <v>180</v>
      </c>
      <c r="C1986" s="1" t="s">
        <v>181</v>
      </c>
      <c r="D1986" s="1" t="s">
        <v>8</v>
      </c>
      <c r="E1986" s="1">
        <v>6785.43</v>
      </c>
      <c r="F1986" s="1">
        <v>76309</v>
      </c>
      <c r="G1986">
        <v>8.892044188758863E-2</v>
      </c>
    </row>
    <row r="1987" spans="1:7" x14ac:dyDescent="0.35">
      <c r="A1987">
        <v>2015</v>
      </c>
      <c r="B1987" s="1" t="s">
        <v>180</v>
      </c>
      <c r="C1987" s="1" t="s">
        <v>181</v>
      </c>
      <c r="D1987" s="1" t="s">
        <v>9</v>
      </c>
      <c r="E1987" s="1">
        <v>12364.38</v>
      </c>
      <c r="F1987" s="1">
        <v>76309</v>
      </c>
      <c r="G1987">
        <v>0.16203042891402061</v>
      </c>
    </row>
    <row r="1988" spans="1:7" x14ac:dyDescent="0.35">
      <c r="A1988">
        <v>2015</v>
      </c>
      <c r="B1988" s="1" t="s">
        <v>192</v>
      </c>
      <c r="C1988" s="1" t="s">
        <v>193</v>
      </c>
      <c r="D1988" s="1" t="s">
        <v>7</v>
      </c>
      <c r="E1988" s="1">
        <v>130293.32</v>
      </c>
      <c r="F1988" s="1">
        <v>810186</v>
      </c>
      <c r="G1988">
        <v>0.16081902180486951</v>
      </c>
    </row>
    <row r="1989" spans="1:7" x14ac:dyDescent="0.35">
      <c r="A1989">
        <v>2015</v>
      </c>
      <c r="B1989" s="1" t="s">
        <v>192</v>
      </c>
      <c r="C1989" s="1" t="s">
        <v>193</v>
      </c>
      <c r="D1989" s="1" t="s">
        <v>8</v>
      </c>
      <c r="E1989" s="1">
        <v>76839.89</v>
      </c>
      <c r="F1989" s="1">
        <v>810186</v>
      </c>
      <c r="G1989">
        <v>9.4842283130046681E-2</v>
      </c>
    </row>
    <row r="1990" spans="1:7" x14ac:dyDescent="0.35">
      <c r="A1990">
        <v>2015</v>
      </c>
      <c r="B1990" s="1" t="s">
        <v>192</v>
      </c>
      <c r="C1990" s="1" t="s">
        <v>193</v>
      </c>
      <c r="D1990" s="1" t="s">
        <v>9</v>
      </c>
      <c r="E1990" s="1">
        <v>152235.06</v>
      </c>
      <c r="F1990" s="1">
        <v>810186</v>
      </c>
      <c r="G1990">
        <v>0.18790137079633565</v>
      </c>
    </row>
    <row r="1991" spans="1:7" x14ac:dyDescent="0.35">
      <c r="A1991">
        <v>2015</v>
      </c>
      <c r="B1991" s="1" t="s">
        <v>194</v>
      </c>
      <c r="C1991" s="1" t="s">
        <v>195</v>
      </c>
      <c r="D1991" s="1" t="s">
        <v>7</v>
      </c>
      <c r="E1991" s="1">
        <v>56134.77</v>
      </c>
      <c r="F1991" s="1">
        <v>307940</v>
      </c>
      <c r="G1991">
        <v>0.18229125803727997</v>
      </c>
    </row>
    <row r="1992" spans="1:7" x14ac:dyDescent="0.35">
      <c r="A1992">
        <v>2015</v>
      </c>
      <c r="B1992" s="1" t="s">
        <v>194</v>
      </c>
      <c r="C1992" s="1" t="s">
        <v>195</v>
      </c>
      <c r="D1992" s="1" t="s">
        <v>8</v>
      </c>
      <c r="E1992" s="1">
        <v>30987.96</v>
      </c>
      <c r="F1992" s="1">
        <v>307940</v>
      </c>
      <c r="G1992">
        <v>0.10062986296031694</v>
      </c>
    </row>
    <row r="1993" spans="1:7" x14ac:dyDescent="0.35">
      <c r="A1993">
        <v>2015</v>
      </c>
      <c r="B1993" s="1" t="s">
        <v>194</v>
      </c>
      <c r="C1993" s="1" t="s">
        <v>195</v>
      </c>
      <c r="D1993" s="1" t="s">
        <v>9</v>
      </c>
      <c r="E1993" s="1">
        <v>65687.710000000006</v>
      </c>
      <c r="F1993" s="1">
        <v>307940</v>
      </c>
      <c r="G1993">
        <v>0.21331334026108983</v>
      </c>
    </row>
    <row r="1994" spans="1:7" x14ac:dyDescent="0.35">
      <c r="A1994">
        <v>2015</v>
      </c>
      <c r="B1994" s="1" t="s">
        <v>182</v>
      </c>
      <c r="C1994" s="1" t="s">
        <v>183</v>
      </c>
      <c r="D1994" s="1" t="s">
        <v>7</v>
      </c>
      <c r="E1994" s="1">
        <v>65117.59</v>
      </c>
      <c r="F1994" s="1">
        <v>228582</v>
      </c>
      <c r="G1994">
        <v>0.28487628072201659</v>
      </c>
    </row>
    <row r="1995" spans="1:7" x14ac:dyDescent="0.35">
      <c r="A1995">
        <v>2015</v>
      </c>
      <c r="B1995" s="1" t="s">
        <v>182</v>
      </c>
      <c r="C1995" s="1" t="s">
        <v>183</v>
      </c>
      <c r="D1995" s="1" t="s">
        <v>8</v>
      </c>
      <c r="E1995" s="1">
        <v>19917.64</v>
      </c>
      <c r="F1995" s="1">
        <v>228582</v>
      </c>
      <c r="G1995">
        <v>8.7135644976419832E-2</v>
      </c>
    </row>
    <row r="1996" spans="1:7" x14ac:dyDescent="0.35">
      <c r="A1996">
        <v>2015</v>
      </c>
      <c r="B1996" s="1" t="s">
        <v>182</v>
      </c>
      <c r="C1996" s="1" t="s">
        <v>183</v>
      </c>
      <c r="D1996" s="1" t="s">
        <v>9</v>
      </c>
      <c r="E1996" s="1">
        <v>45592.95</v>
      </c>
      <c r="F1996" s="1">
        <v>228582</v>
      </c>
      <c r="G1996">
        <v>0.19945993122818068</v>
      </c>
    </row>
    <row r="1997" spans="1:7" x14ac:dyDescent="0.35">
      <c r="A1997">
        <v>2015</v>
      </c>
      <c r="B1997" s="1" t="s">
        <v>184</v>
      </c>
      <c r="C1997" s="1" t="s">
        <v>185</v>
      </c>
      <c r="D1997" s="1" t="s">
        <v>7</v>
      </c>
      <c r="E1997" s="1">
        <v>156852.56</v>
      </c>
      <c r="F1997" s="1">
        <v>471038</v>
      </c>
      <c r="G1997">
        <v>0.3329934315278173</v>
      </c>
    </row>
    <row r="1998" spans="1:7" x14ac:dyDescent="0.35">
      <c r="A1998">
        <v>2015</v>
      </c>
      <c r="B1998" s="1" t="s">
        <v>184</v>
      </c>
      <c r="C1998" s="1" t="s">
        <v>185</v>
      </c>
      <c r="D1998" s="1" t="s">
        <v>8</v>
      </c>
      <c r="E1998" s="1">
        <v>47109.89</v>
      </c>
      <c r="F1998" s="1">
        <v>471038</v>
      </c>
      <c r="G1998">
        <v>0.10001292889321031</v>
      </c>
    </row>
    <row r="1999" spans="1:7" x14ac:dyDescent="0.35">
      <c r="A1999">
        <v>2015</v>
      </c>
      <c r="B1999" s="1" t="s">
        <v>184</v>
      </c>
      <c r="C1999" s="1" t="s">
        <v>185</v>
      </c>
      <c r="D1999" s="1" t="s">
        <v>9</v>
      </c>
      <c r="E1999" s="1">
        <v>92810.44</v>
      </c>
      <c r="F1999" s="1">
        <v>471038</v>
      </c>
      <c r="G1999">
        <v>0.19703386987886329</v>
      </c>
    </row>
    <row r="2000" spans="1:7" x14ac:dyDescent="0.35">
      <c r="A2000">
        <v>2015</v>
      </c>
      <c r="B2000" s="1" t="s">
        <v>186</v>
      </c>
      <c r="C2000" s="1" t="s">
        <v>187</v>
      </c>
      <c r="D2000" s="1" t="s">
        <v>7</v>
      </c>
      <c r="E2000" s="1">
        <v>94668.79</v>
      </c>
      <c r="F2000" s="1">
        <v>386543</v>
      </c>
      <c r="G2000">
        <v>0.24491140701034553</v>
      </c>
    </row>
    <row r="2001" spans="1:7" x14ac:dyDescent="0.35">
      <c r="A2001">
        <v>2015</v>
      </c>
      <c r="B2001" s="1" t="s">
        <v>186</v>
      </c>
      <c r="C2001" s="1" t="s">
        <v>187</v>
      </c>
      <c r="D2001" s="1" t="s">
        <v>8</v>
      </c>
      <c r="E2001" s="1">
        <v>35600.839999999997</v>
      </c>
      <c r="F2001" s="1">
        <v>386543</v>
      </c>
      <c r="G2001">
        <v>9.2100594241779049E-2</v>
      </c>
    </row>
    <row r="2002" spans="1:7" x14ac:dyDescent="0.35">
      <c r="A2002">
        <v>2015</v>
      </c>
      <c r="B2002" s="1" t="s">
        <v>186</v>
      </c>
      <c r="C2002" s="1" t="s">
        <v>187</v>
      </c>
      <c r="D2002" s="1" t="s">
        <v>9</v>
      </c>
      <c r="E2002" s="1">
        <v>64380.05</v>
      </c>
      <c r="F2002" s="1">
        <v>386543</v>
      </c>
      <c r="G2002">
        <v>0.16655339768149988</v>
      </c>
    </row>
    <row r="2003" spans="1:7" x14ac:dyDescent="0.35">
      <c r="A2003">
        <v>2015</v>
      </c>
      <c r="B2003" s="1" t="s">
        <v>196</v>
      </c>
      <c r="C2003" s="1" t="s">
        <v>197</v>
      </c>
      <c r="D2003" s="1" t="s">
        <v>7</v>
      </c>
      <c r="E2003" s="1">
        <v>104836.88</v>
      </c>
      <c r="F2003" s="1">
        <v>568445</v>
      </c>
      <c r="G2003">
        <v>0.18442748199034209</v>
      </c>
    </row>
    <row r="2004" spans="1:7" x14ac:dyDescent="0.35">
      <c r="A2004">
        <v>2015</v>
      </c>
      <c r="B2004" s="1" t="s">
        <v>196</v>
      </c>
      <c r="C2004" s="1" t="s">
        <v>197</v>
      </c>
      <c r="D2004" s="1" t="s">
        <v>8</v>
      </c>
      <c r="E2004" s="1">
        <v>56710</v>
      </c>
      <c r="F2004" s="1">
        <v>568445</v>
      </c>
      <c r="G2004">
        <v>9.9763389597938235E-2</v>
      </c>
    </row>
    <row r="2005" spans="1:7" x14ac:dyDescent="0.35">
      <c r="A2005">
        <v>2015</v>
      </c>
      <c r="B2005" s="1" t="s">
        <v>196</v>
      </c>
      <c r="C2005" s="1" t="s">
        <v>197</v>
      </c>
      <c r="D2005" s="1" t="s">
        <v>9</v>
      </c>
      <c r="E2005" s="1">
        <v>91159.61</v>
      </c>
      <c r="F2005" s="1">
        <v>568445</v>
      </c>
      <c r="G2005">
        <v>0.16036663177616128</v>
      </c>
    </row>
    <row r="2006" spans="1:7" x14ac:dyDescent="0.35">
      <c r="A2006">
        <v>2015</v>
      </c>
      <c r="B2006" s="1" t="s">
        <v>188</v>
      </c>
      <c r="C2006" s="1" t="s">
        <v>189</v>
      </c>
      <c r="D2006" s="1" t="s">
        <v>7</v>
      </c>
      <c r="E2006" s="1">
        <v>62831.01</v>
      </c>
      <c r="F2006" s="1">
        <v>255274</v>
      </c>
      <c r="G2006">
        <v>0.24613164677953886</v>
      </c>
    </row>
    <row r="2007" spans="1:7" x14ac:dyDescent="0.35">
      <c r="A2007">
        <v>2015</v>
      </c>
      <c r="B2007" s="1" t="s">
        <v>188</v>
      </c>
      <c r="C2007" s="1" t="s">
        <v>189</v>
      </c>
      <c r="D2007" s="1" t="s">
        <v>8</v>
      </c>
      <c r="E2007" s="1">
        <v>24088.799999999999</v>
      </c>
      <c r="F2007" s="1">
        <v>255274</v>
      </c>
      <c r="G2007">
        <v>9.436448678674679E-2</v>
      </c>
    </row>
    <row r="2008" spans="1:7" x14ac:dyDescent="0.35">
      <c r="A2008">
        <v>2015</v>
      </c>
      <c r="B2008" s="1" t="s">
        <v>188</v>
      </c>
      <c r="C2008" s="1" t="s">
        <v>189</v>
      </c>
      <c r="D2008" s="1" t="s">
        <v>9</v>
      </c>
      <c r="E2008" s="1">
        <v>42569.68</v>
      </c>
      <c r="F2008" s="1">
        <v>255274</v>
      </c>
      <c r="G2008">
        <v>0.1667607355233984</v>
      </c>
    </row>
    <row r="2009" spans="1:7" x14ac:dyDescent="0.35">
      <c r="A2009">
        <v>2015</v>
      </c>
      <c r="B2009" s="1" t="s">
        <v>208</v>
      </c>
      <c r="C2009" s="1" t="s">
        <v>209</v>
      </c>
      <c r="D2009" s="1" t="s">
        <v>7</v>
      </c>
      <c r="E2009" s="1">
        <v>454035.11</v>
      </c>
      <c r="F2009" s="1">
        <v>1048652</v>
      </c>
      <c r="G2009">
        <v>0.43297024179613447</v>
      </c>
    </row>
    <row r="2010" spans="1:7" x14ac:dyDescent="0.35">
      <c r="A2010">
        <v>2015</v>
      </c>
      <c r="B2010" s="1" t="s">
        <v>208</v>
      </c>
      <c r="C2010" s="1" t="s">
        <v>209</v>
      </c>
      <c r="D2010" s="1" t="s">
        <v>8</v>
      </c>
      <c r="E2010" s="1">
        <v>90026.87</v>
      </c>
      <c r="F2010" s="1">
        <v>1048652</v>
      </c>
      <c r="G2010">
        <v>8.5850091355378133E-2</v>
      </c>
    </row>
    <row r="2011" spans="1:7" x14ac:dyDescent="0.35">
      <c r="A2011">
        <v>2015</v>
      </c>
      <c r="B2011" s="1" t="s">
        <v>208</v>
      </c>
      <c r="C2011" s="1" t="s">
        <v>209</v>
      </c>
      <c r="D2011" s="1" t="s">
        <v>9</v>
      </c>
      <c r="E2011" s="1">
        <v>208155.35</v>
      </c>
      <c r="F2011" s="1">
        <v>1048652</v>
      </c>
      <c r="G2011">
        <v>0.19849802413002599</v>
      </c>
    </row>
    <row r="2012" spans="1:7" x14ac:dyDescent="0.35">
      <c r="A2012">
        <v>2015</v>
      </c>
      <c r="B2012" s="1" t="s">
        <v>210</v>
      </c>
      <c r="C2012" s="1" t="s">
        <v>211</v>
      </c>
      <c r="D2012" s="1" t="s">
        <v>7</v>
      </c>
      <c r="E2012" s="1">
        <v>190281.88</v>
      </c>
      <c r="F2012" s="1">
        <v>557548</v>
      </c>
      <c r="G2012">
        <v>0.34128340519560646</v>
      </c>
    </row>
    <row r="2013" spans="1:7" x14ac:dyDescent="0.35">
      <c r="A2013">
        <v>2015</v>
      </c>
      <c r="B2013" s="1" t="s">
        <v>210</v>
      </c>
      <c r="C2013" s="1" t="s">
        <v>211</v>
      </c>
      <c r="D2013" s="1" t="s">
        <v>8</v>
      </c>
      <c r="E2013" s="1">
        <v>39652.14</v>
      </c>
      <c r="F2013" s="1">
        <v>557548</v>
      </c>
      <c r="G2013">
        <v>7.1118791565927958E-2</v>
      </c>
    </row>
    <row r="2014" spans="1:7" x14ac:dyDescent="0.35">
      <c r="A2014">
        <v>2015</v>
      </c>
      <c r="B2014" s="1" t="s">
        <v>210</v>
      </c>
      <c r="C2014" s="1" t="s">
        <v>211</v>
      </c>
      <c r="D2014" s="1" t="s">
        <v>9</v>
      </c>
      <c r="E2014" s="1">
        <v>95817.56</v>
      </c>
      <c r="F2014" s="1">
        <v>557548</v>
      </c>
      <c r="G2014">
        <v>0.17185526627303838</v>
      </c>
    </row>
    <row r="2015" spans="1:7" x14ac:dyDescent="0.35">
      <c r="A2015">
        <v>2015</v>
      </c>
      <c r="B2015" s="1" t="s">
        <v>198</v>
      </c>
      <c r="C2015" s="1" t="s">
        <v>199</v>
      </c>
      <c r="D2015" s="1" t="s">
        <v>7</v>
      </c>
      <c r="E2015" s="1">
        <v>128550.64</v>
      </c>
      <c r="F2015" s="1">
        <v>666714</v>
      </c>
      <c r="G2015">
        <v>0.19281227032880666</v>
      </c>
    </row>
    <row r="2016" spans="1:7" x14ac:dyDescent="0.35">
      <c r="A2016">
        <v>2015</v>
      </c>
      <c r="B2016" s="1" t="s">
        <v>198</v>
      </c>
      <c r="C2016" s="1" t="s">
        <v>199</v>
      </c>
      <c r="D2016" s="1" t="s">
        <v>8</v>
      </c>
      <c r="E2016" s="1">
        <v>77766.23</v>
      </c>
      <c r="F2016" s="1">
        <v>666714</v>
      </c>
      <c r="G2016">
        <v>0.11664106348449259</v>
      </c>
    </row>
    <row r="2017" spans="1:7" x14ac:dyDescent="0.35">
      <c r="A2017">
        <v>2015</v>
      </c>
      <c r="B2017" s="1" t="s">
        <v>198</v>
      </c>
      <c r="C2017" s="1" t="s">
        <v>199</v>
      </c>
      <c r="D2017" s="1" t="s">
        <v>9</v>
      </c>
      <c r="E2017" s="1">
        <v>178500.64</v>
      </c>
      <c r="F2017" s="1">
        <v>666714</v>
      </c>
      <c r="G2017">
        <v>0.26773195103147679</v>
      </c>
    </row>
    <row r="2018" spans="1:7" x14ac:dyDescent="0.35">
      <c r="A2018">
        <v>2009</v>
      </c>
      <c r="B2018" s="1" t="s">
        <v>72</v>
      </c>
      <c r="C2018" s="1" t="s">
        <v>73</v>
      </c>
      <c r="D2018" s="1" t="s">
        <v>7</v>
      </c>
      <c r="E2018" s="1">
        <v>171983</v>
      </c>
      <c r="F2018" s="1"/>
    </row>
    <row r="2019" spans="1:7" x14ac:dyDescent="0.35">
      <c r="A2019">
        <v>2009</v>
      </c>
      <c r="B2019" s="1" t="s">
        <v>72</v>
      </c>
      <c r="C2019" s="1" t="s">
        <v>73</v>
      </c>
      <c r="D2019" s="1" t="s">
        <v>8</v>
      </c>
      <c r="E2019" s="1">
        <v>30118.15</v>
      </c>
      <c r="F2019" s="1"/>
    </row>
    <row r="2020" spans="1:7" x14ac:dyDescent="0.35">
      <c r="A2020">
        <v>2009</v>
      </c>
      <c r="B2020" s="1" t="s">
        <v>72</v>
      </c>
      <c r="C2020" s="1" t="s">
        <v>73</v>
      </c>
      <c r="D2020" s="1" t="s">
        <v>9</v>
      </c>
      <c r="E2020" s="1">
        <v>2633.4</v>
      </c>
      <c r="F2020" s="1"/>
    </row>
    <row r="2021" spans="1:7" x14ac:dyDescent="0.35">
      <c r="A2021">
        <v>2009</v>
      </c>
      <c r="B2021" s="1" t="s">
        <v>74</v>
      </c>
      <c r="C2021" s="1" t="s">
        <v>75</v>
      </c>
      <c r="D2021" s="1" t="s">
        <v>7</v>
      </c>
      <c r="E2021" s="1">
        <v>130032.95</v>
      </c>
      <c r="F2021" s="1"/>
    </row>
    <row r="2022" spans="1:7" x14ac:dyDescent="0.35">
      <c r="A2022">
        <v>2009</v>
      </c>
      <c r="B2022" s="1" t="s">
        <v>74</v>
      </c>
      <c r="C2022" s="1" t="s">
        <v>75</v>
      </c>
      <c r="D2022" s="1" t="s">
        <v>8</v>
      </c>
      <c r="E2022" s="1">
        <v>44176.76</v>
      </c>
      <c r="F2022" s="1"/>
    </row>
    <row r="2023" spans="1:7" x14ac:dyDescent="0.35">
      <c r="A2023">
        <v>2009</v>
      </c>
      <c r="B2023" s="1" t="s">
        <v>74</v>
      </c>
      <c r="C2023" s="1" t="s">
        <v>75</v>
      </c>
      <c r="D2023" s="1" t="s">
        <v>9</v>
      </c>
      <c r="E2023" s="1">
        <v>6052.57</v>
      </c>
      <c r="F2023" s="1"/>
    </row>
    <row r="2024" spans="1:7" x14ac:dyDescent="0.35">
      <c r="A2024">
        <v>2009</v>
      </c>
      <c r="B2024" s="1" t="s">
        <v>76</v>
      </c>
      <c r="C2024" s="1" t="s">
        <v>77</v>
      </c>
      <c r="D2024" s="1" t="s">
        <v>7</v>
      </c>
      <c r="E2024" s="1">
        <v>75005.3</v>
      </c>
      <c r="F2024" s="1"/>
    </row>
    <row r="2025" spans="1:7" x14ac:dyDescent="0.35">
      <c r="A2025">
        <v>2009</v>
      </c>
      <c r="B2025" s="1" t="s">
        <v>76</v>
      </c>
      <c r="C2025" s="1" t="s">
        <v>77</v>
      </c>
      <c r="D2025" s="1" t="s">
        <v>8</v>
      </c>
      <c r="E2025" s="1">
        <v>16499.16</v>
      </c>
      <c r="F2025" s="1"/>
    </row>
    <row r="2026" spans="1:7" x14ac:dyDescent="0.35">
      <c r="A2026">
        <v>2009</v>
      </c>
      <c r="B2026" s="1" t="s">
        <v>76</v>
      </c>
      <c r="C2026" s="1" t="s">
        <v>77</v>
      </c>
      <c r="D2026" s="1" t="s">
        <v>9</v>
      </c>
      <c r="E2026" s="1">
        <v>1688.63</v>
      </c>
      <c r="F2026" s="1"/>
    </row>
    <row r="2027" spans="1:7" x14ac:dyDescent="0.35">
      <c r="A2027">
        <v>2009</v>
      </c>
      <c r="B2027" s="1" t="s">
        <v>78</v>
      </c>
      <c r="C2027" s="1" t="s">
        <v>79</v>
      </c>
      <c r="D2027" s="1" t="s">
        <v>7</v>
      </c>
      <c r="E2027" s="1">
        <v>239385.97</v>
      </c>
      <c r="F2027" s="1"/>
    </row>
    <row r="2028" spans="1:7" x14ac:dyDescent="0.35">
      <c r="A2028">
        <v>2009</v>
      </c>
      <c r="B2028" s="1" t="s">
        <v>78</v>
      </c>
      <c r="C2028" s="1" t="s">
        <v>79</v>
      </c>
      <c r="D2028" s="1" t="s">
        <v>8</v>
      </c>
      <c r="E2028" s="1">
        <v>193364.89</v>
      </c>
      <c r="F2028" s="1"/>
    </row>
    <row r="2029" spans="1:7" x14ac:dyDescent="0.35">
      <c r="A2029">
        <v>2009</v>
      </c>
      <c r="B2029" s="1" t="s">
        <v>78</v>
      </c>
      <c r="C2029" s="1" t="s">
        <v>79</v>
      </c>
      <c r="D2029" s="1" t="s">
        <v>9</v>
      </c>
      <c r="E2029" s="1">
        <v>29064.89</v>
      </c>
      <c r="F2029" s="1"/>
    </row>
    <row r="2030" spans="1:7" x14ac:dyDescent="0.35">
      <c r="A2030">
        <v>2009</v>
      </c>
      <c r="B2030" s="1" t="s">
        <v>80</v>
      </c>
      <c r="C2030" s="1" t="s">
        <v>81</v>
      </c>
      <c r="D2030" s="1" t="s">
        <v>7</v>
      </c>
      <c r="E2030" s="1">
        <v>9518</v>
      </c>
      <c r="F2030" s="1"/>
    </row>
    <row r="2031" spans="1:7" x14ac:dyDescent="0.35">
      <c r="A2031">
        <v>2009</v>
      </c>
      <c r="B2031" s="1" t="s">
        <v>80</v>
      </c>
      <c r="C2031" s="1" t="s">
        <v>81</v>
      </c>
      <c r="D2031" s="1" t="s">
        <v>8</v>
      </c>
      <c r="E2031" s="1">
        <v>1065</v>
      </c>
      <c r="F2031" s="1"/>
    </row>
    <row r="2032" spans="1:7" x14ac:dyDescent="0.35">
      <c r="A2032">
        <v>2009</v>
      </c>
      <c r="B2032" s="1" t="s">
        <v>80</v>
      </c>
      <c r="C2032" s="1" t="s">
        <v>81</v>
      </c>
      <c r="D2032" s="1" t="s">
        <v>9</v>
      </c>
      <c r="E2032" s="1">
        <v>3983.9</v>
      </c>
      <c r="F2032" s="1"/>
    </row>
    <row r="2033" spans="1:6" x14ac:dyDescent="0.35">
      <c r="A2033">
        <v>2009</v>
      </c>
      <c r="B2033" s="1" t="s">
        <v>82</v>
      </c>
      <c r="C2033" s="1" t="s">
        <v>83</v>
      </c>
      <c r="D2033" s="1" t="s">
        <v>7</v>
      </c>
      <c r="E2033" s="1">
        <v>15342</v>
      </c>
      <c r="F2033" s="1"/>
    </row>
    <row r="2034" spans="1:6" x14ac:dyDescent="0.35">
      <c r="A2034">
        <v>2009</v>
      </c>
      <c r="B2034" s="1" t="s">
        <v>82</v>
      </c>
      <c r="C2034" s="1" t="s">
        <v>83</v>
      </c>
      <c r="D2034" s="1" t="s">
        <v>8</v>
      </c>
      <c r="E2034" s="1">
        <v>18085</v>
      </c>
      <c r="F2034" s="1"/>
    </row>
    <row r="2035" spans="1:6" x14ac:dyDescent="0.35">
      <c r="A2035">
        <v>2011</v>
      </c>
      <c r="B2035" s="1" t="s">
        <v>72</v>
      </c>
      <c r="C2035" s="1" t="s">
        <v>73</v>
      </c>
      <c r="D2035" s="1" t="s">
        <v>7</v>
      </c>
      <c r="E2035" s="1">
        <v>167805.45</v>
      </c>
      <c r="F2035" s="1"/>
    </row>
    <row r="2036" spans="1:6" x14ac:dyDescent="0.35">
      <c r="A2036">
        <v>2011</v>
      </c>
      <c r="B2036" s="1" t="s">
        <v>72</v>
      </c>
      <c r="C2036" s="1" t="s">
        <v>73</v>
      </c>
      <c r="D2036" s="1" t="s">
        <v>8</v>
      </c>
      <c r="E2036" s="1">
        <v>55987.05</v>
      </c>
      <c r="F2036" s="1"/>
    </row>
    <row r="2037" spans="1:6" x14ac:dyDescent="0.35">
      <c r="A2037">
        <v>2011</v>
      </c>
      <c r="B2037" s="1" t="s">
        <v>72</v>
      </c>
      <c r="C2037" s="1" t="s">
        <v>73</v>
      </c>
      <c r="D2037" s="1" t="s">
        <v>9</v>
      </c>
      <c r="E2037" s="1">
        <v>12900.62</v>
      </c>
      <c r="F2037" s="1"/>
    </row>
    <row r="2038" spans="1:6" x14ac:dyDescent="0.35">
      <c r="A2038">
        <v>2011</v>
      </c>
      <c r="B2038" s="1" t="s">
        <v>74</v>
      </c>
      <c r="C2038" s="1" t="s">
        <v>75</v>
      </c>
      <c r="D2038" s="1" t="s">
        <v>7</v>
      </c>
      <c r="E2038" s="1">
        <v>134911.35999999999</v>
      </c>
      <c r="F2038" s="1"/>
    </row>
    <row r="2039" spans="1:6" x14ac:dyDescent="0.35">
      <c r="A2039">
        <v>2011</v>
      </c>
      <c r="B2039" s="1" t="s">
        <v>74</v>
      </c>
      <c r="C2039" s="1" t="s">
        <v>75</v>
      </c>
      <c r="D2039" s="1" t="s">
        <v>8</v>
      </c>
      <c r="E2039" s="1">
        <v>52315.17</v>
      </c>
      <c r="F2039" s="1"/>
    </row>
    <row r="2040" spans="1:6" x14ac:dyDescent="0.35">
      <c r="A2040">
        <v>2011</v>
      </c>
      <c r="B2040" s="1" t="s">
        <v>74</v>
      </c>
      <c r="C2040" s="1" t="s">
        <v>75</v>
      </c>
      <c r="D2040" s="1" t="s">
        <v>9</v>
      </c>
      <c r="E2040" s="1">
        <v>9578.5499999999993</v>
      </c>
      <c r="F2040" s="1"/>
    </row>
    <row r="2041" spans="1:6" x14ac:dyDescent="0.35">
      <c r="A2041">
        <v>2011</v>
      </c>
      <c r="B2041" s="1" t="s">
        <v>76</v>
      </c>
      <c r="C2041" s="1" t="s">
        <v>77</v>
      </c>
      <c r="D2041" s="1" t="s">
        <v>7</v>
      </c>
      <c r="E2041" s="1">
        <v>92260.23</v>
      </c>
      <c r="F2041" s="1"/>
    </row>
    <row r="2042" spans="1:6" x14ac:dyDescent="0.35">
      <c r="A2042">
        <v>2011</v>
      </c>
      <c r="B2042" s="1" t="s">
        <v>76</v>
      </c>
      <c r="C2042" s="1" t="s">
        <v>77</v>
      </c>
      <c r="D2042" s="1" t="s">
        <v>8</v>
      </c>
      <c r="E2042" s="1">
        <v>15881.5</v>
      </c>
      <c r="F2042" s="1"/>
    </row>
    <row r="2043" spans="1:6" x14ac:dyDescent="0.35">
      <c r="A2043">
        <v>2011</v>
      </c>
      <c r="B2043" s="1" t="s">
        <v>76</v>
      </c>
      <c r="C2043" s="1" t="s">
        <v>77</v>
      </c>
      <c r="D2043" s="1" t="s">
        <v>9</v>
      </c>
      <c r="E2043" s="1">
        <v>3167.94</v>
      </c>
      <c r="F2043" s="1"/>
    </row>
    <row r="2044" spans="1:6" x14ac:dyDescent="0.35">
      <c r="A2044">
        <v>2011</v>
      </c>
      <c r="B2044" s="1" t="s">
        <v>78</v>
      </c>
      <c r="C2044" s="1" t="s">
        <v>79</v>
      </c>
      <c r="D2044" s="1" t="s">
        <v>7</v>
      </c>
      <c r="E2044" s="1">
        <v>260899.4</v>
      </c>
      <c r="F2044" s="1"/>
    </row>
    <row r="2045" spans="1:6" x14ac:dyDescent="0.35">
      <c r="A2045">
        <v>2011</v>
      </c>
      <c r="B2045" s="1" t="s">
        <v>78</v>
      </c>
      <c r="C2045" s="1" t="s">
        <v>79</v>
      </c>
      <c r="D2045" s="1" t="s">
        <v>8</v>
      </c>
      <c r="E2045" s="1">
        <v>215887.87</v>
      </c>
      <c r="F2045" s="1"/>
    </row>
    <row r="2046" spans="1:6" x14ac:dyDescent="0.35">
      <c r="A2046">
        <v>2011</v>
      </c>
      <c r="B2046" s="1" t="s">
        <v>78</v>
      </c>
      <c r="C2046" s="1" t="s">
        <v>79</v>
      </c>
      <c r="D2046" s="1" t="s">
        <v>9</v>
      </c>
      <c r="E2046" s="1">
        <v>43572.22</v>
      </c>
      <c r="F2046" s="1"/>
    </row>
    <row r="2047" spans="1:6" x14ac:dyDescent="0.35">
      <c r="A2047">
        <v>2011</v>
      </c>
      <c r="B2047" s="1" t="s">
        <v>82</v>
      </c>
      <c r="C2047" s="1" t="s">
        <v>83</v>
      </c>
      <c r="D2047" s="1" t="s">
        <v>7</v>
      </c>
      <c r="E2047" s="1">
        <v>15577</v>
      </c>
      <c r="F2047" s="1"/>
    </row>
    <row r="2048" spans="1:6" x14ac:dyDescent="0.35">
      <c r="A2048">
        <v>2011</v>
      </c>
      <c r="B2048" s="1" t="s">
        <v>82</v>
      </c>
      <c r="C2048" s="1" t="s">
        <v>83</v>
      </c>
      <c r="D2048" s="1" t="s">
        <v>8</v>
      </c>
      <c r="E2048" s="1">
        <v>2555</v>
      </c>
      <c r="F2048" s="1"/>
    </row>
    <row r="2049" spans="1:6" x14ac:dyDescent="0.35">
      <c r="A2049">
        <v>2011</v>
      </c>
      <c r="B2049" s="1" t="s">
        <v>212</v>
      </c>
      <c r="C2049" s="1" t="s">
        <v>213</v>
      </c>
      <c r="D2049" s="1" t="s">
        <v>7</v>
      </c>
      <c r="E2049" s="1">
        <v>79589.72</v>
      </c>
      <c r="F2049" s="1"/>
    </row>
    <row r="2050" spans="1:6" x14ac:dyDescent="0.35">
      <c r="A2050">
        <v>2011</v>
      </c>
      <c r="B2050" s="1" t="s">
        <v>212</v>
      </c>
      <c r="C2050" s="1" t="s">
        <v>213</v>
      </c>
      <c r="D2050" s="1" t="s">
        <v>8</v>
      </c>
      <c r="E2050" s="1">
        <v>27122.07</v>
      </c>
      <c r="F2050" s="1"/>
    </row>
    <row r="2051" spans="1:6" x14ac:dyDescent="0.35">
      <c r="A2051">
        <v>2013</v>
      </c>
      <c r="B2051" s="1" t="s">
        <v>72</v>
      </c>
      <c r="C2051" s="1" t="s">
        <v>73</v>
      </c>
      <c r="D2051" s="1" t="s">
        <v>7</v>
      </c>
      <c r="E2051" s="1">
        <v>149726.39999999999</v>
      </c>
      <c r="F2051" s="1"/>
    </row>
    <row r="2052" spans="1:6" x14ac:dyDescent="0.35">
      <c r="A2052">
        <v>2013</v>
      </c>
      <c r="B2052" s="1" t="s">
        <v>72</v>
      </c>
      <c r="C2052" s="1" t="s">
        <v>73</v>
      </c>
      <c r="D2052" s="1" t="s">
        <v>8</v>
      </c>
      <c r="E2052" s="1">
        <v>92512.98</v>
      </c>
      <c r="F2052" s="1"/>
    </row>
    <row r="2053" spans="1:6" x14ac:dyDescent="0.35">
      <c r="A2053">
        <v>2013</v>
      </c>
      <c r="B2053" s="1" t="s">
        <v>72</v>
      </c>
      <c r="C2053" s="1" t="s">
        <v>73</v>
      </c>
      <c r="D2053" s="1" t="s">
        <v>9</v>
      </c>
      <c r="E2053" s="1">
        <v>20121.02</v>
      </c>
      <c r="F2053" s="1"/>
    </row>
    <row r="2054" spans="1:6" x14ac:dyDescent="0.35">
      <c r="A2054">
        <v>2013</v>
      </c>
      <c r="B2054" s="1" t="s">
        <v>74</v>
      </c>
      <c r="C2054" s="1" t="s">
        <v>75</v>
      </c>
      <c r="D2054" s="1" t="s">
        <v>7</v>
      </c>
      <c r="E2054" s="1">
        <v>127127.17</v>
      </c>
      <c r="F2054" s="1"/>
    </row>
    <row r="2055" spans="1:6" x14ac:dyDescent="0.35">
      <c r="A2055">
        <v>2013</v>
      </c>
      <c r="B2055" s="1" t="s">
        <v>74</v>
      </c>
      <c r="C2055" s="1" t="s">
        <v>75</v>
      </c>
      <c r="D2055" s="1" t="s">
        <v>8</v>
      </c>
      <c r="E2055" s="1">
        <v>56803.14</v>
      </c>
      <c r="F2055" s="1"/>
    </row>
    <row r="2056" spans="1:6" x14ac:dyDescent="0.35">
      <c r="A2056">
        <v>2013</v>
      </c>
      <c r="B2056" s="1" t="s">
        <v>74</v>
      </c>
      <c r="C2056" s="1" t="s">
        <v>75</v>
      </c>
      <c r="D2056" s="1" t="s">
        <v>9</v>
      </c>
      <c r="E2056" s="1">
        <v>10032.57</v>
      </c>
      <c r="F2056" s="1"/>
    </row>
    <row r="2057" spans="1:6" x14ac:dyDescent="0.35">
      <c r="A2057">
        <v>2013</v>
      </c>
      <c r="B2057" s="1" t="s">
        <v>76</v>
      </c>
      <c r="C2057" s="1" t="s">
        <v>77</v>
      </c>
      <c r="D2057" s="1" t="s">
        <v>7</v>
      </c>
      <c r="E2057" s="1">
        <v>56067.839999999997</v>
      </c>
      <c r="F2057" s="1"/>
    </row>
    <row r="2058" spans="1:6" x14ac:dyDescent="0.35">
      <c r="A2058">
        <v>2013</v>
      </c>
      <c r="B2058" s="1" t="s">
        <v>76</v>
      </c>
      <c r="C2058" s="1" t="s">
        <v>77</v>
      </c>
      <c r="D2058" s="1" t="s">
        <v>8</v>
      </c>
      <c r="E2058" s="1">
        <v>9948.7199999999993</v>
      </c>
      <c r="F2058" s="1"/>
    </row>
    <row r="2059" spans="1:6" x14ac:dyDescent="0.35">
      <c r="A2059">
        <v>2013</v>
      </c>
      <c r="B2059" s="1" t="s">
        <v>76</v>
      </c>
      <c r="C2059" s="1" t="s">
        <v>77</v>
      </c>
      <c r="D2059" s="1" t="s">
        <v>9</v>
      </c>
      <c r="E2059" s="1">
        <v>3583.83</v>
      </c>
      <c r="F2059" s="1"/>
    </row>
    <row r="2060" spans="1:6" x14ac:dyDescent="0.35">
      <c r="A2060">
        <v>2013</v>
      </c>
      <c r="B2060" s="1" t="s">
        <v>78</v>
      </c>
      <c r="C2060" s="1" t="s">
        <v>79</v>
      </c>
      <c r="D2060" s="1" t="s">
        <v>7</v>
      </c>
      <c r="E2060" s="1">
        <v>230868.97</v>
      </c>
      <c r="F2060" s="1"/>
    </row>
    <row r="2061" spans="1:6" x14ac:dyDescent="0.35">
      <c r="A2061">
        <v>2013</v>
      </c>
      <c r="B2061" s="1" t="s">
        <v>78</v>
      </c>
      <c r="C2061" s="1" t="s">
        <v>79</v>
      </c>
      <c r="D2061" s="1" t="s">
        <v>8</v>
      </c>
      <c r="E2061" s="1">
        <v>234644.13</v>
      </c>
      <c r="F2061" s="1"/>
    </row>
    <row r="2062" spans="1:6" x14ac:dyDescent="0.35">
      <c r="A2062">
        <v>2013</v>
      </c>
      <c r="B2062" s="1" t="s">
        <v>78</v>
      </c>
      <c r="C2062" s="1" t="s">
        <v>79</v>
      </c>
      <c r="D2062" s="1" t="s">
        <v>9</v>
      </c>
      <c r="E2062" s="1">
        <v>38967.480000000003</v>
      </c>
      <c r="F2062" s="1"/>
    </row>
    <row r="2063" spans="1:6" x14ac:dyDescent="0.35">
      <c r="A2063">
        <v>2013</v>
      </c>
      <c r="B2063" s="1" t="s">
        <v>212</v>
      </c>
      <c r="C2063" s="1" t="s">
        <v>213</v>
      </c>
      <c r="D2063" s="1" t="s">
        <v>7</v>
      </c>
      <c r="E2063" s="1">
        <v>93270.2</v>
      </c>
      <c r="F2063" s="1"/>
    </row>
    <row r="2064" spans="1:6" x14ac:dyDescent="0.35">
      <c r="A2064">
        <v>2013</v>
      </c>
      <c r="B2064" s="1" t="s">
        <v>212</v>
      </c>
      <c r="C2064" s="1" t="s">
        <v>213</v>
      </c>
      <c r="D2064" s="1" t="s">
        <v>8</v>
      </c>
      <c r="E2064" s="1">
        <v>30327.55</v>
      </c>
      <c r="F2064" s="1"/>
    </row>
    <row r="2065" spans="1:6" x14ac:dyDescent="0.35">
      <c r="A2065">
        <v>2013</v>
      </c>
      <c r="B2065" s="1" t="s">
        <v>212</v>
      </c>
      <c r="C2065" s="1" t="s">
        <v>213</v>
      </c>
      <c r="D2065" s="1" t="s">
        <v>9</v>
      </c>
      <c r="E2065" s="1">
        <v>1113.21</v>
      </c>
      <c r="F2065" s="1"/>
    </row>
    <row r="2066" spans="1:6" x14ac:dyDescent="0.35">
      <c r="A2066">
        <v>2015</v>
      </c>
      <c r="B2066" s="1" t="s">
        <v>72</v>
      </c>
      <c r="C2066" s="1" t="s">
        <v>73</v>
      </c>
      <c r="D2066" s="1" t="s">
        <v>7</v>
      </c>
      <c r="E2066" s="1">
        <v>128866.6</v>
      </c>
      <c r="F2066" s="1"/>
    </row>
    <row r="2067" spans="1:6" x14ac:dyDescent="0.35">
      <c r="A2067">
        <v>2015</v>
      </c>
      <c r="B2067" s="1" t="s">
        <v>72</v>
      </c>
      <c r="C2067" s="1" t="s">
        <v>73</v>
      </c>
      <c r="D2067" s="1" t="s">
        <v>8</v>
      </c>
      <c r="E2067" s="1">
        <v>65402.54</v>
      </c>
      <c r="F2067" s="1"/>
    </row>
    <row r="2068" spans="1:6" x14ac:dyDescent="0.35">
      <c r="A2068">
        <v>2015</v>
      </c>
      <c r="B2068" s="1" t="s">
        <v>72</v>
      </c>
      <c r="C2068" s="1" t="s">
        <v>73</v>
      </c>
      <c r="D2068" s="1" t="s">
        <v>9</v>
      </c>
      <c r="E2068" s="1">
        <v>18156.580000000002</v>
      </c>
      <c r="F2068" s="1"/>
    </row>
    <row r="2069" spans="1:6" x14ac:dyDescent="0.35">
      <c r="A2069">
        <v>2015</v>
      </c>
      <c r="B2069" s="1" t="s">
        <v>74</v>
      </c>
      <c r="C2069" s="1" t="s">
        <v>75</v>
      </c>
      <c r="D2069" s="1" t="s">
        <v>7</v>
      </c>
      <c r="E2069" s="1">
        <v>124980.58</v>
      </c>
      <c r="F2069" s="1"/>
    </row>
    <row r="2070" spans="1:6" x14ac:dyDescent="0.35">
      <c r="A2070">
        <v>2015</v>
      </c>
      <c r="B2070" s="1" t="s">
        <v>74</v>
      </c>
      <c r="C2070" s="1" t="s">
        <v>75</v>
      </c>
      <c r="D2070" s="1" t="s">
        <v>8</v>
      </c>
      <c r="E2070" s="1">
        <v>43582.12</v>
      </c>
      <c r="F2070" s="1"/>
    </row>
    <row r="2071" spans="1:6" x14ac:dyDescent="0.35">
      <c r="A2071">
        <v>2015</v>
      </c>
      <c r="B2071" s="1" t="s">
        <v>74</v>
      </c>
      <c r="C2071" s="1" t="s">
        <v>75</v>
      </c>
      <c r="D2071" s="1" t="s">
        <v>9</v>
      </c>
      <c r="E2071" s="1">
        <v>21797.71</v>
      </c>
      <c r="F2071" s="1"/>
    </row>
    <row r="2072" spans="1:6" x14ac:dyDescent="0.35">
      <c r="A2072">
        <v>2015</v>
      </c>
      <c r="B2072" s="1" t="s">
        <v>76</v>
      </c>
      <c r="C2072" s="1" t="s">
        <v>77</v>
      </c>
      <c r="D2072" s="1" t="s">
        <v>7</v>
      </c>
      <c r="E2072" s="1">
        <v>62894.99</v>
      </c>
      <c r="F2072" s="1"/>
    </row>
    <row r="2073" spans="1:6" x14ac:dyDescent="0.35">
      <c r="A2073">
        <v>2015</v>
      </c>
      <c r="B2073" s="1" t="s">
        <v>76</v>
      </c>
      <c r="C2073" s="1" t="s">
        <v>77</v>
      </c>
      <c r="D2073" s="1" t="s">
        <v>8</v>
      </c>
      <c r="E2073" s="1">
        <v>42963.34</v>
      </c>
      <c r="F2073" s="1"/>
    </row>
    <row r="2074" spans="1:6" x14ac:dyDescent="0.35">
      <c r="A2074">
        <v>2015</v>
      </c>
      <c r="B2074" s="1" t="s">
        <v>76</v>
      </c>
      <c r="C2074" s="1" t="s">
        <v>77</v>
      </c>
      <c r="D2074" s="1" t="s">
        <v>9</v>
      </c>
      <c r="E2074" s="1">
        <v>4357.22</v>
      </c>
      <c r="F2074" s="1"/>
    </row>
    <row r="2075" spans="1:6" x14ac:dyDescent="0.35">
      <c r="A2075">
        <v>2015</v>
      </c>
      <c r="B2075" s="1" t="s">
        <v>78</v>
      </c>
      <c r="C2075" s="1" t="s">
        <v>79</v>
      </c>
      <c r="D2075" s="1" t="s">
        <v>7</v>
      </c>
      <c r="E2075" s="1">
        <v>233630.98</v>
      </c>
      <c r="F2075" s="1"/>
    </row>
    <row r="2076" spans="1:6" x14ac:dyDescent="0.35">
      <c r="A2076">
        <v>2015</v>
      </c>
      <c r="B2076" s="1" t="s">
        <v>78</v>
      </c>
      <c r="C2076" s="1" t="s">
        <v>79</v>
      </c>
      <c r="D2076" s="1" t="s">
        <v>8</v>
      </c>
      <c r="E2076" s="1">
        <v>182094.09</v>
      </c>
      <c r="F2076" s="1"/>
    </row>
    <row r="2077" spans="1:6" x14ac:dyDescent="0.35">
      <c r="A2077">
        <v>2015</v>
      </c>
      <c r="B2077" s="1" t="s">
        <v>78</v>
      </c>
      <c r="C2077" s="1" t="s">
        <v>79</v>
      </c>
      <c r="D2077" s="1" t="s">
        <v>9</v>
      </c>
      <c r="E2077" s="1">
        <v>58524.959999999999</v>
      </c>
      <c r="F2077" s="1"/>
    </row>
    <row r="2078" spans="1:6" x14ac:dyDescent="0.35">
      <c r="A2078">
        <v>2015</v>
      </c>
      <c r="B2078" s="1" t="s">
        <v>214</v>
      </c>
      <c r="C2078" s="1" t="s">
        <v>215</v>
      </c>
      <c r="D2078" s="1" t="s">
        <v>7</v>
      </c>
      <c r="E2078" s="1">
        <v>52639.42</v>
      </c>
      <c r="F2078" s="1"/>
    </row>
    <row r="2079" spans="1:6" x14ac:dyDescent="0.35">
      <c r="A2079">
        <v>2015</v>
      </c>
      <c r="B2079" s="1" t="s">
        <v>214</v>
      </c>
      <c r="C2079" s="1" t="s">
        <v>215</v>
      </c>
      <c r="D2079" s="1" t="s">
        <v>8</v>
      </c>
      <c r="E2079" s="1">
        <v>110.74</v>
      </c>
      <c r="F2079" s="1"/>
    </row>
    <row r="2080" spans="1:6" x14ac:dyDescent="0.35">
      <c r="A2080">
        <v>2015</v>
      </c>
      <c r="B2080" s="1" t="s">
        <v>80</v>
      </c>
      <c r="C2080" s="1" t="s">
        <v>81</v>
      </c>
      <c r="D2080" s="1" t="s">
        <v>7</v>
      </c>
      <c r="E2080" s="1">
        <v>5680</v>
      </c>
      <c r="F2080" s="1"/>
    </row>
    <row r="2081" spans="1:6" x14ac:dyDescent="0.35">
      <c r="A2081">
        <v>2015</v>
      </c>
      <c r="B2081" s="1" t="s">
        <v>80</v>
      </c>
      <c r="C2081" s="1" t="s">
        <v>81</v>
      </c>
      <c r="D2081" s="1" t="s">
        <v>8</v>
      </c>
      <c r="E2081" s="1">
        <v>990</v>
      </c>
      <c r="F2081" s="1"/>
    </row>
    <row r="2082" spans="1:6" x14ac:dyDescent="0.35">
      <c r="A2082">
        <v>2015</v>
      </c>
      <c r="B2082" s="1" t="s">
        <v>80</v>
      </c>
      <c r="C2082" s="1" t="s">
        <v>81</v>
      </c>
      <c r="D2082" s="1" t="s">
        <v>9</v>
      </c>
      <c r="E2082" s="1">
        <v>7910</v>
      </c>
      <c r="F2082" s="1"/>
    </row>
    <row r="2083" spans="1:6" x14ac:dyDescent="0.35">
      <c r="A2083">
        <v>2015</v>
      </c>
      <c r="B2083" s="1" t="s">
        <v>82</v>
      </c>
      <c r="C2083" s="1" t="s">
        <v>83</v>
      </c>
      <c r="D2083" s="1" t="s">
        <v>7</v>
      </c>
      <c r="E2083" s="1">
        <v>16041</v>
      </c>
      <c r="F2083" s="1"/>
    </row>
    <row r="2084" spans="1:6" x14ac:dyDescent="0.35">
      <c r="A2084">
        <v>2015</v>
      </c>
      <c r="B2084" s="1" t="s">
        <v>82</v>
      </c>
      <c r="C2084" s="1" t="s">
        <v>83</v>
      </c>
      <c r="D2084" s="1" t="s">
        <v>8</v>
      </c>
      <c r="E2084" s="1">
        <v>2321</v>
      </c>
      <c r="F2084" s="1"/>
    </row>
    <row r="2085" spans="1:6" x14ac:dyDescent="0.35">
      <c r="A2085">
        <v>2015</v>
      </c>
      <c r="B2085" s="1" t="s">
        <v>82</v>
      </c>
      <c r="C2085" s="1" t="s">
        <v>83</v>
      </c>
      <c r="D2085" s="1" t="s">
        <v>9</v>
      </c>
      <c r="E2085" s="1">
        <v>496.08</v>
      </c>
      <c r="F2085" s="1"/>
    </row>
    <row r="2086" spans="1:6" x14ac:dyDescent="0.35">
      <c r="A2086">
        <v>2015</v>
      </c>
      <c r="B2086" s="1" t="s">
        <v>212</v>
      </c>
      <c r="C2086" s="1" t="s">
        <v>213</v>
      </c>
      <c r="D2086" s="1" t="s">
        <v>7</v>
      </c>
      <c r="E2086" s="1">
        <v>77031.179999999993</v>
      </c>
      <c r="F2086" s="1"/>
    </row>
    <row r="2087" spans="1:6" x14ac:dyDescent="0.35">
      <c r="A2087">
        <v>2015</v>
      </c>
      <c r="B2087" s="1" t="s">
        <v>212</v>
      </c>
      <c r="C2087" s="1" t="s">
        <v>213</v>
      </c>
      <c r="D2087" s="1" t="s">
        <v>8</v>
      </c>
      <c r="E2087" s="1">
        <v>5322.83</v>
      </c>
      <c r="F2087" s="1"/>
    </row>
    <row r="2088" spans="1:6" x14ac:dyDescent="0.35">
      <c r="A2088">
        <v>2015</v>
      </c>
      <c r="B2088" s="1" t="s">
        <v>212</v>
      </c>
      <c r="C2088" s="1" t="s">
        <v>213</v>
      </c>
      <c r="D2088" s="1" t="s">
        <v>9</v>
      </c>
      <c r="E2088" s="1">
        <v>488.95</v>
      </c>
      <c r="F2088" s="1"/>
    </row>
    <row r="2089" spans="1:6" x14ac:dyDescent="0.35">
      <c r="A2089">
        <v>2017</v>
      </c>
      <c r="B2089" s="1" t="s">
        <v>72</v>
      </c>
      <c r="C2089" s="1" t="s">
        <v>73</v>
      </c>
      <c r="D2089" s="1" t="s">
        <v>7</v>
      </c>
      <c r="E2089" s="1">
        <v>129336.05</v>
      </c>
      <c r="F2089" s="1"/>
    </row>
    <row r="2090" spans="1:6" x14ac:dyDescent="0.35">
      <c r="A2090">
        <v>2017</v>
      </c>
      <c r="B2090" s="1" t="s">
        <v>72</v>
      </c>
      <c r="C2090" s="1" t="s">
        <v>73</v>
      </c>
      <c r="D2090" s="1" t="s">
        <v>8</v>
      </c>
      <c r="E2090" s="1">
        <v>102611.85</v>
      </c>
      <c r="F2090" s="1"/>
    </row>
    <row r="2091" spans="1:6" x14ac:dyDescent="0.35">
      <c r="A2091">
        <v>2017</v>
      </c>
      <c r="B2091" s="1" t="s">
        <v>72</v>
      </c>
      <c r="C2091" s="1" t="s">
        <v>73</v>
      </c>
      <c r="D2091" s="1" t="s">
        <v>9</v>
      </c>
      <c r="E2091" s="1">
        <v>28955.01</v>
      </c>
      <c r="F2091" s="1"/>
    </row>
    <row r="2092" spans="1:6" x14ac:dyDescent="0.35">
      <c r="A2092">
        <v>2017</v>
      </c>
      <c r="B2092" s="1" t="s">
        <v>74</v>
      </c>
      <c r="C2092" s="1" t="s">
        <v>75</v>
      </c>
      <c r="D2092" s="1" t="s">
        <v>7</v>
      </c>
      <c r="E2092" s="1">
        <v>121600.41</v>
      </c>
      <c r="F2092" s="1"/>
    </row>
    <row r="2093" spans="1:6" x14ac:dyDescent="0.35">
      <c r="A2093">
        <v>2017</v>
      </c>
      <c r="B2093" s="1" t="s">
        <v>74</v>
      </c>
      <c r="C2093" s="1" t="s">
        <v>75</v>
      </c>
      <c r="D2093" s="1" t="s">
        <v>8</v>
      </c>
      <c r="E2093" s="1">
        <v>47987.93</v>
      </c>
      <c r="F2093" s="1"/>
    </row>
    <row r="2094" spans="1:6" x14ac:dyDescent="0.35">
      <c r="A2094">
        <v>2017</v>
      </c>
      <c r="B2094" s="1" t="s">
        <v>74</v>
      </c>
      <c r="C2094" s="1" t="s">
        <v>75</v>
      </c>
      <c r="D2094" s="1" t="s">
        <v>9</v>
      </c>
      <c r="E2094" s="1">
        <v>27464.959999999999</v>
      </c>
      <c r="F2094" s="1"/>
    </row>
    <row r="2095" spans="1:6" x14ac:dyDescent="0.35">
      <c r="A2095">
        <v>2017</v>
      </c>
      <c r="B2095" s="1" t="s">
        <v>76</v>
      </c>
      <c r="C2095" s="1" t="s">
        <v>77</v>
      </c>
      <c r="D2095" s="1" t="s">
        <v>7</v>
      </c>
      <c r="E2095" s="1">
        <v>61619</v>
      </c>
      <c r="F2095" s="1"/>
    </row>
    <row r="2096" spans="1:6" x14ac:dyDescent="0.35">
      <c r="A2096">
        <v>2017</v>
      </c>
      <c r="B2096" s="1" t="s">
        <v>76</v>
      </c>
      <c r="C2096" s="1" t="s">
        <v>77</v>
      </c>
      <c r="D2096" s="1" t="s">
        <v>8</v>
      </c>
      <c r="E2096" s="1">
        <v>40381.83</v>
      </c>
      <c r="F2096" s="1"/>
    </row>
    <row r="2097" spans="1:6" x14ac:dyDescent="0.35">
      <c r="A2097">
        <v>2017</v>
      </c>
      <c r="B2097" s="1" t="s">
        <v>76</v>
      </c>
      <c r="C2097" s="1" t="s">
        <v>77</v>
      </c>
      <c r="D2097" s="1" t="s">
        <v>9</v>
      </c>
      <c r="E2097" s="1">
        <v>2794.49</v>
      </c>
      <c r="F2097" s="1"/>
    </row>
    <row r="2098" spans="1:6" x14ac:dyDescent="0.35">
      <c r="A2098">
        <v>2017</v>
      </c>
      <c r="B2098" s="1" t="s">
        <v>78</v>
      </c>
      <c r="C2098" s="1" t="s">
        <v>79</v>
      </c>
      <c r="D2098" s="1" t="s">
        <v>7</v>
      </c>
      <c r="E2098" s="1">
        <v>219437.79</v>
      </c>
      <c r="F2098" s="1"/>
    </row>
    <row r="2099" spans="1:6" x14ac:dyDescent="0.35">
      <c r="A2099">
        <v>2017</v>
      </c>
      <c r="B2099" s="1" t="s">
        <v>78</v>
      </c>
      <c r="C2099" s="1" t="s">
        <v>79</v>
      </c>
      <c r="D2099" s="1" t="s">
        <v>8</v>
      </c>
      <c r="E2099" s="1">
        <v>190356.97</v>
      </c>
      <c r="F2099" s="1"/>
    </row>
    <row r="2100" spans="1:6" x14ac:dyDescent="0.35">
      <c r="A2100">
        <v>2017</v>
      </c>
      <c r="B2100" s="1" t="s">
        <v>78</v>
      </c>
      <c r="C2100" s="1" t="s">
        <v>79</v>
      </c>
      <c r="D2100" s="1" t="s">
        <v>9</v>
      </c>
      <c r="E2100" s="1">
        <v>137243.63</v>
      </c>
      <c r="F2100" s="1"/>
    </row>
    <row r="2101" spans="1:6" x14ac:dyDescent="0.35">
      <c r="A2101">
        <v>2017</v>
      </c>
      <c r="B2101" s="1" t="s">
        <v>214</v>
      </c>
      <c r="C2101" s="1" t="s">
        <v>215</v>
      </c>
      <c r="D2101" s="1" t="s">
        <v>7</v>
      </c>
      <c r="E2101" s="1">
        <v>56019.66</v>
      </c>
      <c r="F2101" s="1"/>
    </row>
    <row r="2102" spans="1:6" x14ac:dyDescent="0.35">
      <c r="A2102">
        <v>2017</v>
      </c>
      <c r="B2102" s="1" t="s">
        <v>214</v>
      </c>
      <c r="C2102" s="1" t="s">
        <v>215</v>
      </c>
      <c r="D2102" s="1" t="s">
        <v>8</v>
      </c>
      <c r="E2102" s="1">
        <v>737.4</v>
      </c>
      <c r="F2102" s="1"/>
    </row>
    <row r="2103" spans="1:6" x14ac:dyDescent="0.35">
      <c r="A2103">
        <v>2019</v>
      </c>
      <c r="B2103" s="1" t="s">
        <v>72</v>
      </c>
      <c r="C2103" s="1" t="s">
        <v>73</v>
      </c>
      <c r="D2103" s="1" t="s">
        <v>7</v>
      </c>
      <c r="E2103" s="1">
        <v>134651.57999999999</v>
      </c>
      <c r="F2103" s="1"/>
    </row>
    <row r="2104" spans="1:6" x14ac:dyDescent="0.35">
      <c r="A2104">
        <v>2019</v>
      </c>
      <c r="B2104" s="1" t="s">
        <v>72</v>
      </c>
      <c r="C2104" s="1" t="s">
        <v>73</v>
      </c>
      <c r="D2104" s="1" t="s">
        <v>8</v>
      </c>
      <c r="E2104" s="1">
        <v>70271.69</v>
      </c>
      <c r="F2104" s="1"/>
    </row>
    <row r="2105" spans="1:6" x14ac:dyDescent="0.35">
      <c r="A2105">
        <v>2019</v>
      </c>
      <c r="B2105" s="1" t="s">
        <v>72</v>
      </c>
      <c r="C2105" s="1" t="s">
        <v>73</v>
      </c>
      <c r="D2105" s="1" t="s">
        <v>9</v>
      </c>
      <c r="E2105" s="1">
        <v>40674.19</v>
      </c>
      <c r="F2105" s="1"/>
    </row>
    <row r="2106" spans="1:6" x14ac:dyDescent="0.35">
      <c r="A2106">
        <v>2019</v>
      </c>
      <c r="B2106" s="1" t="s">
        <v>74</v>
      </c>
      <c r="C2106" s="1" t="s">
        <v>75</v>
      </c>
      <c r="D2106" s="1" t="s">
        <v>7</v>
      </c>
      <c r="E2106" s="1">
        <v>128372.94</v>
      </c>
      <c r="F2106" s="1"/>
    </row>
    <row r="2107" spans="1:6" x14ac:dyDescent="0.35">
      <c r="A2107">
        <v>2019</v>
      </c>
      <c r="B2107" s="1" t="s">
        <v>74</v>
      </c>
      <c r="C2107" s="1" t="s">
        <v>75</v>
      </c>
      <c r="D2107" s="1" t="s">
        <v>8</v>
      </c>
      <c r="E2107" s="1">
        <v>46054.95</v>
      </c>
      <c r="F2107" s="1"/>
    </row>
    <row r="2108" spans="1:6" x14ac:dyDescent="0.35">
      <c r="A2108">
        <v>2019</v>
      </c>
      <c r="B2108" s="1" t="s">
        <v>74</v>
      </c>
      <c r="C2108" s="1" t="s">
        <v>75</v>
      </c>
      <c r="D2108" s="1" t="s">
        <v>9</v>
      </c>
      <c r="E2108" s="1">
        <v>21631.98</v>
      </c>
      <c r="F2108" s="1"/>
    </row>
    <row r="2109" spans="1:6" x14ac:dyDescent="0.35">
      <c r="A2109">
        <v>2019</v>
      </c>
      <c r="B2109" s="1" t="s">
        <v>76</v>
      </c>
      <c r="C2109" s="1" t="s">
        <v>77</v>
      </c>
      <c r="D2109" s="1" t="s">
        <v>7</v>
      </c>
      <c r="E2109" s="1">
        <v>58308.6</v>
      </c>
      <c r="F2109" s="1"/>
    </row>
    <row r="2110" spans="1:6" x14ac:dyDescent="0.35">
      <c r="A2110">
        <v>2019</v>
      </c>
      <c r="B2110" s="1" t="s">
        <v>76</v>
      </c>
      <c r="C2110" s="1" t="s">
        <v>77</v>
      </c>
      <c r="D2110" s="1" t="s">
        <v>8</v>
      </c>
      <c r="E2110" s="1">
        <v>45306.33</v>
      </c>
      <c r="F2110" s="1"/>
    </row>
    <row r="2111" spans="1:6" x14ac:dyDescent="0.35">
      <c r="A2111">
        <v>2019</v>
      </c>
      <c r="B2111" s="1" t="s">
        <v>76</v>
      </c>
      <c r="C2111" s="1" t="s">
        <v>77</v>
      </c>
      <c r="D2111" s="1" t="s">
        <v>9</v>
      </c>
      <c r="E2111" s="1">
        <v>3991.34</v>
      </c>
      <c r="F2111" s="1"/>
    </row>
    <row r="2112" spans="1:6" x14ac:dyDescent="0.35">
      <c r="A2112">
        <v>2019</v>
      </c>
      <c r="B2112" s="1" t="s">
        <v>78</v>
      </c>
      <c r="C2112" s="1" t="s">
        <v>79</v>
      </c>
      <c r="D2112" s="1" t="s">
        <v>7</v>
      </c>
      <c r="E2112" s="1">
        <v>208196.58</v>
      </c>
      <c r="F2112" s="1"/>
    </row>
    <row r="2113" spans="1:6" x14ac:dyDescent="0.35">
      <c r="A2113">
        <v>2019</v>
      </c>
      <c r="B2113" s="1" t="s">
        <v>78</v>
      </c>
      <c r="C2113" s="1" t="s">
        <v>79</v>
      </c>
      <c r="D2113" s="1" t="s">
        <v>8</v>
      </c>
      <c r="E2113" s="1">
        <v>205385.78</v>
      </c>
      <c r="F2113" s="1"/>
    </row>
    <row r="2114" spans="1:6" x14ac:dyDescent="0.35">
      <c r="A2114">
        <v>2019</v>
      </c>
      <c r="B2114" s="1" t="s">
        <v>78</v>
      </c>
      <c r="C2114" s="1" t="s">
        <v>79</v>
      </c>
      <c r="D2114" s="1" t="s">
        <v>9</v>
      </c>
      <c r="E2114" s="1">
        <v>74730.23</v>
      </c>
      <c r="F2114" s="1"/>
    </row>
    <row r="2115" spans="1:6" x14ac:dyDescent="0.35">
      <c r="A2115">
        <v>2021</v>
      </c>
      <c r="B2115" s="1" t="s">
        <v>72</v>
      </c>
      <c r="C2115" s="1" t="s">
        <v>73</v>
      </c>
      <c r="D2115" s="1" t="s">
        <v>7</v>
      </c>
      <c r="E2115" s="1">
        <v>123130.22</v>
      </c>
      <c r="F2115" s="1"/>
    </row>
    <row r="2116" spans="1:6" x14ac:dyDescent="0.35">
      <c r="A2116">
        <v>2021</v>
      </c>
      <c r="B2116" s="1" t="s">
        <v>72</v>
      </c>
      <c r="C2116" s="1" t="s">
        <v>73</v>
      </c>
      <c r="D2116" s="1" t="s">
        <v>8</v>
      </c>
      <c r="E2116" s="1">
        <v>68161.320000000007</v>
      </c>
      <c r="F2116" s="1"/>
    </row>
    <row r="2117" spans="1:6" x14ac:dyDescent="0.35">
      <c r="A2117">
        <v>2021</v>
      </c>
      <c r="B2117" s="1" t="s">
        <v>72</v>
      </c>
      <c r="C2117" s="1" t="s">
        <v>73</v>
      </c>
      <c r="D2117" s="1" t="s">
        <v>9</v>
      </c>
      <c r="E2117" s="1">
        <v>44119.35</v>
      </c>
      <c r="F2117" s="1"/>
    </row>
    <row r="2118" spans="1:6" x14ac:dyDescent="0.35">
      <c r="A2118">
        <v>2021</v>
      </c>
      <c r="B2118" s="1" t="s">
        <v>74</v>
      </c>
      <c r="C2118" s="1" t="s">
        <v>75</v>
      </c>
      <c r="D2118" s="1" t="s">
        <v>7</v>
      </c>
      <c r="E2118" s="1">
        <v>122078.96</v>
      </c>
      <c r="F2118" s="1"/>
    </row>
    <row r="2119" spans="1:6" x14ac:dyDescent="0.35">
      <c r="A2119">
        <v>2021</v>
      </c>
      <c r="B2119" s="1" t="s">
        <v>74</v>
      </c>
      <c r="C2119" s="1" t="s">
        <v>75</v>
      </c>
      <c r="D2119" s="1" t="s">
        <v>8</v>
      </c>
      <c r="E2119" s="1">
        <v>36408.870000000003</v>
      </c>
      <c r="F2119" s="1"/>
    </row>
    <row r="2120" spans="1:6" x14ac:dyDescent="0.35">
      <c r="A2120">
        <v>2021</v>
      </c>
      <c r="B2120" s="1" t="s">
        <v>74</v>
      </c>
      <c r="C2120" s="1" t="s">
        <v>75</v>
      </c>
      <c r="D2120" s="1" t="s">
        <v>9</v>
      </c>
      <c r="E2120" s="1">
        <v>15172.26</v>
      </c>
      <c r="F2120" s="1"/>
    </row>
    <row r="2121" spans="1:6" x14ac:dyDescent="0.35">
      <c r="A2121">
        <v>2021</v>
      </c>
      <c r="B2121" s="1" t="s">
        <v>78</v>
      </c>
      <c r="C2121" s="1" t="s">
        <v>79</v>
      </c>
      <c r="D2121" s="1" t="s">
        <v>7</v>
      </c>
      <c r="E2121" s="1">
        <v>235200.01</v>
      </c>
      <c r="F2121" s="1"/>
    </row>
    <row r="2122" spans="1:6" x14ac:dyDescent="0.35">
      <c r="A2122">
        <v>2021</v>
      </c>
      <c r="B2122" s="1" t="s">
        <v>78</v>
      </c>
      <c r="C2122" s="1" t="s">
        <v>79</v>
      </c>
      <c r="D2122" s="1" t="s">
        <v>8</v>
      </c>
      <c r="E2122" s="1">
        <v>192728.57</v>
      </c>
      <c r="F2122" s="1"/>
    </row>
    <row r="2123" spans="1:6" x14ac:dyDescent="0.35">
      <c r="A2123">
        <v>2021</v>
      </c>
      <c r="B2123" s="1" t="s">
        <v>78</v>
      </c>
      <c r="C2123" s="1" t="s">
        <v>79</v>
      </c>
      <c r="D2123" s="1" t="s">
        <v>9</v>
      </c>
      <c r="E2123" s="1">
        <v>90458.14</v>
      </c>
      <c r="F2123" s="1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96A43-56FB-438D-81E4-80FCFC514849}">
  <dimension ref="A1:D5547"/>
  <sheetViews>
    <sheetView workbookViewId="0">
      <selection activeCell="B8" sqref="B8"/>
    </sheetView>
  </sheetViews>
  <sheetFormatPr baseColWidth="10" defaultRowHeight="14.5" x14ac:dyDescent="0.35"/>
  <cols>
    <col min="1" max="1" width="6.81640625" bestFit="1" customWidth="1"/>
    <col min="2" max="2" width="80.7265625" bestFit="1" customWidth="1"/>
    <col min="3" max="3" width="22.1796875" bestFit="1" customWidth="1"/>
    <col min="4" max="4" width="10.1796875" bestFit="1" customWidth="1"/>
    <col min="5" max="5" width="8" bestFit="1" customWidth="1"/>
    <col min="6" max="6" width="7.453125" bestFit="1" customWidth="1"/>
    <col min="7" max="7" width="6.81640625" bestFit="1" customWidth="1"/>
    <col min="8" max="8" width="9.1796875" bestFit="1" customWidth="1"/>
  </cols>
  <sheetData>
    <row r="1" spans="1:4" x14ac:dyDescent="0.35">
      <c r="A1" t="s">
        <v>293</v>
      </c>
      <c r="B1" t="s">
        <v>216</v>
      </c>
      <c r="C1" t="s">
        <v>217</v>
      </c>
      <c r="D1" t="s">
        <v>218</v>
      </c>
    </row>
    <row r="2" spans="1:4" x14ac:dyDescent="0.35">
      <c r="A2" s="1">
        <v>2025</v>
      </c>
      <c r="B2" t="s">
        <v>5</v>
      </c>
      <c r="C2" t="s">
        <v>6</v>
      </c>
      <c r="D2">
        <v>688626</v>
      </c>
    </row>
    <row r="3" spans="1:4" x14ac:dyDescent="0.35">
      <c r="A3" s="1">
        <v>2025</v>
      </c>
      <c r="B3" t="s">
        <v>104</v>
      </c>
      <c r="C3" t="s">
        <v>105</v>
      </c>
      <c r="D3">
        <v>518817</v>
      </c>
    </row>
    <row r="4" spans="1:4" x14ac:dyDescent="0.35">
      <c r="A4" s="1">
        <v>2025</v>
      </c>
      <c r="B4" t="s">
        <v>10</v>
      </c>
      <c r="C4" t="s">
        <v>11</v>
      </c>
      <c r="D4">
        <v>332599</v>
      </c>
    </row>
    <row r="5" spans="1:4" x14ac:dyDescent="0.35">
      <c r="A5" s="1">
        <v>2025</v>
      </c>
      <c r="B5" t="s">
        <v>200</v>
      </c>
      <c r="C5" t="s">
        <v>201</v>
      </c>
      <c r="D5">
        <v>169806</v>
      </c>
    </row>
    <row r="6" spans="1:4" x14ac:dyDescent="0.35">
      <c r="A6" s="1">
        <v>2025</v>
      </c>
      <c r="B6" t="s">
        <v>202</v>
      </c>
      <c r="C6" t="s">
        <v>203</v>
      </c>
      <c r="D6">
        <v>142006</v>
      </c>
    </row>
    <row r="7" spans="1:4" x14ac:dyDescent="0.35">
      <c r="A7" s="1">
        <v>2025</v>
      </c>
      <c r="B7" t="s">
        <v>204</v>
      </c>
      <c r="C7" t="s">
        <v>205</v>
      </c>
      <c r="D7">
        <v>1129950</v>
      </c>
    </row>
    <row r="8" spans="1:4" x14ac:dyDescent="0.35">
      <c r="A8" s="1">
        <v>2025</v>
      </c>
      <c r="B8" t="s">
        <v>12</v>
      </c>
      <c r="C8" t="s">
        <v>13</v>
      </c>
      <c r="D8">
        <v>336947</v>
      </c>
    </row>
    <row r="9" spans="1:4" x14ac:dyDescent="0.35">
      <c r="A9" s="1">
        <v>2025</v>
      </c>
      <c r="B9" t="s">
        <v>84</v>
      </c>
      <c r="C9" t="s">
        <v>85</v>
      </c>
      <c r="D9">
        <v>263194</v>
      </c>
    </row>
    <row r="10" spans="1:4" x14ac:dyDescent="0.35">
      <c r="A10" s="1">
        <v>2025</v>
      </c>
      <c r="B10" t="s">
        <v>164</v>
      </c>
      <c r="C10" t="s">
        <v>165</v>
      </c>
      <c r="D10">
        <v>156787</v>
      </c>
    </row>
    <row r="11" spans="1:4" x14ac:dyDescent="0.35">
      <c r="A11" s="1">
        <v>2025</v>
      </c>
      <c r="B11" t="s">
        <v>86</v>
      </c>
      <c r="C11" t="s">
        <v>87</v>
      </c>
      <c r="D11">
        <v>310930</v>
      </c>
    </row>
    <row r="12" spans="1:4" x14ac:dyDescent="0.35">
      <c r="A12" s="1">
        <v>2025</v>
      </c>
      <c r="B12" t="s">
        <v>166</v>
      </c>
      <c r="C12" t="s">
        <v>167</v>
      </c>
      <c r="D12">
        <v>379729</v>
      </c>
    </row>
    <row r="13" spans="1:4" x14ac:dyDescent="0.35">
      <c r="A13" s="1">
        <v>2025</v>
      </c>
      <c r="B13" t="s">
        <v>168</v>
      </c>
      <c r="C13" t="s">
        <v>169</v>
      </c>
      <c r="D13">
        <v>278355</v>
      </c>
    </row>
    <row r="14" spans="1:4" x14ac:dyDescent="0.35">
      <c r="A14" s="1">
        <v>2025</v>
      </c>
      <c r="B14" t="s">
        <v>206</v>
      </c>
      <c r="C14" t="s">
        <v>207</v>
      </c>
      <c r="D14">
        <v>2090225</v>
      </c>
    </row>
    <row r="15" spans="1:4" x14ac:dyDescent="0.35">
      <c r="A15" s="1">
        <v>2025</v>
      </c>
      <c r="B15" t="s">
        <v>130</v>
      </c>
      <c r="C15" t="s">
        <v>131</v>
      </c>
      <c r="D15">
        <v>711029</v>
      </c>
    </row>
    <row r="16" spans="1:4" x14ac:dyDescent="0.35">
      <c r="A16" s="1">
        <v>2025</v>
      </c>
      <c r="B16" t="s">
        <v>14</v>
      </c>
      <c r="C16" t="s">
        <v>15</v>
      </c>
      <c r="D16">
        <v>143746</v>
      </c>
    </row>
    <row r="17" spans="1:4" x14ac:dyDescent="0.35">
      <c r="A17" s="1">
        <v>2025</v>
      </c>
      <c r="B17" t="s">
        <v>140</v>
      </c>
      <c r="C17" t="s">
        <v>141</v>
      </c>
      <c r="D17">
        <v>350209</v>
      </c>
    </row>
    <row r="18" spans="1:4" x14ac:dyDescent="0.35">
      <c r="A18" s="1">
        <v>2025</v>
      </c>
      <c r="B18" t="s">
        <v>142</v>
      </c>
      <c r="C18" t="s">
        <v>143</v>
      </c>
      <c r="D18">
        <v>681666</v>
      </c>
    </row>
    <row r="19" spans="1:4" x14ac:dyDescent="0.35">
      <c r="A19" s="1">
        <v>2025</v>
      </c>
      <c r="B19" t="s">
        <v>56</v>
      </c>
      <c r="C19" t="s">
        <v>57</v>
      </c>
      <c r="D19">
        <v>295830</v>
      </c>
    </row>
    <row r="20" spans="1:4" x14ac:dyDescent="0.35">
      <c r="A20" s="1">
        <v>2025</v>
      </c>
      <c r="B20" t="s">
        <v>144</v>
      </c>
      <c r="C20" t="s">
        <v>145</v>
      </c>
      <c r="D20">
        <v>239483</v>
      </c>
    </row>
    <row r="21" spans="1:4" x14ac:dyDescent="0.35">
      <c r="A21" s="1">
        <v>2025</v>
      </c>
      <c r="B21" t="s">
        <v>68</v>
      </c>
      <c r="C21" t="s">
        <v>69</v>
      </c>
      <c r="D21">
        <v>172719</v>
      </c>
    </row>
    <row r="22" spans="1:4" x14ac:dyDescent="0.35">
      <c r="A22" s="1">
        <v>2025</v>
      </c>
      <c r="B22" t="s">
        <v>70</v>
      </c>
      <c r="C22" t="s">
        <v>71</v>
      </c>
      <c r="D22">
        <v>187443</v>
      </c>
    </row>
    <row r="23" spans="1:4" x14ac:dyDescent="0.35">
      <c r="A23" s="1">
        <v>2025</v>
      </c>
      <c r="B23" t="s">
        <v>32</v>
      </c>
      <c r="C23" t="s">
        <v>219</v>
      </c>
      <c r="D23">
        <v>538799</v>
      </c>
    </row>
    <row r="24" spans="1:4" x14ac:dyDescent="0.35">
      <c r="A24" s="1">
        <v>2025</v>
      </c>
      <c r="B24" t="s">
        <v>48</v>
      </c>
      <c r="C24" t="s">
        <v>220</v>
      </c>
      <c r="D24">
        <v>615301</v>
      </c>
    </row>
    <row r="25" spans="1:4" x14ac:dyDescent="0.35">
      <c r="A25" s="1">
        <v>2025</v>
      </c>
      <c r="B25" t="s">
        <v>146</v>
      </c>
      <c r="C25" t="s">
        <v>147</v>
      </c>
      <c r="D25">
        <v>114103</v>
      </c>
    </row>
    <row r="26" spans="1:4" x14ac:dyDescent="0.35">
      <c r="A26" s="1">
        <v>2025</v>
      </c>
      <c r="B26" t="s">
        <v>148</v>
      </c>
      <c r="C26" t="s">
        <v>149</v>
      </c>
      <c r="D26">
        <v>417714</v>
      </c>
    </row>
    <row r="27" spans="1:4" x14ac:dyDescent="0.35">
      <c r="A27" s="1">
        <v>2025</v>
      </c>
      <c r="B27" t="s">
        <v>34</v>
      </c>
      <c r="C27" t="s">
        <v>35</v>
      </c>
      <c r="D27">
        <v>550846</v>
      </c>
    </row>
    <row r="28" spans="1:4" x14ac:dyDescent="0.35">
      <c r="A28" s="1">
        <v>2025</v>
      </c>
      <c r="B28" t="s">
        <v>16</v>
      </c>
      <c r="C28" t="s">
        <v>17</v>
      </c>
      <c r="D28">
        <v>524409</v>
      </c>
    </row>
    <row r="29" spans="1:4" x14ac:dyDescent="0.35">
      <c r="A29" s="1">
        <v>2025</v>
      </c>
      <c r="B29" t="s">
        <v>132</v>
      </c>
      <c r="C29" t="s">
        <v>133</v>
      </c>
      <c r="D29">
        <v>601942</v>
      </c>
    </row>
    <row r="30" spans="1:4" x14ac:dyDescent="0.35">
      <c r="A30" s="1">
        <v>2025</v>
      </c>
      <c r="B30" t="s">
        <v>58</v>
      </c>
      <c r="C30" t="s">
        <v>59</v>
      </c>
      <c r="D30">
        <v>433148</v>
      </c>
    </row>
    <row r="31" spans="1:4" x14ac:dyDescent="0.35">
      <c r="A31" s="1">
        <v>2025</v>
      </c>
      <c r="B31" t="s">
        <v>50</v>
      </c>
      <c r="C31" t="s">
        <v>51</v>
      </c>
      <c r="D31">
        <v>936238</v>
      </c>
    </row>
    <row r="32" spans="1:4" x14ac:dyDescent="0.35">
      <c r="A32" s="1">
        <v>2025</v>
      </c>
      <c r="B32" t="s">
        <v>170</v>
      </c>
      <c r="C32" t="s">
        <v>171</v>
      </c>
      <c r="D32">
        <v>775994</v>
      </c>
    </row>
    <row r="33" spans="1:4" x14ac:dyDescent="0.35">
      <c r="A33" s="1">
        <v>2025</v>
      </c>
      <c r="B33" t="s">
        <v>172</v>
      </c>
      <c r="C33" t="s">
        <v>173</v>
      </c>
      <c r="D33">
        <v>1506391</v>
      </c>
    </row>
    <row r="34" spans="1:4" x14ac:dyDescent="0.35">
      <c r="A34" s="1">
        <v>2025</v>
      </c>
      <c r="B34" t="s">
        <v>174</v>
      </c>
      <c r="C34" t="s">
        <v>175</v>
      </c>
      <c r="D34">
        <v>193053</v>
      </c>
    </row>
    <row r="35" spans="1:4" x14ac:dyDescent="0.35">
      <c r="A35" s="1">
        <v>2025</v>
      </c>
      <c r="B35" t="s">
        <v>150</v>
      </c>
      <c r="C35" t="s">
        <v>151</v>
      </c>
      <c r="D35">
        <v>1718654</v>
      </c>
    </row>
    <row r="36" spans="1:4" x14ac:dyDescent="0.35">
      <c r="A36" s="1">
        <v>2025</v>
      </c>
      <c r="B36" t="s">
        <v>176</v>
      </c>
      <c r="C36" t="s">
        <v>177</v>
      </c>
      <c r="D36">
        <v>1252904</v>
      </c>
    </row>
    <row r="37" spans="1:4" x14ac:dyDescent="0.35">
      <c r="A37" s="1">
        <v>2025</v>
      </c>
      <c r="B37" t="s">
        <v>52</v>
      </c>
      <c r="C37" t="s">
        <v>53</v>
      </c>
      <c r="D37">
        <v>1134891</v>
      </c>
    </row>
    <row r="38" spans="1:4" x14ac:dyDescent="0.35">
      <c r="A38" s="1">
        <v>2025</v>
      </c>
      <c r="B38" t="s">
        <v>60</v>
      </c>
      <c r="C38" t="s">
        <v>61</v>
      </c>
      <c r="D38">
        <v>213358</v>
      </c>
    </row>
    <row r="39" spans="1:4" x14ac:dyDescent="0.35">
      <c r="A39" s="1">
        <v>2025</v>
      </c>
      <c r="B39" t="s">
        <v>62</v>
      </c>
      <c r="C39" t="s">
        <v>63</v>
      </c>
      <c r="D39">
        <v>620686</v>
      </c>
    </row>
    <row r="40" spans="1:4" x14ac:dyDescent="0.35">
      <c r="A40" s="1">
        <v>2025</v>
      </c>
      <c r="B40" t="s">
        <v>18</v>
      </c>
      <c r="C40" t="s">
        <v>19</v>
      </c>
      <c r="D40">
        <v>1308807</v>
      </c>
    </row>
    <row r="41" spans="1:4" x14ac:dyDescent="0.35">
      <c r="A41" s="1">
        <v>2025</v>
      </c>
      <c r="B41" t="s">
        <v>36</v>
      </c>
      <c r="C41" t="s">
        <v>37</v>
      </c>
      <c r="D41">
        <v>256977</v>
      </c>
    </row>
    <row r="42" spans="1:4" x14ac:dyDescent="0.35">
      <c r="A42" s="1">
        <v>2025</v>
      </c>
      <c r="B42" t="s">
        <v>152</v>
      </c>
      <c r="C42" t="s">
        <v>153</v>
      </c>
      <c r="D42">
        <v>440763</v>
      </c>
    </row>
    <row r="43" spans="1:4" x14ac:dyDescent="0.35">
      <c r="A43" s="1">
        <v>2025</v>
      </c>
      <c r="B43" t="s">
        <v>64</v>
      </c>
      <c r="C43" t="s">
        <v>65</v>
      </c>
      <c r="D43">
        <v>327451</v>
      </c>
    </row>
    <row r="44" spans="1:4" x14ac:dyDescent="0.35">
      <c r="A44" s="1">
        <v>2025</v>
      </c>
      <c r="B44" t="s">
        <v>20</v>
      </c>
      <c r="C44" t="s">
        <v>21</v>
      </c>
      <c r="D44">
        <v>776590</v>
      </c>
    </row>
    <row r="45" spans="1:4" x14ac:dyDescent="0.35">
      <c r="A45" s="1">
        <v>2025</v>
      </c>
      <c r="B45" t="s">
        <v>22</v>
      </c>
      <c r="C45" t="s">
        <v>23</v>
      </c>
      <c r="D45">
        <v>227959</v>
      </c>
    </row>
    <row r="46" spans="1:4" x14ac:dyDescent="0.35">
      <c r="A46" s="1">
        <v>2025</v>
      </c>
      <c r="B46" t="s">
        <v>190</v>
      </c>
      <c r="C46" t="s">
        <v>191</v>
      </c>
      <c r="D46">
        <v>1510913</v>
      </c>
    </row>
    <row r="47" spans="1:4" x14ac:dyDescent="0.35">
      <c r="A47" s="1">
        <v>2025</v>
      </c>
      <c r="B47" t="s">
        <v>66</v>
      </c>
      <c r="C47" t="s">
        <v>67</v>
      </c>
      <c r="D47">
        <v>691006</v>
      </c>
    </row>
    <row r="48" spans="1:4" x14ac:dyDescent="0.35">
      <c r="A48" s="1">
        <v>2025</v>
      </c>
      <c r="B48" t="s">
        <v>178</v>
      </c>
      <c r="C48" t="s">
        <v>179</v>
      </c>
      <c r="D48">
        <v>176432</v>
      </c>
    </row>
    <row r="49" spans="1:4" x14ac:dyDescent="0.35">
      <c r="A49" s="1">
        <v>2025</v>
      </c>
      <c r="B49" t="s">
        <v>154</v>
      </c>
      <c r="C49" t="s">
        <v>155</v>
      </c>
      <c r="D49">
        <v>332372</v>
      </c>
    </row>
    <row r="50" spans="1:4" x14ac:dyDescent="0.35">
      <c r="A50" s="1">
        <v>2025</v>
      </c>
      <c r="B50" t="s">
        <v>180</v>
      </c>
      <c r="C50" t="s">
        <v>181</v>
      </c>
      <c r="D50">
        <v>76452</v>
      </c>
    </row>
    <row r="51" spans="1:4" x14ac:dyDescent="0.35">
      <c r="A51" s="1">
        <v>2025</v>
      </c>
      <c r="B51" t="s">
        <v>192</v>
      </c>
      <c r="C51" t="s">
        <v>193</v>
      </c>
      <c r="D51">
        <v>835364</v>
      </c>
    </row>
    <row r="52" spans="1:4" x14ac:dyDescent="0.35">
      <c r="A52" s="1">
        <v>2025</v>
      </c>
      <c r="B52" t="s">
        <v>134</v>
      </c>
      <c r="C52" t="s">
        <v>135</v>
      </c>
      <c r="D52">
        <v>496199</v>
      </c>
    </row>
    <row r="53" spans="1:4" x14ac:dyDescent="0.35">
      <c r="A53" s="1">
        <v>2025</v>
      </c>
      <c r="B53" t="s">
        <v>88</v>
      </c>
      <c r="C53" t="s">
        <v>89</v>
      </c>
      <c r="D53">
        <v>558743</v>
      </c>
    </row>
    <row r="54" spans="1:4" x14ac:dyDescent="0.35">
      <c r="A54" s="1">
        <v>2025</v>
      </c>
      <c r="B54" t="s">
        <v>90</v>
      </c>
      <c r="C54" t="s">
        <v>91</v>
      </c>
      <c r="D54">
        <v>167047</v>
      </c>
    </row>
    <row r="55" spans="1:4" x14ac:dyDescent="0.35">
      <c r="A55" s="1">
        <v>2025</v>
      </c>
      <c r="B55" t="s">
        <v>194</v>
      </c>
      <c r="C55" t="s">
        <v>195</v>
      </c>
      <c r="D55">
        <v>303245</v>
      </c>
    </row>
    <row r="56" spans="1:4" x14ac:dyDescent="0.35">
      <c r="A56" s="1">
        <v>2025</v>
      </c>
      <c r="B56" t="s">
        <v>92</v>
      </c>
      <c r="C56" t="s">
        <v>93</v>
      </c>
      <c r="D56">
        <v>729358</v>
      </c>
    </row>
    <row r="57" spans="1:4" x14ac:dyDescent="0.35">
      <c r="A57" s="1">
        <v>2025</v>
      </c>
      <c r="B57" t="s">
        <v>94</v>
      </c>
      <c r="C57" t="s">
        <v>95</v>
      </c>
      <c r="D57">
        <v>177024</v>
      </c>
    </row>
    <row r="58" spans="1:4" x14ac:dyDescent="0.35">
      <c r="A58" s="1">
        <v>2025</v>
      </c>
      <c r="B58" t="s">
        <v>54</v>
      </c>
      <c r="C58" t="s">
        <v>55</v>
      </c>
      <c r="D58">
        <v>789465</v>
      </c>
    </row>
    <row r="59" spans="1:4" x14ac:dyDescent="0.35">
      <c r="A59" s="1">
        <v>2025</v>
      </c>
      <c r="B59" t="s">
        <v>96</v>
      </c>
      <c r="C59" t="s">
        <v>97</v>
      </c>
      <c r="D59">
        <v>1050955</v>
      </c>
    </row>
    <row r="60" spans="1:4" x14ac:dyDescent="0.35">
      <c r="A60" s="1">
        <v>2025</v>
      </c>
      <c r="B60" t="s">
        <v>38</v>
      </c>
      <c r="C60" t="s">
        <v>39</v>
      </c>
      <c r="D60">
        <v>199666</v>
      </c>
    </row>
    <row r="61" spans="1:4" x14ac:dyDescent="0.35">
      <c r="A61" s="1">
        <v>2025</v>
      </c>
      <c r="B61" t="s">
        <v>106</v>
      </c>
      <c r="C61" t="s">
        <v>107</v>
      </c>
      <c r="D61">
        <v>2615505</v>
      </c>
    </row>
    <row r="62" spans="1:4" x14ac:dyDescent="0.35">
      <c r="A62" s="1">
        <v>2025</v>
      </c>
      <c r="B62" t="s">
        <v>108</v>
      </c>
      <c r="C62" t="s">
        <v>109</v>
      </c>
      <c r="D62">
        <v>829583</v>
      </c>
    </row>
    <row r="63" spans="1:4" x14ac:dyDescent="0.35">
      <c r="A63" s="1">
        <v>2025</v>
      </c>
      <c r="B63" t="s">
        <v>136</v>
      </c>
      <c r="C63" t="s">
        <v>137</v>
      </c>
      <c r="D63">
        <v>271896</v>
      </c>
    </row>
    <row r="64" spans="1:4" x14ac:dyDescent="0.35">
      <c r="A64" s="1">
        <v>2025</v>
      </c>
      <c r="B64" t="s">
        <v>110</v>
      </c>
      <c r="C64" t="s">
        <v>111</v>
      </c>
      <c r="D64">
        <v>1450306</v>
      </c>
    </row>
    <row r="65" spans="1:4" x14ac:dyDescent="0.35">
      <c r="A65" s="1">
        <v>2025</v>
      </c>
      <c r="B65" t="s">
        <v>24</v>
      </c>
      <c r="C65" t="s">
        <v>25</v>
      </c>
      <c r="D65">
        <v>664068</v>
      </c>
    </row>
    <row r="66" spans="1:4" x14ac:dyDescent="0.35">
      <c r="A66" s="1">
        <v>2025</v>
      </c>
      <c r="B66" t="s">
        <v>156</v>
      </c>
      <c r="C66" t="s">
        <v>157</v>
      </c>
      <c r="D66">
        <v>713482</v>
      </c>
    </row>
    <row r="67" spans="1:4" x14ac:dyDescent="0.35">
      <c r="A67" s="1">
        <v>2025</v>
      </c>
      <c r="B67" t="s">
        <v>182</v>
      </c>
      <c r="C67" t="s">
        <v>183</v>
      </c>
      <c r="D67">
        <v>232548</v>
      </c>
    </row>
    <row r="68" spans="1:4" x14ac:dyDescent="0.35">
      <c r="A68" s="1">
        <v>2025</v>
      </c>
      <c r="B68" t="s">
        <v>184</v>
      </c>
      <c r="C68" t="s">
        <v>185</v>
      </c>
      <c r="D68">
        <v>503866</v>
      </c>
    </row>
    <row r="69" spans="1:4" x14ac:dyDescent="0.35">
      <c r="A69" s="1">
        <v>2025</v>
      </c>
      <c r="B69" t="s">
        <v>98</v>
      </c>
      <c r="C69" t="s">
        <v>99</v>
      </c>
      <c r="D69">
        <v>1168669</v>
      </c>
    </row>
    <row r="70" spans="1:4" x14ac:dyDescent="0.35">
      <c r="A70" s="1">
        <v>2025</v>
      </c>
      <c r="B70" t="s">
        <v>100</v>
      </c>
      <c r="C70" t="s">
        <v>101</v>
      </c>
      <c r="D70">
        <v>765827</v>
      </c>
    </row>
    <row r="71" spans="1:4" x14ac:dyDescent="0.35">
      <c r="A71" s="1">
        <v>2025</v>
      </c>
      <c r="B71" t="s">
        <v>26</v>
      </c>
      <c r="C71" t="s">
        <v>27</v>
      </c>
      <c r="D71">
        <v>1932598</v>
      </c>
    </row>
    <row r="72" spans="1:4" x14ac:dyDescent="0.35">
      <c r="A72" s="1">
        <v>2025</v>
      </c>
      <c r="B72" t="s">
        <v>40</v>
      </c>
      <c r="C72" t="s">
        <v>41</v>
      </c>
      <c r="D72">
        <v>231932</v>
      </c>
    </row>
    <row r="73" spans="1:4" x14ac:dyDescent="0.35">
      <c r="A73" s="1">
        <v>2025</v>
      </c>
      <c r="B73" t="s">
        <v>42</v>
      </c>
      <c r="C73" t="s">
        <v>43</v>
      </c>
      <c r="D73">
        <v>545310</v>
      </c>
    </row>
    <row r="74" spans="1:4" x14ac:dyDescent="0.35">
      <c r="A74" s="1">
        <v>2025</v>
      </c>
      <c r="B74" t="s">
        <v>196</v>
      </c>
      <c r="C74" t="s">
        <v>197</v>
      </c>
      <c r="D74">
        <v>564160</v>
      </c>
    </row>
    <row r="75" spans="1:4" x14ac:dyDescent="0.35">
      <c r="A75" s="1">
        <v>2025</v>
      </c>
      <c r="B75" t="s">
        <v>28</v>
      </c>
      <c r="C75" t="s">
        <v>29</v>
      </c>
      <c r="D75">
        <v>453159</v>
      </c>
    </row>
    <row r="76" spans="1:4" x14ac:dyDescent="0.35">
      <c r="A76" s="1">
        <v>2025</v>
      </c>
      <c r="B76" t="s">
        <v>30</v>
      </c>
      <c r="C76" t="s">
        <v>31</v>
      </c>
      <c r="D76">
        <v>870588</v>
      </c>
    </row>
    <row r="77" spans="1:4" x14ac:dyDescent="0.35">
      <c r="A77" s="1">
        <v>2025</v>
      </c>
      <c r="B77" t="s">
        <v>114</v>
      </c>
      <c r="C77" t="s">
        <v>115</v>
      </c>
      <c r="D77">
        <v>2048472</v>
      </c>
    </row>
    <row r="78" spans="1:4" x14ac:dyDescent="0.35">
      <c r="A78" s="1">
        <v>2025</v>
      </c>
      <c r="B78" t="s">
        <v>138</v>
      </c>
      <c r="C78" t="s">
        <v>139</v>
      </c>
      <c r="D78">
        <v>1260246</v>
      </c>
    </row>
    <row r="79" spans="1:4" x14ac:dyDescent="0.35">
      <c r="A79" s="1">
        <v>2025</v>
      </c>
      <c r="B79" t="s">
        <v>116</v>
      </c>
      <c r="C79" t="s">
        <v>117</v>
      </c>
      <c r="D79">
        <v>1479615</v>
      </c>
    </row>
    <row r="80" spans="1:4" x14ac:dyDescent="0.35">
      <c r="A80" s="1">
        <v>2025</v>
      </c>
      <c r="B80" t="s">
        <v>118</v>
      </c>
      <c r="C80" t="s">
        <v>119</v>
      </c>
      <c r="D80">
        <v>1489363</v>
      </c>
    </row>
    <row r="81" spans="1:4" x14ac:dyDescent="0.35">
      <c r="A81" s="1">
        <v>2025</v>
      </c>
      <c r="B81" t="s">
        <v>158</v>
      </c>
      <c r="C81" t="s">
        <v>159</v>
      </c>
      <c r="D81">
        <v>374315</v>
      </c>
    </row>
    <row r="82" spans="1:4" x14ac:dyDescent="0.35">
      <c r="A82" s="1">
        <v>2025</v>
      </c>
      <c r="B82" t="s">
        <v>112</v>
      </c>
      <c r="C82" t="s">
        <v>113</v>
      </c>
      <c r="D82">
        <v>559722</v>
      </c>
    </row>
    <row r="83" spans="1:4" x14ac:dyDescent="0.35">
      <c r="A83" s="1">
        <v>2025</v>
      </c>
      <c r="B83" t="s">
        <v>186</v>
      </c>
      <c r="C83" t="s">
        <v>187</v>
      </c>
      <c r="D83">
        <v>401283</v>
      </c>
    </row>
    <row r="84" spans="1:4" x14ac:dyDescent="0.35">
      <c r="A84" s="1">
        <v>2025</v>
      </c>
      <c r="B84" t="s">
        <v>188</v>
      </c>
      <c r="C84" t="s">
        <v>189</v>
      </c>
      <c r="D84">
        <v>267793</v>
      </c>
    </row>
    <row r="85" spans="1:4" x14ac:dyDescent="0.35">
      <c r="A85" s="1">
        <v>2025</v>
      </c>
      <c r="B85" t="s">
        <v>208</v>
      </c>
      <c r="C85" t="s">
        <v>209</v>
      </c>
      <c r="D85">
        <v>1135917</v>
      </c>
    </row>
    <row r="86" spans="1:4" x14ac:dyDescent="0.35">
      <c r="A86" s="1">
        <v>2025</v>
      </c>
      <c r="B86" t="s">
        <v>210</v>
      </c>
      <c r="C86" t="s">
        <v>211</v>
      </c>
      <c r="D86">
        <v>573683</v>
      </c>
    </row>
    <row r="87" spans="1:4" x14ac:dyDescent="0.35">
      <c r="A87" s="1">
        <v>2025</v>
      </c>
      <c r="B87" t="s">
        <v>198</v>
      </c>
      <c r="C87" t="s">
        <v>199</v>
      </c>
      <c r="D87">
        <v>723037</v>
      </c>
    </row>
    <row r="88" spans="1:4" x14ac:dyDescent="0.35">
      <c r="A88" s="1">
        <v>2025</v>
      </c>
      <c r="B88" t="s">
        <v>160</v>
      </c>
      <c r="C88" t="s">
        <v>161</v>
      </c>
      <c r="D88">
        <v>437151</v>
      </c>
    </row>
    <row r="89" spans="1:4" x14ac:dyDescent="0.35">
      <c r="A89" s="1">
        <v>2025</v>
      </c>
      <c r="B89" t="s">
        <v>162</v>
      </c>
      <c r="C89" t="s">
        <v>163</v>
      </c>
      <c r="D89">
        <v>371297</v>
      </c>
    </row>
    <row r="90" spans="1:4" x14ac:dyDescent="0.35">
      <c r="A90" s="1">
        <v>2025</v>
      </c>
      <c r="B90" t="s">
        <v>102</v>
      </c>
      <c r="C90" t="s">
        <v>103</v>
      </c>
      <c r="D90">
        <v>352304</v>
      </c>
    </row>
    <row r="91" spans="1:4" x14ac:dyDescent="0.35">
      <c r="A91" s="1">
        <v>2025</v>
      </c>
      <c r="B91" t="s">
        <v>44</v>
      </c>
      <c r="C91" t="s">
        <v>45</v>
      </c>
      <c r="D91">
        <v>331131</v>
      </c>
    </row>
    <row r="92" spans="1:4" x14ac:dyDescent="0.35">
      <c r="A92" s="1">
        <v>2025</v>
      </c>
      <c r="B92" t="s">
        <v>46</v>
      </c>
      <c r="C92" t="s">
        <v>221</v>
      </c>
      <c r="D92">
        <v>138419</v>
      </c>
    </row>
    <row r="93" spans="1:4" x14ac:dyDescent="0.35">
      <c r="A93" s="1">
        <v>2025</v>
      </c>
      <c r="B93" t="s">
        <v>120</v>
      </c>
      <c r="C93" t="s">
        <v>121</v>
      </c>
      <c r="D93">
        <v>1343527</v>
      </c>
    </row>
    <row r="94" spans="1:4" x14ac:dyDescent="0.35">
      <c r="A94" s="1">
        <v>2025</v>
      </c>
      <c r="B94" t="s">
        <v>122</v>
      </c>
      <c r="C94" t="s">
        <v>222</v>
      </c>
      <c r="D94">
        <v>1663974</v>
      </c>
    </row>
    <row r="95" spans="1:4" x14ac:dyDescent="0.35">
      <c r="A95" s="1">
        <v>2025</v>
      </c>
      <c r="B95" t="s">
        <v>124</v>
      </c>
      <c r="C95" t="s">
        <v>125</v>
      </c>
      <c r="D95">
        <v>1711876</v>
      </c>
    </row>
    <row r="96" spans="1:4" x14ac:dyDescent="0.35">
      <c r="A96" s="1">
        <v>2025</v>
      </c>
      <c r="B96" t="s">
        <v>126</v>
      </c>
      <c r="C96" t="s">
        <v>127</v>
      </c>
      <c r="D96">
        <v>1426433</v>
      </c>
    </row>
    <row r="97" spans="1:4" x14ac:dyDescent="0.35">
      <c r="A97" s="1">
        <v>2025</v>
      </c>
      <c r="B97" t="s">
        <v>128</v>
      </c>
      <c r="C97" t="s">
        <v>129</v>
      </c>
      <c r="D97">
        <v>1287589</v>
      </c>
    </row>
    <row r="98" spans="1:4" x14ac:dyDescent="0.35">
      <c r="A98" s="1">
        <v>2025</v>
      </c>
      <c r="B98" t="s">
        <v>223</v>
      </c>
      <c r="D98">
        <v>66351959</v>
      </c>
    </row>
    <row r="99" spans="1:4" x14ac:dyDescent="0.35">
      <c r="A99" s="1">
        <v>2025</v>
      </c>
      <c r="B99">
        <v>971</v>
      </c>
      <c r="C99" t="s">
        <v>224</v>
      </c>
      <c r="D99">
        <v>380387</v>
      </c>
    </row>
    <row r="100" spans="1:4" x14ac:dyDescent="0.35">
      <c r="A100" s="1">
        <v>2025</v>
      </c>
      <c r="B100">
        <v>972</v>
      </c>
      <c r="C100" t="s">
        <v>225</v>
      </c>
      <c r="D100">
        <v>355459</v>
      </c>
    </row>
    <row r="101" spans="1:4" x14ac:dyDescent="0.35">
      <c r="A101" s="1">
        <v>2025</v>
      </c>
      <c r="B101">
        <v>973</v>
      </c>
      <c r="C101" t="s">
        <v>77</v>
      </c>
      <c r="D101">
        <v>292354</v>
      </c>
    </row>
    <row r="102" spans="1:4" x14ac:dyDescent="0.35">
      <c r="A102" s="1">
        <v>2025</v>
      </c>
      <c r="B102">
        <v>974</v>
      </c>
      <c r="C102" t="s">
        <v>79</v>
      </c>
      <c r="D102">
        <v>896175</v>
      </c>
    </row>
    <row r="103" spans="1:4" x14ac:dyDescent="0.35">
      <c r="A103" s="1">
        <v>2025</v>
      </c>
      <c r="B103">
        <v>976</v>
      </c>
      <c r="C103" t="s">
        <v>215</v>
      </c>
      <c r="D103">
        <v>329282</v>
      </c>
    </row>
    <row r="104" spans="1:4" x14ac:dyDescent="0.35">
      <c r="A104" s="1">
        <v>2025</v>
      </c>
      <c r="B104" t="s">
        <v>226</v>
      </c>
      <c r="D104">
        <v>2253657</v>
      </c>
    </row>
    <row r="105" spans="1:4" x14ac:dyDescent="0.35">
      <c r="A105" s="1">
        <v>2025</v>
      </c>
      <c r="B105" t="s">
        <v>227</v>
      </c>
      <c r="D105">
        <v>68605616</v>
      </c>
    </row>
    <row r="106" spans="1:4" x14ac:dyDescent="0.35">
      <c r="A106" s="1">
        <v>2025</v>
      </c>
    </row>
    <row r="107" spans="1:4" x14ac:dyDescent="0.35">
      <c r="A107" s="1">
        <v>2025</v>
      </c>
      <c r="B107" t="s">
        <v>228</v>
      </c>
    </row>
    <row r="108" spans="1:4" x14ac:dyDescent="0.35">
      <c r="A108" s="1">
        <v>2025</v>
      </c>
    </row>
    <row r="109" spans="1:4" x14ac:dyDescent="0.35">
      <c r="A109" s="1">
        <v>2024</v>
      </c>
      <c r="B109" t="s">
        <v>229</v>
      </c>
    </row>
    <row r="110" spans="1:4" x14ac:dyDescent="0.35">
      <c r="A110" s="1">
        <v>2024</v>
      </c>
      <c r="B110" t="s">
        <v>230</v>
      </c>
    </row>
    <row r="111" spans="1:4" x14ac:dyDescent="0.35">
      <c r="A111" s="1">
        <v>2024</v>
      </c>
    </row>
    <row r="112" spans="1:4" x14ac:dyDescent="0.35">
      <c r="A112" s="1">
        <v>2024</v>
      </c>
      <c r="B112" t="s">
        <v>231</v>
      </c>
    </row>
    <row r="113" spans="1:4" x14ac:dyDescent="0.35">
      <c r="A113" s="1">
        <v>2024</v>
      </c>
      <c r="D113" t="s">
        <v>232</v>
      </c>
    </row>
    <row r="114" spans="1:4" x14ac:dyDescent="0.35">
      <c r="A114" s="1">
        <v>2024</v>
      </c>
      <c r="B114" t="s">
        <v>5</v>
      </c>
      <c r="C114" t="s">
        <v>6</v>
      </c>
      <c r="D114">
        <v>683034</v>
      </c>
    </row>
    <row r="115" spans="1:4" x14ac:dyDescent="0.35">
      <c r="A115" s="1">
        <v>2024</v>
      </c>
      <c r="B115" t="s">
        <v>104</v>
      </c>
      <c r="C115" t="s">
        <v>105</v>
      </c>
      <c r="D115">
        <v>521152</v>
      </c>
    </row>
    <row r="116" spans="1:4" x14ac:dyDescent="0.35">
      <c r="A116" s="1">
        <v>2024</v>
      </c>
      <c r="B116" t="s">
        <v>10</v>
      </c>
      <c r="C116" t="s">
        <v>11</v>
      </c>
      <c r="D116">
        <v>333234</v>
      </c>
    </row>
    <row r="117" spans="1:4" x14ac:dyDescent="0.35">
      <c r="A117" s="1">
        <v>2024</v>
      </c>
      <c r="B117" t="s">
        <v>200</v>
      </c>
      <c r="C117" t="s">
        <v>201</v>
      </c>
      <c r="D117">
        <v>168908</v>
      </c>
    </row>
    <row r="118" spans="1:4" x14ac:dyDescent="0.35">
      <c r="A118" s="1">
        <v>2024</v>
      </c>
      <c r="B118" t="s">
        <v>202</v>
      </c>
      <c r="C118" t="s">
        <v>203</v>
      </c>
      <c r="D118">
        <v>141906</v>
      </c>
    </row>
    <row r="119" spans="1:4" x14ac:dyDescent="0.35">
      <c r="A119" s="1">
        <v>2024</v>
      </c>
      <c r="B119" t="s">
        <v>204</v>
      </c>
      <c r="C119" t="s">
        <v>205</v>
      </c>
      <c r="D119">
        <v>1124992</v>
      </c>
    </row>
    <row r="120" spans="1:4" x14ac:dyDescent="0.35">
      <c r="A120" s="1">
        <v>2024</v>
      </c>
      <c r="B120" t="s">
        <v>12</v>
      </c>
      <c r="C120" t="s">
        <v>13</v>
      </c>
      <c r="D120">
        <v>335833</v>
      </c>
    </row>
    <row r="121" spans="1:4" x14ac:dyDescent="0.35">
      <c r="A121" s="1">
        <v>2024</v>
      </c>
      <c r="B121" t="s">
        <v>84</v>
      </c>
      <c r="C121" t="s">
        <v>85</v>
      </c>
      <c r="D121">
        <v>264556</v>
      </c>
    </row>
    <row r="122" spans="1:4" x14ac:dyDescent="0.35">
      <c r="A122" s="1">
        <v>2024</v>
      </c>
      <c r="B122" t="s">
        <v>164</v>
      </c>
      <c r="C122" t="s">
        <v>165</v>
      </c>
      <c r="D122">
        <v>156304</v>
      </c>
    </row>
    <row r="123" spans="1:4" x14ac:dyDescent="0.35">
      <c r="A123" s="1">
        <v>2024</v>
      </c>
      <c r="B123" t="s">
        <v>86</v>
      </c>
      <c r="C123" t="s">
        <v>87</v>
      </c>
      <c r="D123">
        <v>311187</v>
      </c>
    </row>
    <row r="124" spans="1:4" x14ac:dyDescent="0.35">
      <c r="A124" s="1">
        <v>2024</v>
      </c>
      <c r="B124" t="s">
        <v>166</v>
      </c>
      <c r="C124" t="s">
        <v>167</v>
      </c>
      <c r="D124">
        <v>379190</v>
      </c>
    </row>
    <row r="125" spans="1:4" x14ac:dyDescent="0.35">
      <c r="A125" s="1">
        <v>2024</v>
      </c>
      <c r="B125" t="s">
        <v>168</v>
      </c>
      <c r="C125" t="s">
        <v>169</v>
      </c>
      <c r="D125">
        <v>278821</v>
      </c>
    </row>
    <row r="126" spans="1:4" x14ac:dyDescent="0.35">
      <c r="A126" s="1">
        <v>2024</v>
      </c>
      <c r="B126" t="s">
        <v>206</v>
      </c>
      <c r="C126" t="s">
        <v>207</v>
      </c>
      <c r="D126">
        <v>2083682</v>
      </c>
    </row>
    <row r="127" spans="1:4" x14ac:dyDescent="0.35">
      <c r="A127" s="1">
        <v>2024</v>
      </c>
      <c r="B127" t="s">
        <v>130</v>
      </c>
      <c r="C127" t="s">
        <v>131</v>
      </c>
      <c r="D127">
        <v>709128</v>
      </c>
    </row>
    <row r="128" spans="1:4" x14ac:dyDescent="0.35">
      <c r="A128" s="1">
        <v>2024</v>
      </c>
      <c r="B128" t="s">
        <v>14</v>
      </c>
      <c r="C128" t="s">
        <v>15</v>
      </c>
      <c r="D128">
        <v>143964</v>
      </c>
    </row>
    <row r="129" spans="1:4" x14ac:dyDescent="0.35">
      <c r="A129" s="1">
        <v>2024</v>
      </c>
      <c r="B129" t="s">
        <v>140</v>
      </c>
      <c r="C129" t="s">
        <v>141</v>
      </c>
      <c r="D129">
        <v>350672</v>
      </c>
    </row>
    <row r="130" spans="1:4" x14ac:dyDescent="0.35">
      <c r="A130" s="1">
        <v>2024</v>
      </c>
      <c r="B130" t="s">
        <v>142</v>
      </c>
      <c r="C130" t="s">
        <v>143</v>
      </c>
      <c r="D130">
        <v>677189</v>
      </c>
    </row>
    <row r="131" spans="1:4" x14ac:dyDescent="0.35">
      <c r="A131" s="1">
        <v>2024</v>
      </c>
      <c r="B131" t="s">
        <v>56</v>
      </c>
      <c r="C131" t="s">
        <v>57</v>
      </c>
      <c r="D131">
        <v>297019</v>
      </c>
    </row>
    <row r="132" spans="1:4" x14ac:dyDescent="0.35">
      <c r="A132" s="1">
        <v>2024</v>
      </c>
      <c r="B132" t="s">
        <v>144</v>
      </c>
      <c r="C132" t="s">
        <v>145</v>
      </c>
      <c r="D132">
        <v>239704</v>
      </c>
    </row>
    <row r="133" spans="1:4" x14ac:dyDescent="0.35">
      <c r="A133" s="1">
        <v>2024</v>
      </c>
      <c r="B133" t="s">
        <v>68</v>
      </c>
      <c r="C133" t="s">
        <v>69</v>
      </c>
      <c r="D133">
        <v>170513</v>
      </c>
    </row>
    <row r="134" spans="1:4" x14ac:dyDescent="0.35">
      <c r="A134" s="1">
        <v>2024</v>
      </c>
      <c r="B134" t="s">
        <v>70</v>
      </c>
      <c r="C134" t="s">
        <v>71</v>
      </c>
      <c r="D134">
        <v>186724</v>
      </c>
    </row>
    <row r="135" spans="1:4" x14ac:dyDescent="0.35">
      <c r="A135" s="1">
        <v>2024</v>
      </c>
      <c r="B135" t="s">
        <v>32</v>
      </c>
      <c r="C135" t="s">
        <v>219</v>
      </c>
      <c r="D135">
        <v>538508</v>
      </c>
    </row>
    <row r="136" spans="1:4" x14ac:dyDescent="0.35">
      <c r="A136" s="1">
        <v>2024</v>
      </c>
      <c r="B136" t="s">
        <v>48</v>
      </c>
      <c r="C136" t="s">
        <v>220</v>
      </c>
      <c r="D136">
        <v>613301</v>
      </c>
    </row>
    <row r="137" spans="1:4" x14ac:dyDescent="0.35">
      <c r="A137" s="1">
        <v>2024</v>
      </c>
      <c r="B137" t="s">
        <v>146</v>
      </c>
      <c r="C137" t="s">
        <v>147</v>
      </c>
      <c r="D137">
        <v>114600</v>
      </c>
    </row>
    <row r="138" spans="1:4" x14ac:dyDescent="0.35">
      <c r="A138" s="1">
        <v>2024</v>
      </c>
      <c r="B138" t="s">
        <v>148</v>
      </c>
      <c r="C138" t="s">
        <v>149</v>
      </c>
      <c r="D138">
        <v>417397</v>
      </c>
    </row>
    <row r="139" spans="1:4" x14ac:dyDescent="0.35">
      <c r="A139" s="1">
        <v>2024</v>
      </c>
      <c r="B139" t="s">
        <v>34</v>
      </c>
      <c r="C139" t="s">
        <v>35</v>
      </c>
      <c r="D139">
        <v>550255</v>
      </c>
    </row>
    <row r="140" spans="1:4" x14ac:dyDescent="0.35">
      <c r="A140" s="1">
        <v>2024</v>
      </c>
      <c r="B140" t="s">
        <v>16</v>
      </c>
      <c r="C140" t="s">
        <v>17</v>
      </c>
      <c r="D140">
        <v>523457</v>
      </c>
    </row>
    <row r="141" spans="1:4" x14ac:dyDescent="0.35">
      <c r="A141" s="1">
        <v>2024</v>
      </c>
      <c r="B141" t="s">
        <v>132</v>
      </c>
      <c r="C141" t="s">
        <v>133</v>
      </c>
      <c r="D141">
        <v>601853</v>
      </c>
    </row>
    <row r="142" spans="1:4" x14ac:dyDescent="0.35">
      <c r="A142" s="1">
        <v>2024</v>
      </c>
      <c r="B142" t="s">
        <v>58</v>
      </c>
      <c r="C142" t="s">
        <v>59</v>
      </c>
      <c r="D142">
        <v>433304</v>
      </c>
    </row>
    <row r="143" spans="1:4" x14ac:dyDescent="0.35">
      <c r="A143" s="1">
        <v>2024</v>
      </c>
      <c r="B143" t="s">
        <v>50</v>
      </c>
      <c r="C143" t="s">
        <v>51</v>
      </c>
      <c r="D143">
        <v>933628</v>
      </c>
    </row>
    <row r="144" spans="1:4" x14ac:dyDescent="0.35">
      <c r="A144" s="1">
        <v>2024</v>
      </c>
      <c r="B144" t="s">
        <v>170</v>
      </c>
      <c r="C144" t="s">
        <v>171</v>
      </c>
      <c r="D144">
        <v>772243</v>
      </c>
    </row>
    <row r="145" spans="1:4" x14ac:dyDescent="0.35">
      <c r="A145" s="1">
        <v>2024</v>
      </c>
      <c r="B145" t="s">
        <v>172</v>
      </c>
      <c r="C145" t="s">
        <v>173</v>
      </c>
      <c r="D145">
        <v>1489751</v>
      </c>
    </row>
    <row r="146" spans="1:4" x14ac:dyDescent="0.35">
      <c r="A146" s="1">
        <v>2024</v>
      </c>
      <c r="B146" t="s">
        <v>174</v>
      </c>
      <c r="C146" t="s">
        <v>175</v>
      </c>
      <c r="D146">
        <v>192920</v>
      </c>
    </row>
    <row r="147" spans="1:4" x14ac:dyDescent="0.35">
      <c r="A147" s="1">
        <v>2024</v>
      </c>
      <c r="B147" t="s">
        <v>150</v>
      </c>
      <c r="C147" t="s">
        <v>151</v>
      </c>
      <c r="D147">
        <v>1704597</v>
      </c>
    </row>
    <row r="148" spans="1:4" x14ac:dyDescent="0.35">
      <c r="A148" s="1">
        <v>2024</v>
      </c>
      <c r="B148" t="s">
        <v>176</v>
      </c>
      <c r="C148" t="s">
        <v>177</v>
      </c>
      <c r="D148">
        <v>1241541</v>
      </c>
    </row>
    <row r="149" spans="1:4" x14ac:dyDescent="0.35">
      <c r="A149" s="1">
        <v>2024</v>
      </c>
      <c r="B149" t="s">
        <v>52</v>
      </c>
      <c r="C149" t="s">
        <v>53</v>
      </c>
      <c r="D149">
        <v>1126416</v>
      </c>
    </row>
    <row r="150" spans="1:4" x14ac:dyDescent="0.35">
      <c r="A150" s="1">
        <v>2024</v>
      </c>
      <c r="B150" t="s">
        <v>60</v>
      </c>
      <c r="C150" t="s">
        <v>61</v>
      </c>
      <c r="D150">
        <v>214525</v>
      </c>
    </row>
    <row r="151" spans="1:4" x14ac:dyDescent="0.35">
      <c r="A151" s="1">
        <v>2024</v>
      </c>
      <c r="B151" t="s">
        <v>62</v>
      </c>
      <c r="C151" t="s">
        <v>63</v>
      </c>
      <c r="D151">
        <v>619310</v>
      </c>
    </row>
    <row r="152" spans="1:4" x14ac:dyDescent="0.35">
      <c r="A152" s="1">
        <v>2024</v>
      </c>
      <c r="B152" t="s">
        <v>18</v>
      </c>
      <c r="C152" t="s">
        <v>19</v>
      </c>
      <c r="D152">
        <v>1302971</v>
      </c>
    </row>
    <row r="153" spans="1:4" x14ac:dyDescent="0.35">
      <c r="A153" s="1">
        <v>2024</v>
      </c>
      <c r="B153" t="s">
        <v>36</v>
      </c>
      <c r="C153" t="s">
        <v>37</v>
      </c>
      <c r="D153">
        <v>257644</v>
      </c>
    </row>
    <row r="154" spans="1:4" x14ac:dyDescent="0.35">
      <c r="A154" s="1">
        <v>2024</v>
      </c>
      <c r="B154" t="s">
        <v>152</v>
      </c>
      <c r="C154" t="s">
        <v>153</v>
      </c>
      <c r="D154">
        <v>436872</v>
      </c>
    </row>
    <row r="155" spans="1:4" x14ac:dyDescent="0.35">
      <c r="A155" s="1">
        <v>2024</v>
      </c>
      <c r="B155" t="s">
        <v>64</v>
      </c>
      <c r="C155" t="s">
        <v>65</v>
      </c>
      <c r="D155">
        <v>328012</v>
      </c>
    </row>
    <row r="156" spans="1:4" x14ac:dyDescent="0.35">
      <c r="A156" s="1">
        <v>2024</v>
      </c>
      <c r="B156" t="s">
        <v>20</v>
      </c>
      <c r="C156" t="s">
        <v>21</v>
      </c>
      <c r="D156">
        <v>775357</v>
      </c>
    </row>
    <row r="157" spans="1:4" x14ac:dyDescent="0.35">
      <c r="A157" s="1">
        <v>2024</v>
      </c>
      <c r="B157" t="s">
        <v>22</v>
      </c>
      <c r="C157" t="s">
        <v>23</v>
      </c>
      <c r="D157">
        <v>228010</v>
      </c>
    </row>
    <row r="158" spans="1:4" x14ac:dyDescent="0.35">
      <c r="A158" s="1">
        <v>2024</v>
      </c>
      <c r="B158" t="s">
        <v>190</v>
      </c>
      <c r="C158" t="s">
        <v>191</v>
      </c>
      <c r="D158">
        <v>1498959</v>
      </c>
    </row>
    <row r="159" spans="1:4" x14ac:dyDescent="0.35">
      <c r="A159" s="1">
        <v>2024</v>
      </c>
      <c r="B159" t="s">
        <v>66</v>
      </c>
      <c r="C159" t="s">
        <v>67</v>
      </c>
      <c r="D159">
        <v>689845</v>
      </c>
    </row>
    <row r="160" spans="1:4" x14ac:dyDescent="0.35">
      <c r="A160" s="1">
        <v>2024</v>
      </c>
      <c r="B160" t="s">
        <v>178</v>
      </c>
      <c r="C160" t="s">
        <v>179</v>
      </c>
      <c r="D160">
        <v>176103</v>
      </c>
    </row>
    <row r="161" spans="1:4" x14ac:dyDescent="0.35">
      <c r="A161" s="1">
        <v>2024</v>
      </c>
      <c r="B161" t="s">
        <v>154</v>
      </c>
      <c r="C161" t="s">
        <v>155</v>
      </c>
      <c r="D161">
        <v>332318</v>
      </c>
    </row>
    <row r="162" spans="1:4" x14ac:dyDescent="0.35">
      <c r="A162" s="1">
        <v>2024</v>
      </c>
      <c r="B162" t="s">
        <v>180</v>
      </c>
      <c r="C162" t="s">
        <v>181</v>
      </c>
      <c r="D162">
        <v>76512</v>
      </c>
    </row>
    <row r="163" spans="1:4" x14ac:dyDescent="0.35">
      <c r="A163" s="1">
        <v>2024</v>
      </c>
      <c r="B163" t="s">
        <v>192</v>
      </c>
      <c r="C163" t="s">
        <v>193</v>
      </c>
      <c r="D163">
        <v>832858</v>
      </c>
    </row>
    <row r="164" spans="1:4" x14ac:dyDescent="0.35">
      <c r="A164" s="1">
        <v>2024</v>
      </c>
      <c r="B164" t="s">
        <v>134</v>
      </c>
      <c r="C164" t="s">
        <v>135</v>
      </c>
      <c r="D164">
        <v>496331</v>
      </c>
    </row>
    <row r="165" spans="1:4" x14ac:dyDescent="0.35">
      <c r="A165" s="1">
        <v>2024</v>
      </c>
      <c r="B165" t="s">
        <v>88</v>
      </c>
      <c r="C165" t="s">
        <v>89</v>
      </c>
      <c r="D165">
        <v>560550</v>
      </c>
    </row>
    <row r="166" spans="1:4" x14ac:dyDescent="0.35">
      <c r="A166" s="1">
        <v>2024</v>
      </c>
      <c r="B166" t="s">
        <v>90</v>
      </c>
      <c r="C166" t="s">
        <v>91</v>
      </c>
      <c r="D166">
        <v>168009</v>
      </c>
    </row>
    <row r="167" spans="1:4" x14ac:dyDescent="0.35">
      <c r="A167" s="1">
        <v>2024</v>
      </c>
      <c r="B167" t="s">
        <v>194</v>
      </c>
      <c r="C167" t="s">
        <v>195</v>
      </c>
      <c r="D167">
        <v>303859</v>
      </c>
    </row>
    <row r="168" spans="1:4" x14ac:dyDescent="0.35">
      <c r="A168" s="1">
        <v>2024</v>
      </c>
      <c r="B168" t="s">
        <v>92</v>
      </c>
      <c r="C168" t="s">
        <v>93</v>
      </c>
      <c r="D168">
        <v>730498</v>
      </c>
    </row>
    <row r="169" spans="1:4" x14ac:dyDescent="0.35">
      <c r="A169" s="1">
        <v>2024</v>
      </c>
      <c r="B169" t="s">
        <v>94</v>
      </c>
      <c r="C169" t="s">
        <v>95</v>
      </c>
      <c r="D169">
        <v>178231</v>
      </c>
    </row>
    <row r="170" spans="1:4" x14ac:dyDescent="0.35">
      <c r="A170" s="1">
        <v>2024</v>
      </c>
      <c r="B170" t="s">
        <v>54</v>
      </c>
      <c r="C170" t="s">
        <v>55</v>
      </c>
      <c r="D170">
        <v>785243</v>
      </c>
    </row>
    <row r="171" spans="1:4" x14ac:dyDescent="0.35">
      <c r="A171" s="1">
        <v>2024</v>
      </c>
      <c r="B171" t="s">
        <v>96</v>
      </c>
      <c r="C171" t="s">
        <v>97</v>
      </c>
      <c r="D171">
        <v>1050897</v>
      </c>
    </row>
    <row r="172" spans="1:4" x14ac:dyDescent="0.35">
      <c r="A172" s="1">
        <v>2024</v>
      </c>
      <c r="B172" t="s">
        <v>38</v>
      </c>
      <c r="C172" t="s">
        <v>39</v>
      </c>
      <c r="D172">
        <v>200541</v>
      </c>
    </row>
    <row r="173" spans="1:4" x14ac:dyDescent="0.35">
      <c r="A173" s="1">
        <v>2024</v>
      </c>
      <c r="B173" t="s">
        <v>106</v>
      </c>
      <c r="C173" t="s">
        <v>107</v>
      </c>
      <c r="D173">
        <v>2616167</v>
      </c>
    </row>
    <row r="174" spans="1:4" x14ac:dyDescent="0.35">
      <c r="A174" s="1">
        <v>2024</v>
      </c>
      <c r="B174" t="s">
        <v>108</v>
      </c>
      <c r="C174" t="s">
        <v>109</v>
      </c>
      <c r="D174">
        <v>830031</v>
      </c>
    </row>
    <row r="175" spans="1:4" x14ac:dyDescent="0.35">
      <c r="A175" s="1">
        <v>2024</v>
      </c>
      <c r="B175" t="s">
        <v>136</v>
      </c>
      <c r="C175" t="s">
        <v>137</v>
      </c>
      <c r="D175">
        <v>273419</v>
      </c>
    </row>
    <row r="176" spans="1:4" x14ac:dyDescent="0.35">
      <c r="A176" s="1">
        <v>2024</v>
      </c>
      <c r="B176" t="s">
        <v>110</v>
      </c>
      <c r="C176" t="s">
        <v>111</v>
      </c>
      <c r="D176">
        <v>1453532</v>
      </c>
    </row>
    <row r="177" spans="1:4" x14ac:dyDescent="0.35">
      <c r="A177" s="1">
        <v>2024</v>
      </c>
      <c r="B177" t="s">
        <v>24</v>
      </c>
      <c r="C177" t="s">
        <v>25</v>
      </c>
      <c r="D177">
        <v>664135</v>
      </c>
    </row>
    <row r="178" spans="1:4" x14ac:dyDescent="0.35">
      <c r="A178" s="1">
        <v>2024</v>
      </c>
      <c r="B178" t="s">
        <v>156</v>
      </c>
      <c r="C178" t="s">
        <v>157</v>
      </c>
      <c r="D178">
        <v>708825</v>
      </c>
    </row>
    <row r="179" spans="1:4" x14ac:dyDescent="0.35">
      <c r="A179" s="1">
        <v>2024</v>
      </c>
      <c r="B179" t="s">
        <v>182</v>
      </c>
      <c r="C179" t="s">
        <v>183</v>
      </c>
      <c r="D179">
        <v>232145</v>
      </c>
    </row>
    <row r="180" spans="1:4" x14ac:dyDescent="0.35">
      <c r="A180" s="1">
        <v>2024</v>
      </c>
      <c r="B180" t="s">
        <v>184</v>
      </c>
      <c r="C180" t="s">
        <v>185</v>
      </c>
      <c r="D180">
        <v>500103</v>
      </c>
    </row>
    <row r="181" spans="1:4" x14ac:dyDescent="0.35">
      <c r="A181" s="1">
        <v>2024</v>
      </c>
      <c r="B181" t="s">
        <v>98</v>
      </c>
      <c r="C181" t="s">
        <v>99</v>
      </c>
      <c r="D181">
        <v>1164797</v>
      </c>
    </row>
    <row r="182" spans="1:4" x14ac:dyDescent="0.35">
      <c r="A182" s="1">
        <v>2024</v>
      </c>
      <c r="B182" t="s">
        <v>100</v>
      </c>
      <c r="C182" t="s">
        <v>101</v>
      </c>
      <c r="D182">
        <v>766549</v>
      </c>
    </row>
    <row r="183" spans="1:4" x14ac:dyDescent="0.35">
      <c r="A183" s="1">
        <v>2024</v>
      </c>
      <c r="B183" t="s">
        <v>26</v>
      </c>
      <c r="C183" t="s">
        <v>27</v>
      </c>
      <c r="D183">
        <v>1924716</v>
      </c>
    </row>
    <row r="184" spans="1:4" x14ac:dyDescent="0.35">
      <c r="A184" s="1">
        <v>2024</v>
      </c>
      <c r="B184" t="s">
        <v>40</v>
      </c>
      <c r="C184" t="s">
        <v>41</v>
      </c>
      <c r="D184">
        <v>232626</v>
      </c>
    </row>
    <row r="185" spans="1:4" x14ac:dyDescent="0.35">
      <c r="A185" s="1">
        <v>2024</v>
      </c>
      <c r="B185" t="s">
        <v>42</v>
      </c>
      <c r="C185" t="s">
        <v>43</v>
      </c>
      <c r="D185">
        <v>546754</v>
      </c>
    </row>
    <row r="186" spans="1:4" x14ac:dyDescent="0.35">
      <c r="A186" s="1">
        <v>2024</v>
      </c>
      <c r="B186" t="s">
        <v>196</v>
      </c>
      <c r="C186" t="s">
        <v>197</v>
      </c>
      <c r="D186">
        <v>564913</v>
      </c>
    </row>
    <row r="187" spans="1:4" x14ac:dyDescent="0.35">
      <c r="A187" s="1">
        <v>2024</v>
      </c>
      <c r="B187" t="s">
        <v>28</v>
      </c>
      <c r="C187" t="s">
        <v>29</v>
      </c>
      <c r="D187">
        <v>450451</v>
      </c>
    </row>
    <row r="188" spans="1:4" x14ac:dyDescent="0.35">
      <c r="A188" s="1">
        <v>2024</v>
      </c>
      <c r="B188" t="s">
        <v>30</v>
      </c>
      <c r="C188" t="s">
        <v>31</v>
      </c>
      <c r="D188">
        <v>863640</v>
      </c>
    </row>
    <row r="189" spans="1:4" x14ac:dyDescent="0.35">
      <c r="A189" s="1">
        <v>2024</v>
      </c>
      <c r="B189" t="s">
        <v>114</v>
      </c>
      <c r="C189" t="s">
        <v>115</v>
      </c>
      <c r="D189">
        <v>2070806</v>
      </c>
    </row>
    <row r="190" spans="1:4" x14ac:dyDescent="0.35">
      <c r="A190" s="1">
        <v>2024</v>
      </c>
      <c r="B190" t="s">
        <v>138</v>
      </c>
      <c r="C190" t="s">
        <v>139</v>
      </c>
      <c r="D190">
        <v>1260312</v>
      </c>
    </row>
    <row r="191" spans="1:4" x14ac:dyDescent="0.35">
      <c r="A191" s="1">
        <v>2024</v>
      </c>
      <c r="B191" t="s">
        <v>116</v>
      </c>
      <c r="C191" t="s">
        <v>117</v>
      </c>
      <c r="D191">
        <v>1470763</v>
      </c>
    </row>
    <row r="192" spans="1:4" x14ac:dyDescent="0.35">
      <c r="A192" s="1">
        <v>2024</v>
      </c>
      <c r="B192" t="s">
        <v>118</v>
      </c>
      <c r="C192" t="s">
        <v>119</v>
      </c>
      <c r="D192">
        <v>1483576</v>
      </c>
    </row>
    <row r="193" spans="1:4" x14ac:dyDescent="0.35">
      <c r="A193" s="1">
        <v>2024</v>
      </c>
      <c r="B193" t="s">
        <v>158</v>
      </c>
      <c r="C193" t="s">
        <v>159</v>
      </c>
      <c r="D193">
        <v>374890</v>
      </c>
    </row>
    <row r="194" spans="1:4" x14ac:dyDescent="0.35">
      <c r="A194" s="1">
        <v>2024</v>
      </c>
      <c r="B194" t="s">
        <v>112</v>
      </c>
      <c r="C194" t="s">
        <v>113</v>
      </c>
      <c r="D194">
        <v>561656</v>
      </c>
    </row>
    <row r="195" spans="1:4" x14ac:dyDescent="0.35">
      <c r="A195" s="1">
        <v>2024</v>
      </c>
      <c r="B195" t="s">
        <v>186</v>
      </c>
      <c r="C195" t="s">
        <v>187</v>
      </c>
      <c r="D195">
        <v>399634</v>
      </c>
    </row>
    <row r="196" spans="1:4" x14ac:dyDescent="0.35">
      <c r="A196" s="1">
        <v>2024</v>
      </c>
      <c r="B196" t="s">
        <v>188</v>
      </c>
      <c r="C196" t="s">
        <v>189</v>
      </c>
      <c r="D196">
        <v>267035</v>
      </c>
    </row>
    <row r="197" spans="1:4" x14ac:dyDescent="0.35">
      <c r="A197" s="1">
        <v>2024</v>
      </c>
      <c r="B197" t="s">
        <v>208</v>
      </c>
      <c r="C197" t="s">
        <v>209</v>
      </c>
      <c r="D197">
        <v>1126788</v>
      </c>
    </row>
    <row r="198" spans="1:4" x14ac:dyDescent="0.35">
      <c r="A198" s="1">
        <v>2024</v>
      </c>
      <c r="B198" t="s">
        <v>210</v>
      </c>
      <c r="C198" t="s">
        <v>211</v>
      </c>
      <c r="D198">
        <v>572065</v>
      </c>
    </row>
    <row r="199" spans="1:4" x14ac:dyDescent="0.35">
      <c r="A199" s="1">
        <v>2024</v>
      </c>
      <c r="B199" t="s">
        <v>198</v>
      </c>
      <c r="C199" t="s">
        <v>199</v>
      </c>
      <c r="D199">
        <v>717667</v>
      </c>
    </row>
    <row r="200" spans="1:4" x14ac:dyDescent="0.35">
      <c r="A200" s="1">
        <v>2024</v>
      </c>
      <c r="B200" t="s">
        <v>160</v>
      </c>
      <c r="C200" t="s">
        <v>161</v>
      </c>
      <c r="D200">
        <v>437691</v>
      </c>
    </row>
    <row r="201" spans="1:4" x14ac:dyDescent="0.35">
      <c r="A201" s="1">
        <v>2024</v>
      </c>
      <c r="B201" t="s">
        <v>162</v>
      </c>
      <c r="C201" t="s">
        <v>163</v>
      </c>
      <c r="D201">
        <v>371847</v>
      </c>
    </row>
    <row r="202" spans="1:4" x14ac:dyDescent="0.35">
      <c r="A202" s="1">
        <v>2024</v>
      </c>
      <c r="B202" t="s">
        <v>102</v>
      </c>
      <c r="C202" t="s">
        <v>103</v>
      </c>
      <c r="D202">
        <v>354450</v>
      </c>
    </row>
    <row r="203" spans="1:4" x14ac:dyDescent="0.35">
      <c r="A203" s="1">
        <v>2024</v>
      </c>
      <c r="B203" t="s">
        <v>44</v>
      </c>
      <c r="C203" t="s">
        <v>45</v>
      </c>
      <c r="D203">
        <v>331845</v>
      </c>
    </row>
    <row r="204" spans="1:4" x14ac:dyDescent="0.35">
      <c r="A204" s="1">
        <v>2024</v>
      </c>
      <c r="B204" t="s">
        <v>46</v>
      </c>
      <c r="C204" t="s">
        <v>221</v>
      </c>
      <c r="D204">
        <v>138987</v>
      </c>
    </row>
    <row r="205" spans="1:4" x14ac:dyDescent="0.35">
      <c r="A205" s="1">
        <v>2024</v>
      </c>
      <c r="B205" t="s">
        <v>120</v>
      </c>
      <c r="C205" t="s">
        <v>121</v>
      </c>
      <c r="D205">
        <v>1337492</v>
      </c>
    </row>
    <row r="206" spans="1:4" x14ac:dyDescent="0.35">
      <c r="A206" s="1">
        <v>2024</v>
      </c>
      <c r="B206" t="s">
        <v>122</v>
      </c>
      <c r="C206" t="s">
        <v>222</v>
      </c>
      <c r="D206">
        <v>1658614</v>
      </c>
    </row>
    <row r="207" spans="1:4" x14ac:dyDescent="0.35">
      <c r="A207" s="1">
        <v>2024</v>
      </c>
      <c r="B207" t="s">
        <v>124</v>
      </c>
      <c r="C207" t="s">
        <v>125</v>
      </c>
      <c r="D207">
        <v>1702158</v>
      </c>
    </row>
    <row r="208" spans="1:4" x14ac:dyDescent="0.35">
      <c r="A208" s="1">
        <v>2024</v>
      </c>
      <c r="B208" t="s">
        <v>126</v>
      </c>
      <c r="C208" t="s">
        <v>127</v>
      </c>
      <c r="D208">
        <v>1424361</v>
      </c>
    </row>
    <row r="209" spans="1:4" x14ac:dyDescent="0.35">
      <c r="A209" s="1">
        <v>2024</v>
      </c>
      <c r="B209" t="s">
        <v>128</v>
      </c>
      <c r="C209" t="s">
        <v>129</v>
      </c>
      <c r="D209">
        <v>1282581</v>
      </c>
    </row>
    <row r="210" spans="1:4" x14ac:dyDescent="0.35">
      <c r="A210" s="1">
        <v>2024</v>
      </c>
      <c r="B210" t="s">
        <v>223</v>
      </c>
      <c r="D210">
        <v>66192959</v>
      </c>
    </row>
    <row r="211" spans="1:4" x14ac:dyDescent="0.35">
      <c r="A211" s="1">
        <v>2024</v>
      </c>
      <c r="B211">
        <v>971</v>
      </c>
      <c r="C211" t="s">
        <v>224</v>
      </c>
      <c r="D211">
        <v>381909</v>
      </c>
    </row>
    <row r="212" spans="1:4" x14ac:dyDescent="0.35">
      <c r="A212" s="1">
        <v>2024</v>
      </c>
      <c r="B212">
        <v>972</v>
      </c>
      <c r="C212" t="s">
        <v>225</v>
      </c>
      <c r="D212">
        <v>357590</v>
      </c>
    </row>
    <row r="213" spans="1:4" x14ac:dyDescent="0.35">
      <c r="A213" s="1">
        <v>2024</v>
      </c>
      <c r="B213">
        <v>973</v>
      </c>
      <c r="C213" t="s">
        <v>77</v>
      </c>
      <c r="D213">
        <v>291774</v>
      </c>
    </row>
    <row r="214" spans="1:4" x14ac:dyDescent="0.35">
      <c r="A214" s="1">
        <v>2024</v>
      </c>
      <c r="B214">
        <v>974</v>
      </c>
      <c r="C214" t="s">
        <v>79</v>
      </c>
      <c r="D214">
        <v>892102</v>
      </c>
    </row>
    <row r="215" spans="1:4" x14ac:dyDescent="0.35">
      <c r="A215" s="1">
        <v>2024</v>
      </c>
      <c r="B215">
        <v>976</v>
      </c>
      <c r="C215" t="s">
        <v>215</v>
      </c>
      <c r="D215">
        <v>320282</v>
      </c>
    </row>
    <row r="216" spans="1:4" x14ac:dyDescent="0.35">
      <c r="A216" s="1">
        <v>2024</v>
      </c>
      <c r="B216" t="s">
        <v>226</v>
      </c>
      <c r="D216">
        <v>2243657</v>
      </c>
    </row>
    <row r="217" spans="1:4" x14ac:dyDescent="0.35">
      <c r="A217" s="1">
        <v>2024</v>
      </c>
      <c r="B217" t="s">
        <v>227</v>
      </c>
      <c r="D217">
        <v>68436616</v>
      </c>
    </row>
    <row r="218" spans="1:4" x14ac:dyDescent="0.35">
      <c r="A218" s="1">
        <v>2024</v>
      </c>
    </row>
    <row r="219" spans="1:4" x14ac:dyDescent="0.35">
      <c r="A219" s="1">
        <v>2024</v>
      </c>
      <c r="B219" t="s">
        <v>233</v>
      </c>
    </row>
    <row r="220" spans="1:4" x14ac:dyDescent="0.35">
      <c r="A220" s="1">
        <v>2024</v>
      </c>
    </row>
    <row r="221" spans="1:4" x14ac:dyDescent="0.35">
      <c r="A221" s="1">
        <v>2023</v>
      </c>
      <c r="B221" t="s">
        <v>229</v>
      </c>
    </row>
    <row r="222" spans="1:4" x14ac:dyDescent="0.35">
      <c r="A222" s="1">
        <v>2023</v>
      </c>
      <c r="B222" t="s">
        <v>234</v>
      </c>
    </row>
    <row r="223" spans="1:4" x14ac:dyDescent="0.35">
      <c r="A223" s="1">
        <v>2023</v>
      </c>
    </row>
    <row r="224" spans="1:4" x14ac:dyDescent="0.35">
      <c r="A224" s="1">
        <v>2023</v>
      </c>
      <c r="B224" t="s">
        <v>231</v>
      </c>
    </row>
    <row r="225" spans="1:4" x14ac:dyDescent="0.35">
      <c r="A225" s="1">
        <v>2023</v>
      </c>
      <c r="D225" t="s">
        <v>232</v>
      </c>
    </row>
    <row r="226" spans="1:4" x14ac:dyDescent="0.35">
      <c r="A226" s="1">
        <v>2023</v>
      </c>
      <c r="B226" t="s">
        <v>5</v>
      </c>
      <c r="C226" t="s">
        <v>6</v>
      </c>
      <c r="D226">
        <v>677187</v>
      </c>
    </row>
    <row r="227" spans="1:4" x14ac:dyDescent="0.35">
      <c r="A227" s="1">
        <v>2023</v>
      </c>
      <c r="B227" t="s">
        <v>104</v>
      </c>
      <c r="C227" t="s">
        <v>105</v>
      </c>
      <c r="D227">
        <v>523228</v>
      </c>
    </row>
    <row r="228" spans="1:4" x14ac:dyDescent="0.35">
      <c r="A228" s="1">
        <v>2023</v>
      </c>
      <c r="B228" t="s">
        <v>10</v>
      </c>
      <c r="C228" t="s">
        <v>11</v>
      </c>
      <c r="D228">
        <v>333922</v>
      </c>
    </row>
    <row r="229" spans="1:4" x14ac:dyDescent="0.35">
      <c r="A229" s="1">
        <v>2023</v>
      </c>
      <c r="B229" t="s">
        <v>200</v>
      </c>
      <c r="C229" t="s">
        <v>201</v>
      </c>
      <c r="D229">
        <v>168005</v>
      </c>
    </row>
    <row r="230" spans="1:4" x14ac:dyDescent="0.35">
      <c r="A230" s="1">
        <v>2023</v>
      </c>
      <c r="B230" t="s">
        <v>202</v>
      </c>
      <c r="C230" t="s">
        <v>203</v>
      </c>
      <c r="D230">
        <v>141826</v>
      </c>
    </row>
    <row r="231" spans="1:4" x14ac:dyDescent="0.35">
      <c r="A231" s="1">
        <v>2023</v>
      </c>
      <c r="B231" t="s">
        <v>204</v>
      </c>
      <c r="C231" t="s">
        <v>205</v>
      </c>
      <c r="D231">
        <v>1119807</v>
      </c>
    </row>
    <row r="232" spans="1:4" x14ac:dyDescent="0.35">
      <c r="A232" s="1">
        <v>2023</v>
      </c>
      <c r="B232" t="s">
        <v>12</v>
      </c>
      <c r="C232" t="s">
        <v>13</v>
      </c>
      <c r="D232">
        <v>334451</v>
      </c>
    </row>
    <row r="233" spans="1:4" x14ac:dyDescent="0.35">
      <c r="A233" s="1">
        <v>2023</v>
      </c>
      <c r="B233" t="s">
        <v>84</v>
      </c>
      <c r="C233" t="s">
        <v>85</v>
      </c>
      <c r="D233">
        <v>265865</v>
      </c>
    </row>
    <row r="234" spans="1:4" x14ac:dyDescent="0.35">
      <c r="A234" s="1">
        <v>2023</v>
      </c>
      <c r="B234" t="s">
        <v>164</v>
      </c>
      <c r="C234" t="s">
        <v>165</v>
      </c>
      <c r="D234">
        <v>155760</v>
      </c>
    </row>
    <row r="235" spans="1:4" x14ac:dyDescent="0.35">
      <c r="A235" s="1">
        <v>2023</v>
      </c>
      <c r="B235" t="s">
        <v>86</v>
      </c>
      <c r="C235" t="s">
        <v>87</v>
      </c>
      <c r="D235">
        <v>311170</v>
      </c>
    </row>
    <row r="236" spans="1:4" x14ac:dyDescent="0.35">
      <c r="A236" s="1">
        <v>2023</v>
      </c>
      <c r="B236" t="s">
        <v>166</v>
      </c>
      <c r="C236" t="s">
        <v>167</v>
      </c>
      <c r="D236">
        <v>378427</v>
      </c>
    </row>
    <row r="237" spans="1:4" x14ac:dyDescent="0.35">
      <c r="A237" s="1">
        <v>2023</v>
      </c>
      <c r="B237" t="s">
        <v>168</v>
      </c>
      <c r="C237" t="s">
        <v>169</v>
      </c>
      <c r="D237">
        <v>279241</v>
      </c>
    </row>
    <row r="238" spans="1:4" x14ac:dyDescent="0.35">
      <c r="A238" s="1">
        <v>2023</v>
      </c>
      <c r="B238" t="s">
        <v>206</v>
      </c>
      <c r="C238" t="s">
        <v>207</v>
      </c>
      <c r="D238">
        <v>2076707</v>
      </c>
    </row>
    <row r="239" spans="1:4" x14ac:dyDescent="0.35">
      <c r="A239" s="1">
        <v>2023</v>
      </c>
      <c r="B239" t="s">
        <v>130</v>
      </c>
      <c r="C239" t="s">
        <v>131</v>
      </c>
      <c r="D239">
        <v>706548</v>
      </c>
    </row>
    <row r="240" spans="1:4" x14ac:dyDescent="0.35">
      <c r="A240" s="1">
        <v>2023</v>
      </c>
      <c r="B240" t="s">
        <v>14</v>
      </c>
      <c r="C240" t="s">
        <v>15</v>
      </c>
      <c r="D240">
        <v>144177</v>
      </c>
    </row>
    <row r="241" spans="1:4" x14ac:dyDescent="0.35">
      <c r="A241" s="1">
        <v>2023</v>
      </c>
      <c r="B241" t="s">
        <v>140</v>
      </c>
      <c r="C241" t="s">
        <v>141</v>
      </c>
      <c r="D241">
        <v>351023</v>
      </c>
    </row>
    <row r="242" spans="1:4" x14ac:dyDescent="0.35">
      <c r="A242" s="1">
        <v>2023</v>
      </c>
      <c r="B242" t="s">
        <v>142</v>
      </c>
      <c r="C242" t="s">
        <v>143</v>
      </c>
      <c r="D242">
        <v>672443</v>
      </c>
    </row>
    <row r="243" spans="1:4" x14ac:dyDescent="0.35">
      <c r="A243" s="1">
        <v>2023</v>
      </c>
      <c r="B243" t="s">
        <v>56</v>
      </c>
      <c r="C243" t="s">
        <v>57</v>
      </c>
      <c r="D243">
        <v>298404</v>
      </c>
    </row>
    <row r="244" spans="1:4" x14ac:dyDescent="0.35">
      <c r="A244" s="1">
        <v>2023</v>
      </c>
      <c r="B244" t="s">
        <v>144</v>
      </c>
      <c r="C244" t="s">
        <v>145</v>
      </c>
      <c r="D244">
        <v>239911</v>
      </c>
    </row>
    <row r="245" spans="1:4" x14ac:dyDescent="0.35">
      <c r="A245" s="1">
        <v>2023</v>
      </c>
      <c r="B245" t="s">
        <v>68</v>
      </c>
      <c r="C245" t="s">
        <v>69</v>
      </c>
      <c r="D245">
        <v>168277</v>
      </c>
    </row>
    <row r="246" spans="1:4" x14ac:dyDescent="0.35">
      <c r="A246" s="1">
        <v>2023</v>
      </c>
      <c r="B246" t="s">
        <v>70</v>
      </c>
      <c r="C246" t="s">
        <v>71</v>
      </c>
      <c r="D246">
        <v>185989</v>
      </c>
    </row>
    <row r="247" spans="1:4" x14ac:dyDescent="0.35">
      <c r="A247" s="1">
        <v>2023</v>
      </c>
      <c r="B247" t="s">
        <v>32</v>
      </c>
      <c r="C247" t="s">
        <v>219</v>
      </c>
      <c r="D247">
        <v>538080</v>
      </c>
    </row>
    <row r="248" spans="1:4" x14ac:dyDescent="0.35">
      <c r="A248" s="1">
        <v>2023</v>
      </c>
      <c r="B248" t="s">
        <v>48</v>
      </c>
      <c r="C248" t="s">
        <v>220</v>
      </c>
      <c r="D248">
        <v>611258</v>
      </c>
    </row>
    <row r="249" spans="1:4" x14ac:dyDescent="0.35">
      <c r="A249" s="1">
        <v>2023</v>
      </c>
      <c r="B249" t="s">
        <v>146</v>
      </c>
      <c r="C249" t="s">
        <v>147</v>
      </c>
      <c r="D249">
        <v>114940</v>
      </c>
    </row>
    <row r="250" spans="1:4" x14ac:dyDescent="0.35">
      <c r="A250" s="1">
        <v>2023</v>
      </c>
      <c r="B250" t="s">
        <v>148</v>
      </c>
      <c r="C250" t="s">
        <v>149</v>
      </c>
      <c r="D250">
        <v>416671</v>
      </c>
    </row>
    <row r="251" spans="1:4" x14ac:dyDescent="0.35">
      <c r="A251" s="1">
        <v>2023</v>
      </c>
      <c r="B251" t="s">
        <v>34</v>
      </c>
      <c r="C251" t="s">
        <v>35</v>
      </c>
      <c r="D251">
        <v>549462</v>
      </c>
    </row>
    <row r="252" spans="1:4" x14ac:dyDescent="0.35">
      <c r="A252" s="1">
        <v>2023</v>
      </c>
      <c r="B252" t="s">
        <v>16</v>
      </c>
      <c r="C252" t="s">
        <v>17</v>
      </c>
      <c r="D252">
        <v>522454</v>
      </c>
    </row>
    <row r="253" spans="1:4" x14ac:dyDescent="0.35">
      <c r="A253" s="1">
        <v>2023</v>
      </c>
      <c r="B253" t="s">
        <v>132</v>
      </c>
      <c r="C253" t="s">
        <v>133</v>
      </c>
      <c r="D253">
        <v>601533</v>
      </c>
    </row>
    <row r="254" spans="1:4" x14ac:dyDescent="0.35">
      <c r="A254" s="1">
        <v>2023</v>
      </c>
      <c r="B254" t="s">
        <v>58</v>
      </c>
      <c r="C254" t="s">
        <v>59</v>
      </c>
      <c r="D254">
        <v>433132</v>
      </c>
    </row>
    <row r="255" spans="1:4" x14ac:dyDescent="0.35">
      <c r="A255" s="1">
        <v>2023</v>
      </c>
      <c r="B255" t="s">
        <v>50</v>
      </c>
      <c r="C255" t="s">
        <v>51</v>
      </c>
      <c r="D255">
        <v>930710</v>
      </c>
    </row>
    <row r="256" spans="1:4" x14ac:dyDescent="0.35">
      <c r="A256" s="1">
        <v>2023</v>
      </c>
      <c r="B256" t="s">
        <v>170</v>
      </c>
      <c r="C256" t="s">
        <v>171</v>
      </c>
      <c r="D256">
        <v>768166</v>
      </c>
    </row>
    <row r="257" spans="1:4" x14ac:dyDescent="0.35">
      <c r="A257" s="1">
        <v>2023</v>
      </c>
      <c r="B257" t="s">
        <v>172</v>
      </c>
      <c r="C257" t="s">
        <v>173</v>
      </c>
      <c r="D257">
        <v>1473299</v>
      </c>
    </row>
    <row r="258" spans="1:4" x14ac:dyDescent="0.35">
      <c r="A258" s="1">
        <v>2023</v>
      </c>
      <c r="B258" t="s">
        <v>174</v>
      </c>
      <c r="C258" t="s">
        <v>175</v>
      </c>
      <c r="D258">
        <v>192822</v>
      </c>
    </row>
    <row r="259" spans="1:4" x14ac:dyDescent="0.35">
      <c r="A259" s="1">
        <v>2023</v>
      </c>
      <c r="B259" t="s">
        <v>150</v>
      </c>
      <c r="C259" t="s">
        <v>151</v>
      </c>
      <c r="D259">
        <v>1689714</v>
      </c>
    </row>
    <row r="260" spans="1:4" x14ac:dyDescent="0.35">
      <c r="A260" s="1">
        <v>2023</v>
      </c>
      <c r="B260" t="s">
        <v>176</v>
      </c>
      <c r="C260" t="s">
        <v>177</v>
      </c>
      <c r="D260">
        <v>1229560</v>
      </c>
    </row>
    <row r="261" spans="1:4" x14ac:dyDescent="0.35">
      <c r="A261" s="1">
        <v>2023</v>
      </c>
      <c r="B261" t="s">
        <v>52</v>
      </c>
      <c r="C261" t="s">
        <v>53</v>
      </c>
      <c r="D261">
        <v>1117647</v>
      </c>
    </row>
    <row r="262" spans="1:4" x14ac:dyDescent="0.35">
      <c r="A262" s="1">
        <v>2023</v>
      </c>
      <c r="B262" t="s">
        <v>60</v>
      </c>
      <c r="C262" t="s">
        <v>61</v>
      </c>
      <c r="D262">
        <v>215578</v>
      </c>
    </row>
    <row r="263" spans="1:4" x14ac:dyDescent="0.35">
      <c r="A263" s="1">
        <v>2023</v>
      </c>
      <c r="B263" t="s">
        <v>62</v>
      </c>
      <c r="C263" t="s">
        <v>63</v>
      </c>
      <c r="D263">
        <v>617703</v>
      </c>
    </row>
    <row r="264" spans="1:4" x14ac:dyDescent="0.35">
      <c r="A264" s="1">
        <v>2023</v>
      </c>
      <c r="B264" t="s">
        <v>18</v>
      </c>
      <c r="C264" t="s">
        <v>19</v>
      </c>
      <c r="D264">
        <v>1297087</v>
      </c>
    </row>
    <row r="265" spans="1:4" x14ac:dyDescent="0.35">
      <c r="A265" s="1">
        <v>2023</v>
      </c>
      <c r="B265" t="s">
        <v>36</v>
      </c>
      <c r="C265" t="s">
        <v>37</v>
      </c>
      <c r="D265">
        <v>257986</v>
      </c>
    </row>
    <row r="266" spans="1:4" x14ac:dyDescent="0.35">
      <c r="A266" s="1">
        <v>2023</v>
      </c>
      <c r="B266" t="s">
        <v>152</v>
      </c>
      <c r="C266" t="s">
        <v>153</v>
      </c>
      <c r="D266">
        <v>432717</v>
      </c>
    </row>
    <row r="267" spans="1:4" x14ac:dyDescent="0.35">
      <c r="A267" s="1">
        <v>2023</v>
      </c>
      <c r="B267" t="s">
        <v>64</v>
      </c>
      <c r="C267" t="s">
        <v>65</v>
      </c>
      <c r="D267">
        <v>328360</v>
      </c>
    </row>
    <row r="268" spans="1:4" x14ac:dyDescent="0.35">
      <c r="A268" s="1">
        <v>2023</v>
      </c>
      <c r="B268" t="s">
        <v>20</v>
      </c>
      <c r="C268" t="s">
        <v>21</v>
      </c>
      <c r="D268">
        <v>773693</v>
      </c>
    </row>
    <row r="269" spans="1:4" x14ac:dyDescent="0.35">
      <c r="A269" s="1">
        <v>2023</v>
      </c>
      <c r="B269" t="s">
        <v>22</v>
      </c>
      <c r="C269" t="s">
        <v>23</v>
      </c>
      <c r="D269">
        <v>228034</v>
      </c>
    </row>
    <row r="270" spans="1:4" x14ac:dyDescent="0.35">
      <c r="A270" s="1">
        <v>2023</v>
      </c>
      <c r="B270" t="s">
        <v>190</v>
      </c>
      <c r="C270" t="s">
        <v>191</v>
      </c>
      <c r="D270">
        <v>1486149</v>
      </c>
    </row>
    <row r="271" spans="1:4" x14ac:dyDescent="0.35">
      <c r="A271" s="1">
        <v>2023</v>
      </c>
      <c r="B271" t="s">
        <v>66</v>
      </c>
      <c r="C271" t="s">
        <v>67</v>
      </c>
      <c r="D271">
        <v>688539</v>
      </c>
    </row>
    <row r="272" spans="1:4" x14ac:dyDescent="0.35">
      <c r="A272" s="1">
        <v>2023</v>
      </c>
      <c r="B272" t="s">
        <v>178</v>
      </c>
      <c r="C272" t="s">
        <v>179</v>
      </c>
      <c r="D272">
        <v>175858</v>
      </c>
    </row>
    <row r="273" spans="1:4" x14ac:dyDescent="0.35">
      <c r="A273" s="1">
        <v>2023</v>
      </c>
      <c r="B273" t="s">
        <v>154</v>
      </c>
      <c r="C273" t="s">
        <v>155</v>
      </c>
      <c r="D273">
        <v>332080</v>
      </c>
    </row>
    <row r="274" spans="1:4" x14ac:dyDescent="0.35">
      <c r="A274" s="1">
        <v>2023</v>
      </c>
      <c r="B274" t="s">
        <v>180</v>
      </c>
      <c r="C274" t="s">
        <v>181</v>
      </c>
      <c r="D274">
        <v>76471</v>
      </c>
    </row>
    <row r="275" spans="1:4" x14ac:dyDescent="0.35">
      <c r="A275" s="1">
        <v>2023</v>
      </c>
      <c r="B275" t="s">
        <v>192</v>
      </c>
      <c r="C275" t="s">
        <v>193</v>
      </c>
      <c r="D275">
        <v>830394</v>
      </c>
    </row>
    <row r="276" spans="1:4" x14ac:dyDescent="0.35">
      <c r="A276" s="1">
        <v>2023</v>
      </c>
      <c r="B276" t="s">
        <v>134</v>
      </c>
      <c r="C276" t="s">
        <v>135</v>
      </c>
      <c r="D276">
        <v>496441</v>
      </c>
    </row>
    <row r="277" spans="1:4" x14ac:dyDescent="0.35">
      <c r="A277" s="1">
        <v>2023</v>
      </c>
      <c r="B277" t="s">
        <v>88</v>
      </c>
      <c r="C277" t="s">
        <v>89</v>
      </c>
      <c r="D277">
        <v>562387</v>
      </c>
    </row>
    <row r="278" spans="1:4" x14ac:dyDescent="0.35">
      <c r="A278" s="1">
        <v>2023</v>
      </c>
      <c r="B278" t="s">
        <v>90</v>
      </c>
      <c r="C278" t="s">
        <v>91</v>
      </c>
      <c r="D278">
        <v>168854</v>
      </c>
    </row>
    <row r="279" spans="1:4" x14ac:dyDescent="0.35">
      <c r="A279" s="1">
        <v>2023</v>
      </c>
      <c r="B279" t="s">
        <v>194</v>
      </c>
      <c r="C279" t="s">
        <v>195</v>
      </c>
      <c r="D279">
        <v>304630</v>
      </c>
    </row>
    <row r="280" spans="1:4" x14ac:dyDescent="0.35">
      <c r="A280" s="1">
        <v>2023</v>
      </c>
      <c r="B280" t="s">
        <v>92</v>
      </c>
      <c r="C280" t="s">
        <v>93</v>
      </c>
      <c r="D280">
        <v>731744</v>
      </c>
    </row>
    <row r="281" spans="1:4" x14ac:dyDescent="0.35">
      <c r="A281" s="1">
        <v>2023</v>
      </c>
      <c r="B281" t="s">
        <v>94</v>
      </c>
      <c r="C281" t="s">
        <v>95</v>
      </c>
      <c r="D281">
        <v>179439</v>
      </c>
    </row>
    <row r="282" spans="1:4" x14ac:dyDescent="0.35">
      <c r="A282" s="1">
        <v>2023</v>
      </c>
      <c r="B282" t="s">
        <v>54</v>
      </c>
      <c r="C282" t="s">
        <v>55</v>
      </c>
      <c r="D282">
        <v>780633</v>
      </c>
    </row>
    <row r="283" spans="1:4" x14ac:dyDescent="0.35">
      <c r="A283" s="1">
        <v>2023</v>
      </c>
      <c r="B283" t="s">
        <v>96</v>
      </c>
      <c r="C283" t="s">
        <v>97</v>
      </c>
      <c r="D283">
        <v>1050692</v>
      </c>
    </row>
    <row r="284" spans="1:4" x14ac:dyDescent="0.35">
      <c r="A284" s="1">
        <v>2023</v>
      </c>
      <c r="B284" t="s">
        <v>38</v>
      </c>
      <c r="C284" t="s">
        <v>39</v>
      </c>
      <c r="D284">
        <v>201409</v>
      </c>
    </row>
    <row r="285" spans="1:4" x14ac:dyDescent="0.35">
      <c r="A285" s="1">
        <v>2023</v>
      </c>
      <c r="B285" t="s">
        <v>106</v>
      </c>
      <c r="C285" t="s">
        <v>107</v>
      </c>
      <c r="D285">
        <v>2616339</v>
      </c>
    </row>
    <row r="286" spans="1:4" x14ac:dyDescent="0.35">
      <c r="A286" s="1">
        <v>2023</v>
      </c>
      <c r="B286" t="s">
        <v>108</v>
      </c>
      <c r="C286" t="s">
        <v>109</v>
      </c>
      <c r="D286">
        <v>830509</v>
      </c>
    </row>
    <row r="287" spans="1:4" x14ac:dyDescent="0.35">
      <c r="A287" s="1">
        <v>2023</v>
      </c>
      <c r="B287" t="s">
        <v>136</v>
      </c>
      <c r="C287" t="s">
        <v>137</v>
      </c>
      <c r="D287">
        <v>274742</v>
      </c>
    </row>
    <row r="288" spans="1:4" x14ac:dyDescent="0.35">
      <c r="A288" s="1">
        <v>2023</v>
      </c>
      <c r="B288" t="s">
        <v>110</v>
      </c>
      <c r="C288" t="s">
        <v>111</v>
      </c>
      <c r="D288">
        <v>1456673</v>
      </c>
    </row>
    <row r="289" spans="1:4" x14ac:dyDescent="0.35">
      <c r="A289" s="1">
        <v>2023</v>
      </c>
      <c r="B289" t="s">
        <v>24</v>
      </c>
      <c r="C289" t="s">
        <v>25</v>
      </c>
      <c r="D289">
        <v>664263</v>
      </c>
    </row>
    <row r="290" spans="1:4" x14ac:dyDescent="0.35">
      <c r="A290" s="1">
        <v>2023</v>
      </c>
      <c r="B290" t="s">
        <v>156</v>
      </c>
      <c r="C290" t="s">
        <v>157</v>
      </c>
      <c r="D290">
        <v>704074</v>
      </c>
    </row>
    <row r="291" spans="1:4" x14ac:dyDescent="0.35">
      <c r="A291" s="1">
        <v>2023</v>
      </c>
      <c r="B291" t="s">
        <v>182</v>
      </c>
      <c r="C291" t="s">
        <v>183</v>
      </c>
      <c r="D291">
        <v>231638</v>
      </c>
    </row>
    <row r="292" spans="1:4" x14ac:dyDescent="0.35">
      <c r="A292" s="1">
        <v>2023</v>
      </c>
      <c r="B292" t="s">
        <v>184</v>
      </c>
      <c r="C292" t="s">
        <v>185</v>
      </c>
      <c r="D292">
        <v>496280</v>
      </c>
    </row>
    <row r="293" spans="1:4" x14ac:dyDescent="0.35">
      <c r="A293" s="1">
        <v>2023</v>
      </c>
      <c r="B293" t="s">
        <v>98</v>
      </c>
      <c r="C293" t="s">
        <v>99</v>
      </c>
      <c r="D293">
        <v>1160728</v>
      </c>
    </row>
    <row r="294" spans="1:4" x14ac:dyDescent="0.35">
      <c r="A294" s="1">
        <v>2023</v>
      </c>
      <c r="B294" t="s">
        <v>100</v>
      </c>
      <c r="C294" t="s">
        <v>101</v>
      </c>
      <c r="D294">
        <v>767160</v>
      </c>
    </row>
    <row r="295" spans="1:4" x14ac:dyDescent="0.35">
      <c r="A295" s="1">
        <v>2023</v>
      </c>
      <c r="B295" t="s">
        <v>26</v>
      </c>
      <c r="C295" t="s">
        <v>27</v>
      </c>
      <c r="D295">
        <v>1916464</v>
      </c>
    </row>
    <row r="296" spans="1:4" x14ac:dyDescent="0.35">
      <c r="A296" s="1">
        <v>2023</v>
      </c>
      <c r="B296" t="s">
        <v>40</v>
      </c>
      <c r="C296" t="s">
        <v>41</v>
      </c>
      <c r="D296">
        <v>233293</v>
      </c>
    </row>
    <row r="297" spans="1:4" x14ac:dyDescent="0.35">
      <c r="A297" s="1">
        <v>2023</v>
      </c>
      <c r="B297" t="s">
        <v>42</v>
      </c>
      <c r="C297" t="s">
        <v>43</v>
      </c>
      <c r="D297">
        <v>547788</v>
      </c>
    </row>
    <row r="298" spans="1:4" x14ac:dyDescent="0.35">
      <c r="A298" s="1">
        <v>2023</v>
      </c>
      <c r="B298" t="s">
        <v>196</v>
      </c>
      <c r="C298" t="s">
        <v>197</v>
      </c>
      <c r="D298">
        <v>565349</v>
      </c>
    </row>
    <row r="299" spans="1:4" x14ac:dyDescent="0.35">
      <c r="A299" s="1">
        <v>2023</v>
      </c>
      <c r="B299" t="s">
        <v>28</v>
      </c>
      <c r="C299" t="s">
        <v>29</v>
      </c>
      <c r="D299">
        <v>447997</v>
      </c>
    </row>
    <row r="300" spans="1:4" x14ac:dyDescent="0.35">
      <c r="A300" s="1">
        <v>2023</v>
      </c>
      <c r="B300" t="s">
        <v>30</v>
      </c>
      <c r="C300" t="s">
        <v>31</v>
      </c>
      <c r="D300">
        <v>856707</v>
      </c>
    </row>
    <row r="301" spans="1:4" x14ac:dyDescent="0.35">
      <c r="A301" s="1">
        <v>2023</v>
      </c>
      <c r="B301" t="s">
        <v>114</v>
      </c>
      <c r="C301" t="s">
        <v>115</v>
      </c>
      <c r="D301">
        <v>2092813</v>
      </c>
    </row>
    <row r="302" spans="1:4" x14ac:dyDescent="0.35">
      <c r="A302" s="1">
        <v>2023</v>
      </c>
      <c r="B302" t="s">
        <v>138</v>
      </c>
      <c r="C302" t="s">
        <v>139</v>
      </c>
      <c r="D302">
        <v>1260258</v>
      </c>
    </row>
    <row r="303" spans="1:4" x14ac:dyDescent="0.35">
      <c r="A303" s="1">
        <v>2023</v>
      </c>
      <c r="B303" t="s">
        <v>116</v>
      </c>
      <c r="C303" t="s">
        <v>117</v>
      </c>
      <c r="D303">
        <v>1461552</v>
      </c>
    </row>
    <row r="304" spans="1:4" x14ac:dyDescent="0.35">
      <c r="A304" s="1">
        <v>2023</v>
      </c>
      <c r="B304" t="s">
        <v>118</v>
      </c>
      <c r="C304" t="s">
        <v>119</v>
      </c>
      <c r="D304">
        <v>1477228</v>
      </c>
    </row>
    <row r="305" spans="1:4" x14ac:dyDescent="0.35">
      <c r="A305" s="1">
        <v>2023</v>
      </c>
      <c r="B305" t="s">
        <v>158</v>
      </c>
      <c r="C305" t="s">
        <v>159</v>
      </c>
      <c r="D305">
        <v>375016</v>
      </c>
    </row>
    <row r="306" spans="1:4" x14ac:dyDescent="0.35">
      <c r="A306" s="1">
        <v>2023</v>
      </c>
      <c r="B306" t="s">
        <v>112</v>
      </c>
      <c r="C306" t="s">
        <v>113</v>
      </c>
      <c r="D306">
        <v>563543</v>
      </c>
    </row>
    <row r="307" spans="1:4" x14ac:dyDescent="0.35">
      <c r="A307" s="1">
        <v>2023</v>
      </c>
      <c r="B307" t="s">
        <v>186</v>
      </c>
      <c r="C307" t="s">
        <v>187</v>
      </c>
      <c r="D307">
        <v>397775</v>
      </c>
    </row>
    <row r="308" spans="1:4" x14ac:dyDescent="0.35">
      <c r="A308" s="1">
        <v>2023</v>
      </c>
      <c r="B308" t="s">
        <v>188</v>
      </c>
      <c r="C308" t="s">
        <v>189</v>
      </c>
      <c r="D308">
        <v>265956</v>
      </c>
    </row>
    <row r="309" spans="1:4" x14ac:dyDescent="0.35">
      <c r="A309" s="1">
        <v>2023</v>
      </c>
      <c r="B309" t="s">
        <v>208</v>
      </c>
      <c r="C309" t="s">
        <v>209</v>
      </c>
      <c r="D309">
        <v>1117572</v>
      </c>
    </row>
    <row r="310" spans="1:4" x14ac:dyDescent="0.35">
      <c r="A310" s="1">
        <v>2023</v>
      </c>
      <c r="B310" t="s">
        <v>210</v>
      </c>
      <c r="C310" t="s">
        <v>211</v>
      </c>
      <c r="D310">
        <v>570432</v>
      </c>
    </row>
    <row r="311" spans="1:4" x14ac:dyDescent="0.35">
      <c r="A311" s="1">
        <v>2023</v>
      </c>
      <c r="B311" t="s">
        <v>198</v>
      </c>
      <c r="C311" t="s">
        <v>199</v>
      </c>
      <c r="D311">
        <v>711902</v>
      </c>
    </row>
    <row r="312" spans="1:4" x14ac:dyDescent="0.35">
      <c r="A312" s="1">
        <v>2023</v>
      </c>
      <c r="B312" t="s">
        <v>160</v>
      </c>
      <c r="C312" t="s">
        <v>161</v>
      </c>
      <c r="D312">
        <v>438142</v>
      </c>
    </row>
    <row r="313" spans="1:4" x14ac:dyDescent="0.35">
      <c r="A313" s="1">
        <v>2023</v>
      </c>
      <c r="B313" t="s">
        <v>162</v>
      </c>
      <c r="C313" t="s">
        <v>163</v>
      </c>
      <c r="D313">
        <v>372083</v>
      </c>
    </row>
    <row r="314" spans="1:4" x14ac:dyDescent="0.35">
      <c r="A314" s="1">
        <v>2023</v>
      </c>
      <c r="B314" t="s">
        <v>102</v>
      </c>
      <c r="C314" t="s">
        <v>103</v>
      </c>
      <c r="D314">
        <v>356433</v>
      </c>
    </row>
    <row r="315" spans="1:4" x14ac:dyDescent="0.35">
      <c r="A315" s="1">
        <v>2023</v>
      </c>
      <c r="B315" t="s">
        <v>44</v>
      </c>
      <c r="C315" t="s">
        <v>45</v>
      </c>
      <c r="D315">
        <v>332690</v>
      </c>
    </row>
    <row r="316" spans="1:4" x14ac:dyDescent="0.35">
      <c r="A316" s="1">
        <v>2023</v>
      </c>
      <c r="B316" t="s">
        <v>46</v>
      </c>
      <c r="C316" t="s">
        <v>221</v>
      </c>
      <c r="D316">
        <v>139526</v>
      </c>
    </row>
    <row r="317" spans="1:4" x14ac:dyDescent="0.35">
      <c r="A317" s="1">
        <v>2023</v>
      </c>
      <c r="B317" t="s">
        <v>120</v>
      </c>
      <c r="C317" t="s">
        <v>121</v>
      </c>
      <c r="D317">
        <v>1331182</v>
      </c>
    </row>
    <row r="318" spans="1:4" x14ac:dyDescent="0.35">
      <c r="A318" s="1">
        <v>2023</v>
      </c>
      <c r="B318" t="s">
        <v>122</v>
      </c>
      <c r="C318" t="s">
        <v>222</v>
      </c>
      <c r="D318">
        <v>1653212</v>
      </c>
    </row>
    <row r="319" spans="1:4" x14ac:dyDescent="0.35">
      <c r="A319" s="1">
        <v>2023</v>
      </c>
      <c r="B319" t="s">
        <v>124</v>
      </c>
      <c r="C319" t="s">
        <v>125</v>
      </c>
      <c r="D319">
        <v>1692115</v>
      </c>
    </row>
    <row r="320" spans="1:4" x14ac:dyDescent="0.35">
      <c r="A320" s="1">
        <v>2023</v>
      </c>
      <c r="B320" t="s">
        <v>126</v>
      </c>
      <c r="C320" t="s">
        <v>127</v>
      </c>
      <c r="D320">
        <v>1422186</v>
      </c>
    </row>
    <row r="321" spans="1:4" x14ac:dyDescent="0.35">
      <c r="A321" s="1">
        <v>2023</v>
      </c>
      <c r="B321" t="s">
        <v>128</v>
      </c>
      <c r="C321" t="s">
        <v>129</v>
      </c>
      <c r="D321">
        <v>1277071</v>
      </c>
    </row>
    <row r="322" spans="1:4" x14ac:dyDescent="0.35">
      <c r="A322" s="1">
        <v>2023</v>
      </c>
      <c r="B322" t="s">
        <v>223</v>
      </c>
      <c r="D322">
        <v>66017385</v>
      </c>
    </row>
    <row r="323" spans="1:4" x14ac:dyDescent="0.35">
      <c r="A323" s="1">
        <v>2023</v>
      </c>
      <c r="B323">
        <v>971</v>
      </c>
      <c r="C323" t="s">
        <v>224</v>
      </c>
      <c r="D323">
        <v>382733</v>
      </c>
    </row>
    <row r="324" spans="1:4" x14ac:dyDescent="0.35">
      <c r="A324" s="1">
        <v>2023</v>
      </c>
      <c r="B324">
        <v>972</v>
      </c>
      <c r="C324" t="s">
        <v>225</v>
      </c>
      <c r="D324">
        <v>359202</v>
      </c>
    </row>
    <row r="325" spans="1:4" x14ac:dyDescent="0.35">
      <c r="A325" s="1">
        <v>2023</v>
      </c>
      <c r="B325">
        <v>973</v>
      </c>
      <c r="C325" t="s">
        <v>77</v>
      </c>
      <c r="D325">
        <v>290110</v>
      </c>
    </row>
    <row r="326" spans="1:4" x14ac:dyDescent="0.35">
      <c r="A326" s="1">
        <v>2023</v>
      </c>
      <c r="B326">
        <v>974</v>
      </c>
      <c r="C326" t="s">
        <v>79</v>
      </c>
      <c r="D326">
        <v>886453</v>
      </c>
    </row>
    <row r="327" spans="1:4" x14ac:dyDescent="0.35">
      <c r="A327" s="1">
        <v>2023</v>
      </c>
      <c r="B327">
        <v>976</v>
      </c>
      <c r="C327" t="s">
        <v>215</v>
      </c>
      <c r="D327">
        <v>310199</v>
      </c>
    </row>
    <row r="328" spans="1:4" x14ac:dyDescent="0.35">
      <c r="A328" s="1">
        <v>2023</v>
      </c>
      <c r="B328" t="s">
        <v>226</v>
      </c>
      <c r="D328">
        <v>2228697</v>
      </c>
    </row>
    <row r="329" spans="1:4" x14ac:dyDescent="0.35">
      <c r="A329" s="1">
        <v>2023</v>
      </c>
      <c r="B329" t="s">
        <v>227</v>
      </c>
      <c r="D329">
        <v>68246082</v>
      </c>
    </row>
    <row r="330" spans="1:4" x14ac:dyDescent="0.35">
      <c r="A330" s="1">
        <v>2023</v>
      </c>
    </row>
    <row r="331" spans="1:4" x14ac:dyDescent="0.35">
      <c r="A331" s="1">
        <v>2023</v>
      </c>
      <c r="B331" t="s">
        <v>233</v>
      </c>
    </row>
    <row r="332" spans="1:4" x14ac:dyDescent="0.35">
      <c r="A332" s="1">
        <v>2023</v>
      </c>
    </row>
    <row r="333" spans="1:4" x14ac:dyDescent="0.35">
      <c r="A333" s="1">
        <v>2022</v>
      </c>
      <c r="B333" t="s">
        <v>229</v>
      </c>
    </row>
    <row r="334" spans="1:4" x14ac:dyDescent="0.35">
      <c r="A334" s="1">
        <v>2022</v>
      </c>
      <c r="B334" t="s">
        <v>235</v>
      </c>
    </row>
    <row r="335" spans="1:4" x14ac:dyDescent="0.35">
      <c r="A335" s="1">
        <v>2022</v>
      </c>
    </row>
    <row r="336" spans="1:4" x14ac:dyDescent="0.35">
      <c r="A336" s="1">
        <v>2022</v>
      </c>
      <c r="B336" t="s">
        <v>231</v>
      </c>
    </row>
    <row r="337" spans="1:4" x14ac:dyDescent="0.35">
      <c r="A337" s="1">
        <v>2022</v>
      </c>
      <c r="D337" t="s">
        <v>232</v>
      </c>
    </row>
    <row r="338" spans="1:4" x14ac:dyDescent="0.35">
      <c r="A338" s="1">
        <v>2022</v>
      </c>
      <c r="B338" t="s">
        <v>5</v>
      </c>
      <c r="C338" t="s">
        <v>6</v>
      </c>
      <c r="D338">
        <v>671289</v>
      </c>
    </row>
    <row r="339" spans="1:4" x14ac:dyDescent="0.35">
      <c r="A339" s="1">
        <v>2022</v>
      </c>
      <c r="B339" t="s">
        <v>104</v>
      </c>
      <c r="C339" t="s">
        <v>105</v>
      </c>
      <c r="D339">
        <v>525558</v>
      </c>
    </row>
    <row r="340" spans="1:4" x14ac:dyDescent="0.35">
      <c r="A340" s="1">
        <v>2022</v>
      </c>
      <c r="B340" t="s">
        <v>10</v>
      </c>
      <c r="C340" t="s">
        <v>11</v>
      </c>
      <c r="D340">
        <v>334715</v>
      </c>
    </row>
    <row r="341" spans="1:4" x14ac:dyDescent="0.35">
      <c r="A341" s="1">
        <v>2022</v>
      </c>
      <c r="B341" t="s">
        <v>200</v>
      </c>
      <c r="C341" t="s">
        <v>201</v>
      </c>
      <c r="D341">
        <v>167179</v>
      </c>
    </row>
    <row r="342" spans="1:4" x14ac:dyDescent="0.35">
      <c r="A342" s="1">
        <v>2022</v>
      </c>
      <c r="B342" t="s">
        <v>202</v>
      </c>
      <c r="C342" t="s">
        <v>203</v>
      </c>
      <c r="D342">
        <v>141677</v>
      </c>
    </row>
    <row r="343" spans="1:4" x14ac:dyDescent="0.35">
      <c r="A343" s="1">
        <v>2022</v>
      </c>
      <c r="B343" t="s">
        <v>204</v>
      </c>
      <c r="C343" t="s">
        <v>205</v>
      </c>
      <c r="D343">
        <v>1114579</v>
      </c>
    </row>
    <row r="344" spans="1:4" x14ac:dyDescent="0.35">
      <c r="A344" s="1">
        <v>2022</v>
      </c>
      <c r="B344" t="s">
        <v>12</v>
      </c>
      <c r="C344" t="s">
        <v>13</v>
      </c>
      <c r="D344">
        <v>333229</v>
      </c>
    </row>
    <row r="345" spans="1:4" x14ac:dyDescent="0.35">
      <c r="A345" s="1">
        <v>2022</v>
      </c>
      <c r="B345" t="s">
        <v>84</v>
      </c>
      <c r="C345" t="s">
        <v>85</v>
      </c>
      <c r="D345">
        <v>267204</v>
      </c>
    </row>
    <row r="346" spans="1:4" x14ac:dyDescent="0.35">
      <c r="A346" s="1">
        <v>2022</v>
      </c>
      <c r="B346" t="s">
        <v>164</v>
      </c>
      <c r="C346" t="s">
        <v>165</v>
      </c>
      <c r="D346">
        <v>155339</v>
      </c>
    </row>
    <row r="347" spans="1:4" x14ac:dyDescent="0.35">
      <c r="A347" s="1">
        <v>2022</v>
      </c>
      <c r="B347" t="s">
        <v>86</v>
      </c>
      <c r="C347" t="s">
        <v>87</v>
      </c>
      <c r="D347">
        <v>311076</v>
      </c>
    </row>
    <row r="348" spans="1:4" x14ac:dyDescent="0.35">
      <c r="A348" s="1">
        <v>2022</v>
      </c>
      <c r="B348" t="s">
        <v>166</v>
      </c>
      <c r="C348" t="s">
        <v>167</v>
      </c>
      <c r="D348">
        <v>377773</v>
      </c>
    </row>
    <row r="349" spans="1:4" x14ac:dyDescent="0.35">
      <c r="A349" s="1">
        <v>2022</v>
      </c>
      <c r="B349" t="s">
        <v>168</v>
      </c>
      <c r="C349" t="s">
        <v>169</v>
      </c>
      <c r="D349">
        <v>279736</v>
      </c>
    </row>
    <row r="350" spans="1:4" x14ac:dyDescent="0.35">
      <c r="A350" s="1">
        <v>2022</v>
      </c>
      <c r="B350" t="s">
        <v>206</v>
      </c>
      <c r="C350" t="s">
        <v>207</v>
      </c>
      <c r="D350">
        <v>2069811</v>
      </c>
    </row>
    <row r="351" spans="1:4" x14ac:dyDescent="0.35">
      <c r="A351" s="1">
        <v>2022</v>
      </c>
      <c r="B351" t="s">
        <v>130</v>
      </c>
      <c r="C351" t="s">
        <v>131</v>
      </c>
      <c r="D351">
        <v>704605</v>
      </c>
    </row>
    <row r="352" spans="1:4" x14ac:dyDescent="0.35">
      <c r="A352" s="1">
        <v>2022</v>
      </c>
      <c r="B352" t="s">
        <v>14</v>
      </c>
      <c r="C352" t="s">
        <v>15</v>
      </c>
      <c r="D352">
        <v>144399</v>
      </c>
    </row>
    <row r="353" spans="1:4" x14ac:dyDescent="0.35">
      <c r="A353" s="1">
        <v>2022</v>
      </c>
      <c r="B353" t="s">
        <v>140</v>
      </c>
      <c r="C353" t="s">
        <v>141</v>
      </c>
      <c r="D353">
        <v>351603</v>
      </c>
    </row>
    <row r="354" spans="1:4" x14ac:dyDescent="0.35">
      <c r="A354" s="1">
        <v>2022</v>
      </c>
      <c r="B354" t="s">
        <v>142</v>
      </c>
      <c r="C354" t="s">
        <v>143</v>
      </c>
      <c r="D354">
        <v>668160</v>
      </c>
    </row>
    <row r="355" spans="1:4" x14ac:dyDescent="0.35">
      <c r="A355" s="1">
        <v>2022</v>
      </c>
      <c r="B355" t="s">
        <v>56</v>
      </c>
      <c r="C355" t="s">
        <v>57</v>
      </c>
      <c r="D355">
        <v>299496</v>
      </c>
    </row>
    <row r="356" spans="1:4" x14ac:dyDescent="0.35">
      <c r="A356" s="1">
        <v>2022</v>
      </c>
      <c r="B356" t="s">
        <v>144</v>
      </c>
      <c r="C356" t="s">
        <v>145</v>
      </c>
      <c r="D356">
        <v>240120</v>
      </c>
    </row>
    <row r="357" spans="1:4" x14ac:dyDescent="0.35">
      <c r="A357" s="1">
        <v>2022</v>
      </c>
      <c r="B357" t="s">
        <v>68</v>
      </c>
      <c r="C357" t="s">
        <v>69</v>
      </c>
      <c r="D357">
        <v>166045</v>
      </c>
    </row>
    <row r="358" spans="1:4" x14ac:dyDescent="0.35">
      <c r="A358" s="1">
        <v>2022</v>
      </c>
      <c r="B358" t="s">
        <v>70</v>
      </c>
      <c r="C358" t="s">
        <v>71</v>
      </c>
      <c r="D358">
        <v>185231</v>
      </c>
    </row>
    <row r="359" spans="1:4" x14ac:dyDescent="0.35">
      <c r="A359" s="1">
        <v>2022</v>
      </c>
      <c r="B359" t="s">
        <v>32</v>
      </c>
      <c r="C359" t="s">
        <v>219</v>
      </c>
      <c r="D359">
        <v>537577</v>
      </c>
    </row>
    <row r="360" spans="1:4" x14ac:dyDescent="0.35">
      <c r="A360" s="1">
        <v>2022</v>
      </c>
      <c r="B360" t="s">
        <v>48</v>
      </c>
      <c r="C360" t="s">
        <v>220</v>
      </c>
      <c r="D360">
        <v>609598</v>
      </c>
    </row>
    <row r="361" spans="1:4" x14ac:dyDescent="0.35">
      <c r="A361" s="1">
        <v>2022</v>
      </c>
      <c r="B361" t="s">
        <v>146</v>
      </c>
      <c r="C361" t="s">
        <v>147</v>
      </c>
      <c r="D361">
        <v>115529</v>
      </c>
    </row>
    <row r="362" spans="1:4" x14ac:dyDescent="0.35">
      <c r="A362" s="1">
        <v>2022</v>
      </c>
      <c r="B362" t="s">
        <v>148</v>
      </c>
      <c r="C362" t="s">
        <v>149</v>
      </c>
      <c r="D362">
        <v>416325</v>
      </c>
    </row>
    <row r="363" spans="1:4" x14ac:dyDescent="0.35">
      <c r="A363" s="1">
        <v>2022</v>
      </c>
      <c r="B363" t="s">
        <v>34</v>
      </c>
      <c r="C363" t="s">
        <v>35</v>
      </c>
      <c r="D363">
        <v>548662</v>
      </c>
    </row>
    <row r="364" spans="1:4" x14ac:dyDescent="0.35">
      <c r="A364" s="1">
        <v>2022</v>
      </c>
      <c r="B364" t="s">
        <v>16</v>
      </c>
      <c r="C364" t="s">
        <v>17</v>
      </c>
      <c r="D364">
        <v>521432</v>
      </c>
    </row>
    <row r="365" spans="1:4" x14ac:dyDescent="0.35">
      <c r="A365" s="1">
        <v>2022</v>
      </c>
      <c r="B365" t="s">
        <v>132</v>
      </c>
      <c r="C365" t="s">
        <v>133</v>
      </c>
      <c r="D365">
        <v>601305</v>
      </c>
    </row>
    <row r="366" spans="1:4" x14ac:dyDescent="0.35">
      <c r="A366" s="1">
        <v>2022</v>
      </c>
      <c r="B366" t="s">
        <v>58</v>
      </c>
      <c r="C366" t="s">
        <v>59</v>
      </c>
      <c r="D366">
        <v>432950</v>
      </c>
    </row>
    <row r="367" spans="1:4" x14ac:dyDescent="0.35">
      <c r="A367" s="1">
        <v>2022</v>
      </c>
      <c r="B367" t="s">
        <v>50</v>
      </c>
      <c r="C367" t="s">
        <v>51</v>
      </c>
      <c r="D367">
        <v>927912</v>
      </c>
    </row>
    <row r="368" spans="1:4" x14ac:dyDescent="0.35">
      <c r="A368" s="1">
        <v>2022</v>
      </c>
      <c r="B368" t="s">
        <v>170</v>
      </c>
      <c r="C368" t="s">
        <v>171</v>
      </c>
      <c r="D368">
        <v>764010</v>
      </c>
    </row>
    <row r="369" spans="1:4" x14ac:dyDescent="0.35">
      <c r="A369" s="1">
        <v>2022</v>
      </c>
      <c r="B369" t="s">
        <v>172</v>
      </c>
      <c r="C369" t="s">
        <v>173</v>
      </c>
      <c r="D369">
        <v>1456261</v>
      </c>
    </row>
    <row r="370" spans="1:4" x14ac:dyDescent="0.35">
      <c r="A370" s="1">
        <v>2022</v>
      </c>
      <c r="B370" t="s">
        <v>174</v>
      </c>
      <c r="C370" t="s">
        <v>175</v>
      </c>
      <c r="D370">
        <v>192649</v>
      </c>
    </row>
    <row r="371" spans="1:4" x14ac:dyDescent="0.35">
      <c r="A371" s="1">
        <v>2022</v>
      </c>
      <c r="B371" t="s">
        <v>150</v>
      </c>
      <c r="C371" t="s">
        <v>151</v>
      </c>
      <c r="D371">
        <v>1674980</v>
      </c>
    </row>
    <row r="372" spans="1:4" x14ac:dyDescent="0.35">
      <c r="A372" s="1">
        <v>2022</v>
      </c>
      <c r="B372" t="s">
        <v>176</v>
      </c>
      <c r="C372" t="s">
        <v>177</v>
      </c>
      <c r="D372">
        <v>1217331</v>
      </c>
    </row>
    <row r="373" spans="1:4" x14ac:dyDescent="0.35">
      <c r="A373" s="1">
        <v>2022</v>
      </c>
      <c r="B373" t="s">
        <v>52</v>
      </c>
      <c r="C373" t="s">
        <v>53</v>
      </c>
      <c r="D373">
        <v>1109232</v>
      </c>
    </row>
    <row r="374" spans="1:4" x14ac:dyDescent="0.35">
      <c r="A374" s="1">
        <v>2022</v>
      </c>
      <c r="B374" t="s">
        <v>60</v>
      </c>
      <c r="C374" t="s">
        <v>61</v>
      </c>
      <c r="D374">
        <v>216809</v>
      </c>
    </row>
    <row r="375" spans="1:4" x14ac:dyDescent="0.35">
      <c r="A375" s="1">
        <v>2022</v>
      </c>
      <c r="B375" t="s">
        <v>62</v>
      </c>
      <c r="C375" t="s">
        <v>63</v>
      </c>
      <c r="D375">
        <v>616326</v>
      </c>
    </row>
    <row r="376" spans="1:4" x14ac:dyDescent="0.35">
      <c r="A376" s="1">
        <v>2022</v>
      </c>
      <c r="B376" t="s">
        <v>18</v>
      </c>
      <c r="C376" t="s">
        <v>19</v>
      </c>
      <c r="D376">
        <v>1291380</v>
      </c>
    </row>
    <row r="377" spans="1:4" x14ac:dyDescent="0.35">
      <c r="A377" s="1">
        <v>2022</v>
      </c>
      <c r="B377" t="s">
        <v>36</v>
      </c>
      <c r="C377" t="s">
        <v>37</v>
      </c>
      <c r="D377">
        <v>258405</v>
      </c>
    </row>
    <row r="378" spans="1:4" x14ac:dyDescent="0.35">
      <c r="A378" s="1">
        <v>2022</v>
      </c>
      <c r="B378" t="s">
        <v>152</v>
      </c>
      <c r="C378" t="s">
        <v>153</v>
      </c>
      <c r="D378">
        <v>428427</v>
      </c>
    </row>
    <row r="379" spans="1:4" x14ac:dyDescent="0.35">
      <c r="A379" s="1">
        <v>2022</v>
      </c>
      <c r="B379" t="s">
        <v>64</v>
      </c>
      <c r="C379" t="s">
        <v>65</v>
      </c>
      <c r="D379">
        <v>328953</v>
      </c>
    </row>
    <row r="380" spans="1:4" x14ac:dyDescent="0.35">
      <c r="A380" s="1">
        <v>2022</v>
      </c>
      <c r="B380" t="s">
        <v>20</v>
      </c>
      <c r="C380" t="s">
        <v>21</v>
      </c>
      <c r="D380">
        <v>772041</v>
      </c>
    </row>
    <row r="381" spans="1:4" x14ac:dyDescent="0.35">
      <c r="A381" s="1">
        <v>2022</v>
      </c>
      <c r="B381" t="s">
        <v>22</v>
      </c>
      <c r="C381" t="s">
        <v>23</v>
      </c>
      <c r="D381">
        <v>228161</v>
      </c>
    </row>
    <row r="382" spans="1:4" x14ac:dyDescent="0.35">
      <c r="A382" s="1">
        <v>2022</v>
      </c>
      <c r="B382" t="s">
        <v>190</v>
      </c>
      <c r="C382" t="s">
        <v>191</v>
      </c>
      <c r="D382">
        <v>1473156</v>
      </c>
    </row>
    <row r="383" spans="1:4" x14ac:dyDescent="0.35">
      <c r="A383" s="1">
        <v>2022</v>
      </c>
      <c r="B383" t="s">
        <v>66</v>
      </c>
      <c r="C383" t="s">
        <v>67</v>
      </c>
      <c r="D383">
        <v>687063</v>
      </c>
    </row>
    <row r="384" spans="1:4" x14ac:dyDescent="0.35">
      <c r="A384" s="1">
        <v>2022</v>
      </c>
      <c r="B384" t="s">
        <v>178</v>
      </c>
      <c r="C384" t="s">
        <v>179</v>
      </c>
      <c r="D384">
        <v>175620</v>
      </c>
    </row>
    <row r="385" spans="1:4" x14ac:dyDescent="0.35">
      <c r="A385" s="1">
        <v>2022</v>
      </c>
      <c r="B385" t="s">
        <v>154</v>
      </c>
      <c r="C385" t="s">
        <v>155</v>
      </c>
      <c r="D385">
        <v>332226</v>
      </c>
    </row>
    <row r="386" spans="1:4" x14ac:dyDescent="0.35">
      <c r="A386" s="1">
        <v>2022</v>
      </c>
      <c r="B386" t="s">
        <v>180</v>
      </c>
      <c r="C386" t="s">
        <v>181</v>
      </c>
      <c r="D386">
        <v>76503</v>
      </c>
    </row>
    <row r="387" spans="1:4" x14ac:dyDescent="0.35">
      <c r="A387" s="1">
        <v>2022</v>
      </c>
      <c r="B387" t="s">
        <v>192</v>
      </c>
      <c r="C387" t="s">
        <v>193</v>
      </c>
      <c r="D387">
        <v>828151</v>
      </c>
    </row>
    <row r="388" spans="1:4" x14ac:dyDescent="0.35">
      <c r="A388" s="1">
        <v>2022</v>
      </c>
      <c r="B388" t="s">
        <v>134</v>
      </c>
      <c r="C388" t="s">
        <v>135</v>
      </c>
      <c r="D388">
        <v>496815</v>
      </c>
    </row>
    <row r="389" spans="1:4" x14ac:dyDescent="0.35">
      <c r="A389" s="1">
        <v>2022</v>
      </c>
      <c r="B389" t="s">
        <v>88</v>
      </c>
      <c r="C389" t="s">
        <v>89</v>
      </c>
      <c r="D389">
        <v>564107</v>
      </c>
    </row>
    <row r="390" spans="1:4" x14ac:dyDescent="0.35">
      <c r="A390" s="1">
        <v>2022</v>
      </c>
      <c r="B390" t="s">
        <v>90</v>
      </c>
      <c r="C390" t="s">
        <v>91</v>
      </c>
      <c r="D390">
        <v>169865</v>
      </c>
    </row>
    <row r="391" spans="1:4" x14ac:dyDescent="0.35">
      <c r="A391" s="1">
        <v>2022</v>
      </c>
      <c r="B391" t="s">
        <v>194</v>
      </c>
      <c r="C391" t="s">
        <v>195</v>
      </c>
      <c r="D391">
        <v>305437</v>
      </c>
    </row>
    <row r="392" spans="1:4" x14ac:dyDescent="0.35">
      <c r="A392" s="1">
        <v>2022</v>
      </c>
      <c r="B392" t="s">
        <v>92</v>
      </c>
      <c r="C392" t="s">
        <v>93</v>
      </c>
      <c r="D392">
        <v>732898</v>
      </c>
    </row>
    <row r="393" spans="1:4" x14ac:dyDescent="0.35">
      <c r="A393" s="1">
        <v>2022</v>
      </c>
      <c r="B393" t="s">
        <v>94</v>
      </c>
      <c r="C393" t="s">
        <v>95</v>
      </c>
      <c r="D393">
        <v>180745</v>
      </c>
    </row>
    <row r="394" spans="1:4" x14ac:dyDescent="0.35">
      <c r="A394" s="1">
        <v>2022</v>
      </c>
      <c r="B394" t="s">
        <v>54</v>
      </c>
      <c r="C394" t="s">
        <v>55</v>
      </c>
      <c r="D394">
        <v>776103</v>
      </c>
    </row>
    <row r="395" spans="1:4" x14ac:dyDescent="0.35">
      <c r="A395" s="1">
        <v>2022</v>
      </c>
      <c r="B395" t="s">
        <v>96</v>
      </c>
      <c r="C395" t="s">
        <v>97</v>
      </c>
      <c r="D395">
        <v>1050721</v>
      </c>
    </row>
    <row r="396" spans="1:4" x14ac:dyDescent="0.35">
      <c r="A396" s="1">
        <v>2022</v>
      </c>
      <c r="B396" t="s">
        <v>38</v>
      </c>
      <c r="C396" t="s">
        <v>39</v>
      </c>
      <c r="D396">
        <v>202299</v>
      </c>
    </row>
    <row r="397" spans="1:4" x14ac:dyDescent="0.35">
      <c r="A397" s="1">
        <v>2022</v>
      </c>
      <c r="B397" t="s">
        <v>106</v>
      </c>
      <c r="C397" t="s">
        <v>107</v>
      </c>
      <c r="D397">
        <v>2616909</v>
      </c>
    </row>
    <row r="398" spans="1:4" x14ac:dyDescent="0.35">
      <c r="A398" s="1">
        <v>2022</v>
      </c>
      <c r="B398" t="s">
        <v>108</v>
      </c>
      <c r="C398" t="s">
        <v>109</v>
      </c>
      <c r="D398">
        <v>830725</v>
      </c>
    </row>
    <row r="399" spans="1:4" x14ac:dyDescent="0.35">
      <c r="A399" s="1">
        <v>2022</v>
      </c>
      <c r="B399" t="s">
        <v>136</v>
      </c>
      <c r="C399" t="s">
        <v>137</v>
      </c>
      <c r="D399">
        <v>276144</v>
      </c>
    </row>
    <row r="400" spans="1:4" x14ac:dyDescent="0.35">
      <c r="A400" s="1">
        <v>2022</v>
      </c>
      <c r="B400" t="s">
        <v>110</v>
      </c>
      <c r="C400" t="s">
        <v>111</v>
      </c>
      <c r="D400">
        <v>1460184</v>
      </c>
    </row>
    <row r="401" spans="1:4" x14ac:dyDescent="0.35">
      <c r="A401" s="1">
        <v>2022</v>
      </c>
      <c r="B401" t="s">
        <v>24</v>
      </c>
      <c r="C401" t="s">
        <v>25</v>
      </c>
      <c r="D401">
        <v>664385</v>
      </c>
    </row>
    <row r="402" spans="1:4" x14ac:dyDescent="0.35">
      <c r="A402" s="1">
        <v>2022</v>
      </c>
      <c r="B402" t="s">
        <v>156</v>
      </c>
      <c r="C402" t="s">
        <v>157</v>
      </c>
      <c r="D402">
        <v>699473</v>
      </c>
    </row>
    <row r="403" spans="1:4" x14ac:dyDescent="0.35">
      <c r="A403" s="1">
        <v>2022</v>
      </c>
      <c r="B403" t="s">
        <v>182</v>
      </c>
      <c r="C403" t="s">
        <v>183</v>
      </c>
      <c r="D403">
        <v>231453</v>
      </c>
    </row>
    <row r="404" spans="1:4" x14ac:dyDescent="0.35">
      <c r="A404" s="1">
        <v>2022</v>
      </c>
      <c r="B404" t="s">
        <v>184</v>
      </c>
      <c r="C404" t="s">
        <v>185</v>
      </c>
      <c r="D404">
        <v>492964</v>
      </c>
    </row>
    <row r="405" spans="1:4" x14ac:dyDescent="0.35">
      <c r="A405" s="1">
        <v>2022</v>
      </c>
      <c r="B405" t="s">
        <v>98</v>
      </c>
      <c r="C405" t="s">
        <v>99</v>
      </c>
      <c r="D405">
        <v>1156963</v>
      </c>
    </row>
    <row r="406" spans="1:4" x14ac:dyDescent="0.35">
      <c r="A406" s="1">
        <v>2022</v>
      </c>
      <c r="B406" t="s">
        <v>100</v>
      </c>
      <c r="C406" t="s">
        <v>101</v>
      </c>
      <c r="D406">
        <v>767800</v>
      </c>
    </row>
    <row r="407" spans="1:4" x14ac:dyDescent="0.35">
      <c r="A407" s="1">
        <v>2022</v>
      </c>
      <c r="B407" t="s">
        <v>26</v>
      </c>
      <c r="C407" t="s">
        <v>27</v>
      </c>
      <c r="D407">
        <v>1907982</v>
      </c>
    </row>
    <row r="408" spans="1:4" x14ac:dyDescent="0.35">
      <c r="A408" s="1">
        <v>2022</v>
      </c>
      <c r="B408" t="s">
        <v>40</v>
      </c>
      <c r="C408" t="s">
        <v>41</v>
      </c>
      <c r="D408">
        <v>233920</v>
      </c>
    </row>
    <row r="409" spans="1:4" x14ac:dyDescent="0.35">
      <c r="A409" s="1">
        <v>2022</v>
      </c>
      <c r="B409" t="s">
        <v>42</v>
      </c>
      <c r="C409" t="s">
        <v>43</v>
      </c>
      <c r="D409">
        <v>549136</v>
      </c>
    </row>
    <row r="410" spans="1:4" x14ac:dyDescent="0.35">
      <c r="A410" s="1">
        <v>2022</v>
      </c>
      <c r="B410" t="s">
        <v>196</v>
      </c>
      <c r="C410" t="s">
        <v>197</v>
      </c>
      <c r="D410">
        <v>566129</v>
      </c>
    </row>
    <row r="411" spans="1:4" x14ac:dyDescent="0.35">
      <c r="A411" s="1">
        <v>2022</v>
      </c>
      <c r="B411" t="s">
        <v>28</v>
      </c>
      <c r="C411" t="s">
        <v>29</v>
      </c>
      <c r="D411">
        <v>445288</v>
      </c>
    </row>
    <row r="412" spans="1:4" x14ac:dyDescent="0.35">
      <c r="A412" s="1">
        <v>2022</v>
      </c>
      <c r="B412" t="s">
        <v>30</v>
      </c>
      <c r="C412" t="s">
        <v>31</v>
      </c>
      <c r="D412">
        <v>849583</v>
      </c>
    </row>
    <row r="413" spans="1:4" x14ac:dyDescent="0.35">
      <c r="A413" s="1">
        <v>2022</v>
      </c>
      <c r="B413" t="s">
        <v>114</v>
      </c>
      <c r="C413" t="s">
        <v>115</v>
      </c>
      <c r="D413">
        <v>2113705</v>
      </c>
    </row>
    <row r="414" spans="1:4" x14ac:dyDescent="0.35">
      <c r="A414" s="1">
        <v>2022</v>
      </c>
      <c r="B414" t="s">
        <v>138</v>
      </c>
      <c r="C414" t="s">
        <v>139</v>
      </c>
      <c r="D414">
        <v>1260205</v>
      </c>
    </row>
    <row r="415" spans="1:4" x14ac:dyDescent="0.35">
      <c r="A415" s="1">
        <v>2022</v>
      </c>
      <c r="B415" t="s">
        <v>116</v>
      </c>
      <c r="C415" t="s">
        <v>117</v>
      </c>
      <c r="D415">
        <v>1452399</v>
      </c>
    </row>
    <row r="416" spans="1:4" x14ac:dyDescent="0.35">
      <c r="A416" s="1">
        <v>2022</v>
      </c>
      <c r="B416" t="s">
        <v>118</v>
      </c>
      <c r="C416" t="s">
        <v>119</v>
      </c>
      <c r="D416">
        <v>1470778</v>
      </c>
    </row>
    <row r="417" spans="1:4" x14ac:dyDescent="0.35">
      <c r="A417" s="1">
        <v>2022</v>
      </c>
      <c r="B417" t="s">
        <v>158</v>
      </c>
      <c r="C417" t="s">
        <v>159</v>
      </c>
      <c r="D417">
        <v>375415</v>
      </c>
    </row>
    <row r="418" spans="1:4" x14ac:dyDescent="0.35">
      <c r="A418" s="1">
        <v>2022</v>
      </c>
      <c r="B418" t="s">
        <v>112</v>
      </c>
      <c r="C418" t="s">
        <v>113</v>
      </c>
      <c r="D418">
        <v>565540</v>
      </c>
    </row>
    <row r="419" spans="1:4" x14ac:dyDescent="0.35">
      <c r="A419" s="1">
        <v>2022</v>
      </c>
      <c r="B419" t="s">
        <v>186</v>
      </c>
      <c r="C419" t="s">
        <v>187</v>
      </c>
      <c r="D419">
        <v>396168</v>
      </c>
    </row>
    <row r="420" spans="1:4" x14ac:dyDescent="0.35">
      <c r="A420" s="1">
        <v>2022</v>
      </c>
      <c r="B420" t="s">
        <v>188</v>
      </c>
      <c r="C420" t="s">
        <v>189</v>
      </c>
      <c r="D420">
        <v>264924</v>
      </c>
    </row>
    <row r="421" spans="1:4" x14ac:dyDescent="0.35">
      <c r="A421" s="1">
        <v>2022</v>
      </c>
      <c r="B421" t="s">
        <v>208</v>
      </c>
      <c r="C421" t="s">
        <v>209</v>
      </c>
      <c r="D421">
        <v>1108364</v>
      </c>
    </row>
    <row r="422" spans="1:4" x14ac:dyDescent="0.35">
      <c r="A422" s="1">
        <v>2022</v>
      </c>
      <c r="B422" t="s">
        <v>210</v>
      </c>
      <c r="C422" t="s">
        <v>211</v>
      </c>
      <c r="D422">
        <v>568702</v>
      </c>
    </row>
    <row r="423" spans="1:4" x14ac:dyDescent="0.35">
      <c r="A423" s="1">
        <v>2022</v>
      </c>
      <c r="B423" t="s">
        <v>198</v>
      </c>
      <c r="C423" t="s">
        <v>199</v>
      </c>
      <c r="D423">
        <v>706343</v>
      </c>
    </row>
    <row r="424" spans="1:4" x14ac:dyDescent="0.35">
      <c r="A424" s="1">
        <v>2022</v>
      </c>
      <c r="B424" t="s">
        <v>160</v>
      </c>
      <c r="C424" t="s">
        <v>161</v>
      </c>
      <c r="D424">
        <v>438688</v>
      </c>
    </row>
    <row r="425" spans="1:4" x14ac:dyDescent="0.35">
      <c r="A425" s="1">
        <v>2022</v>
      </c>
      <c r="B425" t="s">
        <v>162</v>
      </c>
      <c r="C425" t="s">
        <v>163</v>
      </c>
      <c r="D425">
        <v>372438</v>
      </c>
    </row>
    <row r="426" spans="1:4" x14ac:dyDescent="0.35">
      <c r="A426" s="1">
        <v>2022</v>
      </c>
      <c r="B426" t="s">
        <v>102</v>
      </c>
      <c r="C426" t="s">
        <v>103</v>
      </c>
      <c r="D426">
        <v>358700</v>
      </c>
    </row>
    <row r="427" spans="1:4" x14ac:dyDescent="0.35">
      <c r="A427" s="1">
        <v>2022</v>
      </c>
      <c r="B427" t="s">
        <v>44</v>
      </c>
      <c r="C427" t="s">
        <v>45</v>
      </c>
      <c r="D427">
        <v>333896</v>
      </c>
    </row>
    <row r="428" spans="1:4" x14ac:dyDescent="0.35">
      <c r="A428" s="1">
        <v>2022</v>
      </c>
      <c r="B428" t="s">
        <v>46</v>
      </c>
      <c r="C428" t="s">
        <v>221</v>
      </c>
      <c r="D428">
        <v>140082</v>
      </c>
    </row>
    <row r="429" spans="1:4" x14ac:dyDescent="0.35">
      <c r="A429" s="1">
        <v>2022</v>
      </c>
      <c r="B429" t="s">
        <v>120</v>
      </c>
      <c r="C429" t="s">
        <v>121</v>
      </c>
      <c r="D429">
        <v>1324546</v>
      </c>
    </row>
    <row r="430" spans="1:4" x14ac:dyDescent="0.35">
      <c r="A430" s="1">
        <v>2022</v>
      </c>
      <c r="B430" t="s">
        <v>122</v>
      </c>
      <c r="C430" t="s">
        <v>222</v>
      </c>
      <c r="D430">
        <v>1647435</v>
      </c>
    </row>
    <row r="431" spans="1:4" x14ac:dyDescent="0.35">
      <c r="A431" s="1">
        <v>2022</v>
      </c>
      <c r="B431" t="s">
        <v>124</v>
      </c>
      <c r="C431" t="s">
        <v>125</v>
      </c>
      <c r="D431">
        <v>1681725</v>
      </c>
    </row>
    <row r="432" spans="1:4" x14ac:dyDescent="0.35">
      <c r="A432" s="1">
        <v>2022</v>
      </c>
      <c r="B432" t="s">
        <v>126</v>
      </c>
      <c r="C432" t="s">
        <v>127</v>
      </c>
      <c r="D432">
        <v>1419531</v>
      </c>
    </row>
    <row r="433" spans="1:4" x14ac:dyDescent="0.35">
      <c r="A433" s="1">
        <v>2022</v>
      </c>
      <c r="B433" t="s">
        <v>128</v>
      </c>
      <c r="C433" t="s">
        <v>129</v>
      </c>
      <c r="D433">
        <v>1270845</v>
      </c>
    </row>
    <row r="434" spans="1:4" x14ac:dyDescent="0.35">
      <c r="A434" s="1">
        <v>2022</v>
      </c>
      <c r="B434" t="s">
        <v>223</v>
      </c>
      <c r="D434">
        <v>65846255</v>
      </c>
    </row>
    <row r="435" spans="1:4" x14ac:dyDescent="0.35">
      <c r="A435" s="1">
        <v>2022</v>
      </c>
      <c r="B435">
        <v>971</v>
      </c>
      <c r="C435" t="s">
        <v>224</v>
      </c>
      <c r="D435">
        <v>383569</v>
      </c>
    </row>
    <row r="436" spans="1:4" x14ac:dyDescent="0.35">
      <c r="A436" s="1">
        <v>2022</v>
      </c>
      <c r="B436">
        <v>972</v>
      </c>
      <c r="C436" t="s">
        <v>225</v>
      </c>
      <c r="D436">
        <v>361019</v>
      </c>
    </row>
    <row r="437" spans="1:4" x14ac:dyDescent="0.35">
      <c r="A437" s="1">
        <v>2022</v>
      </c>
      <c r="B437">
        <v>973</v>
      </c>
      <c r="C437" t="s">
        <v>77</v>
      </c>
      <c r="D437">
        <v>288382</v>
      </c>
    </row>
    <row r="438" spans="1:4" x14ac:dyDescent="0.35">
      <c r="A438" s="1">
        <v>2022</v>
      </c>
      <c r="B438">
        <v>974</v>
      </c>
      <c r="C438" t="s">
        <v>79</v>
      </c>
      <c r="D438">
        <v>881348</v>
      </c>
    </row>
    <row r="439" spans="1:4" x14ac:dyDescent="0.35">
      <c r="A439" s="1">
        <v>2022</v>
      </c>
      <c r="B439">
        <v>976</v>
      </c>
      <c r="C439" t="s">
        <v>215</v>
      </c>
      <c r="D439">
        <v>299634</v>
      </c>
    </row>
    <row r="440" spans="1:4" x14ac:dyDescent="0.35">
      <c r="A440" s="1">
        <v>2022</v>
      </c>
      <c r="B440" t="s">
        <v>226</v>
      </c>
      <c r="D440">
        <v>2213952</v>
      </c>
    </row>
    <row r="441" spans="1:4" x14ac:dyDescent="0.35">
      <c r="A441" s="1">
        <v>2022</v>
      </c>
      <c r="B441" t="s">
        <v>227</v>
      </c>
      <c r="D441">
        <v>68060207</v>
      </c>
    </row>
    <row r="442" spans="1:4" x14ac:dyDescent="0.35">
      <c r="A442" s="1">
        <v>2022</v>
      </c>
    </row>
    <row r="443" spans="1:4" x14ac:dyDescent="0.35">
      <c r="A443" s="1">
        <v>2022</v>
      </c>
      <c r="B443" t="s">
        <v>236</v>
      </c>
    </row>
    <row r="444" spans="1:4" x14ac:dyDescent="0.35">
      <c r="A444" s="1">
        <v>2021</v>
      </c>
      <c r="B444" t="s">
        <v>229</v>
      </c>
    </row>
    <row r="445" spans="1:4" x14ac:dyDescent="0.35">
      <c r="A445" s="1">
        <v>2021</v>
      </c>
      <c r="B445" t="s">
        <v>237</v>
      </c>
    </row>
    <row r="446" spans="1:4" x14ac:dyDescent="0.35">
      <c r="A446" s="1">
        <v>2021</v>
      </c>
    </row>
    <row r="447" spans="1:4" x14ac:dyDescent="0.35">
      <c r="A447" s="1">
        <v>2021</v>
      </c>
      <c r="B447" t="s">
        <v>231</v>
      </c>
    </row>
    <row r="448" spans="1:4" x14ac:dyDescent="0.35">
      <c r="A448" s="1">
        <v>2021</v>
      </c>
      <c r="D448" t="s">
        <v>232</v>
      </c>
    </row>
    <row r="449" spans="1:4" x14ac:dyDescent="0.35">
      <c r="A449" s="1">
        <v>2021</v>
      </c>
      <c r="B449" t="s">
        <v>5</v>
      </c>
      <c r="C449" t="s">
        <v>6</v>
      </c>
      <c r="D449">
        <v>663202</v>
      </c>
    </row>
    <row r="450" spans="1:4" x14ac:dyDescent="0.35">
      <c r="A450" s="1">
        <v>2021</v>
      </c>
      <c r="B450" t="s">
        <v>104</v>
      </c>
      <c r="C450" t="s">
        <v>105</v>
      </c>
      <c r="D450">
        <v>527468</v>
      </c>
    </row>
    <row r="451" spans="1:4" x14ac:dyDescent="0.35">
      <c r="A451" s="1">
        <v>2021</v>
      </c>
      <c r="B451" t="s">
        <v>10</v>
      </c>
      <c r="C451" t="s">
        <v>11</v>
      </c>
      <c r="D451">
        <v>334872</v>
      </c>
    </row>
    <row r="452" spans="1:4" x14ac:dyDescent="0.35">
      <c r="A452" s="1">
        <v>2021</v>
      </c>
      <c r="B452" t="s">
        <v>200</v>
      </c>
      <c r="C452" t="s">
        <v>201</v>
      </c>
      <c r="D452">
        <v>166077</v>
      </c>
    </row>
    <row r="453" spans="1:4" x14ac:dyDescent="0.35">
      <c r="A453" s="1">
        <v>2021</v>
      </c>
      <c r="B453" t="s">
        <v>202</v>
      </c>
      <c r="C453" t="s">
        <v>203</v>
      </c>
      <c r="D453">
        <v>140976</v>
      </c>
    </row>
    <row r="454" spans="1:4" x14ac:dyDescent="0.35">
      <c r="A454" s="1">
        <v>2021</v>
      </c>
      <c r="B454" t="s">
        <v>204</v>
      </c>
      <c r="C454" t="s">
        <v>205</v>
      </c>
      <c r="D454">
        <v>1103941</v>
      </c>
    </row>
    <row r="455" spans="1:4" x14ac:dyDescent="0.35">
      <c r="A455" s="1">
        <v>2021</v>
      </c>
      <c r="B455" t="s">
        <v>12</v>
      </c>
      <c r="C455" t="s">
        <v>13</v>
      </c>
      <c r="D455">
        <v>331415</v>
      </c>
    </row>
    <row r="456" spans="1:4" x14ac:dyDescent="0.35">
      <c r="A456" s="1">
        <v>2021</v>
      </c>
      <c r="B456" t="s">
        <v>84</v>
      </c>
      <c r="C456" t="s">
        <v>85</v>
      </c>
      <c r="D456">
        <v>268859</v>
      </c>
    </row>
    <row r="457" spans="1:4" x14ac:dyDescent="0.35">
      <c r="A457" s="1">
        <v>2021</v>
      </c>
      <c r="B457" t="s">
        <v>164</v>
      </c>
      <c r="C457" t="s">
        <v>165</v>
      </c>
      <c r="D457">
        <v>154596</v>
      </c>
    </row>
    <row r="458" spans="1:4" x14ac:dyDescent="0.35">
      <c r="A458" s="1">
        <v>2021</v>
      </c>
      <c r="B458" t="s">
        <v>86</v>
      </c>
      <c r="C458" t="s">
        <v>87</v>
      </c>
      <c r="D458">
        <v>311329</v>
      </c>
    </row>
    <row r="459" spans="1:4" x14ac:dyDescent="0.35">
      <c r="A459" s="1">
        <v>2021</v>
      </c>
      <c r="B459" t="s">
        <v>166</v>
      </c>
      <c r="C459" t="s">
        <v>167</v>
      </c>
      <c r="D459">
        <v>376028</v>
      </c>
    </row>
    <row r="460" spans="1:4" x14ac:dyDescent="0.35">
      <c r="A460" s="1">
        <v>2021</v>
      </c>
      <c r="B460" t="s">
        <v>168</v>
      </c>
      <c r="C460" t="s">
        <v>169</v>
      </c>
      <c r="D460">
        <v>279649</v>
      </c>
    </row>
    <row r="461" spans="1:4" x14ac:dyDescent="0.35">
      <c r="A461" s="1">
        <v>2021</v>
      </c>
      <c r="B461" t="s">
        <v>206</v>
      </c>
      <c r="C461" t="s">
        <v>207</v>
      </c>
      <c r="D461">
        <v>2056943</v>
      </c>
    </row>
    <row r="462" spans="1:4" x14ac:dyDescent="0.35">
      <c r="A462" s="1">
        <v>2021</v>
      </c>
      <c r="B462" t="s">
        <v>130</v>
      </c>
      <c r="C462" t="s">
        <v>131</v>
      </c>
      <c r="D462">
        <v>700633</v>
      </c>
    </row>
    <row r="463" spans="1:4" x14ac:dyDescent="0.35">
      <c r="A463" s="1">
        <v>2021</v>
      </c>
      <c r="B463" t="s">
        <v>14</v>
      </c>
      <c r="C463" t="s">
        <v>15</v>
      </c>
      <c r="D463">
        <v>144226</v>
      </c>
    </row>
    <row r="464" spans="1:4" x14ac:dyDescent="0.35">
      <c r="A464" s="1">
        <v>2021</v>
      </c>
      <c r="B464" t="s">
        <v>140</v>
      </c>
      <c r="C464" t="s">
        <v>141</v>
      </c>
      <c r="D464">
        <v>350867</v>
      </c>
    </row>
    <row r="465" spans="1:4" x14ac:dyDescent="0.35">
      <c r="A465" s="1">
        <v>2021</v>
      </c>
      <c r="B465" t="s">
        <v>142</v>
      </c>
      <c r="C465" t="s">
        <v>143</v>
      </c>
      <c r="D465">
        <v>661404</v>
      </c>
    </row>
    <row r="466" spans="1:4" x14ac:dyDescent="0.35">
      <c r="A466" s="1">
        <v>2021</v>
      </c>
      <c r="B466" t="s">
        <v>56</v>
      </c>
      <c r="C466" t="s">
        <v>57</v>
      </c>
      <c r="D466">
        <v>299573</v>
      </c>
    </row>
    <row r="467" spans="1:4" x14ac:dyDescent="0.35">
      <c r="A467" s="1">
        <v>2021</v>
      </c>
      <c r="B467" t="s">
        <v>144</v>
      </c>
      <c r="C467" t="s">
        <v>145</v>
      </c>
      <c r="D467">
        <v>239784</v>
      </c>
    </row>
    <row r="468" spans="1:4" x14ac:dyDescent="0.35">
      <c r="A468" s="1">
        <v>2021</v>
      </c>
      <c r="B468" t="s">
        <v>68</v>
      </c>
      <c r="C468" t="s">
        <v>69</v>
      </c>
      <c r="D468">
        <v>162942</v>
      </c>
    </row>
    <row r="469" spans="1:4" x14ac:dyDescent="0.35">
      <c r="A469" s="1">
        <v>2021</v>
      </c>
      <c r="B469" t="s">
        <v>70</v>
      </c>
      <c r="C469" t="s">
        <v>71</v>
      </c>
      <c r="D469">
        <v>184655</v>
      </c>
    </row>
    <row r="470" spans="1:4" x14ac:dyDescent="0.35">
      <c r="A470" s="1">
        <v>2021</v>
      </c>
      <c r="B470" t="s">
        <v>32</v>
      </c>
      <c r="C470" t="s">
        <v>219</v>
      </c>
      <c r="D470">
        <v>535503</v>
      </c>
    </row>
    <row r="471" spans="1:4" x14ac:dyDescent="0.35">
      <c r="A471" s="1">
        <v>2021</v>
      </c>
      <c r="B471" t="s">
        <v>48</v>
      </c>
      <c r="C471" t="s">
        <v>220</v>
      </c>
      <c r="D471">
        <v>605917</v>
      </c>
    </row>
    <row r="472" spans="1:4" x14ac:dyDescent="0.35">
      <c r="A472" s="1">
        <v>2021</v>
      </c>
      <c r="B472" t="s">
        <v>146</v>
      </c>
      <c r="C472" t="s">
        <v>147</v>
      </c>
      <c r="D472">
        <v>115702</v>
      </c>
    </row>
    <row r="473" spans="1:4" x14ac:dyDescent="0.35">
      <c r="A473" s="1">
        <v>2021</v>
      </c>
      <c r="B473" t="s">
        <v>148</v>
      </c>
      <c r="C473" t="s">
        <v>149</v>
      </c>
      <c r="D473">
        <v>413730</v>
      </c>
    </row>
    <row r="474" spans="1:4" x14ac:dyDescent="0.35">
      <c r="A474" s="1">
        <v>2021</v>
      </c>
      <c r="B474" t="s">
        <v>34</v>
      </c>
      <c r="C474" t="s">
        <v>35</v>
      </c>
      <c r="D474">
        <v>547096</v>
      </c>
    </row>
    <row r="475" spans="1:4" x14ac:dyDescent="0.35">
      <c r="A475" s="1">
        <v>2021</v>
      </c>
      <c r="B475" t="s">
        <v>16</v>
      </c>
      <c r="C475" t="s">
        <v>17</v>
      </c>
      <c r="D475">
        <v>519458</v>
      </c>
    </row>
    <row r="476" spans="1:4" x14ac:dyDescent="0.35">
      <c r="A476" s="1">
        <v>2021</v>
      </c>
      <c r="B476" t="s">
        <v>132</v>
      </c>
      <c r="C476" t="s">
        <v>133</v>
      </c>
      <c r="D476">
        <v>598934</v>
      </c>
    </row>
    <row r="477" spans="1:4" x14ac:dyDescent="0.35">
      <c r="A477" s="1">
        <v>2021</v>
      </c>
      <c r="B477" t="s">
        <v>58</v>
      </c>
      <c r="C477" t="s">
        <v>59</v>
      </c>
      <c r="D477">
        <v>431277</v>
      </c>
    </row>
    <row r="478" spans="1:4" x14ac:dyDescent="0.35">
      <c r="A478" s="1">
        <v>2021</v>
      </c>
      <c r="B478" t="s">
        <v>50</v>
      </c>
      <c r="C478" t="s">
        <v>51</v>
      </c>
      <c r="D478">
        <v>921638</v>
      </c>
    </row>
    <row r="479" spans="1:4" x14ac:dyDescent="0.35">
      <c r="A479" s="1">
        <v>2021</v>
      </c>
      <c r="B479" t="s">
        <v>170</v>
      </c>
      <c r="C479" t="s">
        <v>171</v>
      </c>
      <c r="D479">
        <v>756543</v>
      </c>
    </row>
    <row r="480" spans="1:4" x14ac:dyDescent="0.35">
      <c r="A480" s="1">
        <v>2021</v>
      </c>
      <c r="B480" t="s">
        <v>172</v>
      </c>
      <c r="C480" t="s">
        <v>173</v>
      </c>
      <c r="D480">
        <v>1434367</v>
      </c>
    </row>
    <row r="481" spans="1:4" x14ac:dyDescent="0.35">
      <c r="A481" s="1">
        <v>2021</v>
      </c>
      <c r="B481" t="s">
        <v>174</v>
      </c>
      <c r="C481" t="s">
        <v>175</v>
      </c>
      <c r="D481">
        <v>192437</v>
      </c>
    </row>
    <row r="482" spans="1:4" x14ac:dyDescent="0.35">
      <c r="A482" s="1">
        <v>2021</v>
      </c>
      <c r="B482" t="s">
        <v>150</v>
      </c>
      <c r="C482" t="s">
        <v>151</v>
      </c>
      <c r="D482">
        <v>1654970</v>
      </c>
    </row>
    <row r="483" spans="1:4" x14ac:dyDescent="0.35">
      <c r="A483" s="1">
        <v>2021</v>
      </c>
      <c r="B483" t="s">
        <v>176</v>
      </c>
      <c r="C483" t="s">
        <v>177</v>
      </c>
      <c r="D483">
        <v>1201883</v>
      </c>
    </row>
    <row r="484" spans="1:4" x14ac:dyDescent="0.35">
      <c r="A484" s="1">
        <v>2021</v>
      </c>
      <c r="B484" t="s">
        <v>52</v>
      </c>
      <c r="C484" t="s">
        <v>53</v>
      </c>
      <c r="D484">
        <v>1098325</v>
      </c>
    </row>
    <row r="485" spans="1:4" x14ac:dyDescent="0.35">
      <c r="A485" s="1">
        <v>2021</v>
      </c>
      <c r="B485" t="s">
        <v>60</v>
      </c>
      <c r="C485" t="s">
        <v>61</v>
      </c>
      <c r="D485">
        <v>217228</v>
      </c>
    </row>
    <row r="486" spans="1:4" x14ac:dyDescent="0.35">
      <c r="A486" s="1">
        <v>2021</v>
      </c>
      <c r="B486" t="s">
        <v>62</v>
      </c>
      <c r="C486" t="s">
        <v>63</v>
      </c>
      <c r="D486">
        <v>612160</v>
      </c>
    </row>
    <row r="487" spans="1:4" x14ac:dyDescent="0.35">
      <c r="A487" s="1">
        <v>2021</v>
      </c>
      <c r="B487" t="s">
        <v>18</v>
      </c>
      <c r="C487" t="s">
        <v>19</v>
      </c>
      <c r="D487">
        <v>1284948</v>
      </c>
    </row>
    <row r="488" spans="1:4" x14ac:dyDescent="0.35">
      <c r="A488" s="1">
        <v>2021</v>
      </c>
      <c r="B488" t="s">
        <v>36</v>
      </c>
      <c r="C488" t="s">
        <v>37</v>
      </c>
      <c r="D488">
        <v>258555</v>
      </c>
    </row>
    <row r="489" spans="1:4" x14ac:dyDescent="0.35">
      <c r="A489" s="1">
        <v>2021</v>
      </c>
      <c r="B489" t="s">
        <v>152</v>
      </c>
      <c r="C489" t="s">
        <v>153</v>
      </c>
      <c r="D489">
        <v>422976</v>
      </c>
    </row>
    <row r="490" spans="1:4" x14ac:dyDescent="0.35">
      <c r="A490" s="1">
        <v>2021</v>
      </c>
      <c r="B490" t="s">
        <v>64</v>
      </c>
      <c r="C490" t="s">
        <v>65</v>
      </c>
      <c r="D490">
        <v>328504</v>
      </c>
    </row>
    <row r="491" spans="1:4" x14ac:dyDescent="0.35">
      <c r="A491" s="1">
        <v>2021</v>
      </c>
      <c r="B491" t="s">
        <v>20</v>
      </c>
      <c r="C491" t="s">
        <v>21</v>
      </c>
      <c r="D491">
        <v>769029</v>
      </c>
    </row>
    <row r="492" spans="1:4" x14ac:dyDescent="0.35">
      <c r="A492" s="1">
        <v>2021</v>
      </c>
      <c r="B492" t="s">
        <v>22</v>
      </c>
      <c r="C492" t="s">
        <v>23</v>
      </c>
      <c r="D492">
        <v>227284</v>
      </c>
    </row>
    <row r="493" spans="1:4" x14ac:dyDescent="0.35">
      <c r="A493" s="1">
        <v>2021</v>
      </c>
      <c r="B493" t="s">
        <v>190</v>
      </c>
      <c r="C493" t="s">
        <v>191</v>
      </c>
      <c r="D493">
        <v>1457806</v>
      </c>
    </row>
    <row r="494" spans="1:4" x14ac:dyDescent="0.35">
      <c r="A494" s="1">
        <v>2021</v>
      </c>
      <c r="B494" t="s">
        <v>66</v>
      </c>
      <c r="C494" t="s">
        <v>67</v>
      </c>
      <c r="D494">
        <v>684561</v>
      </c>
    </row>
    <row r="495" spans="1:4" x14ac:dyDescent="0.35">
      <c r="A495" s="1">
        <v>2021</v>
      </c>
      <c r="B495" t="s">
        <v>178</v>
      </c>
      <c r="C495" t="s">
        <v>179</v>
      </c>
      <c r="D495">
        <v>174942</v>
      </c>
    </row>
    <row r="496" spans="1:4" x14ac:dyDescent="0.35">
      <c r="A496" s="1">
        <v>2021</v>
      </c>
      <c r="B496" t="s">
        <v>154</v>
      </c>
      <c r="C496" t="s">
        <v>155</v>
      </c>
      <c r="D496">
        <v>331229</v>
      </c>
    </row>
    <row r="497" spans="1:4" x14ac:dyDescent="0.35">
      <c r="A497" s="1">
        <v>2021</v>
      </c>
      <c r="B497" t="s">
        <v>180</v>
      </c>
      <c r="C497" t="s">
        <v>181</v>
      </c>
      <c r="D497">
        <v>76519</v>
      </c>
    </row>
    <row r="498" spans="1:4" x14ac:dyDescent="0.35">
      <c r="A498" s="1">
        <v>2021</v>
      </c>
      <c r="B498" t="s">
        <v>192</v>
      </c>
      <c r="C498" t="s">
        <v>193</v>
      </c>
      <c r="D498">
        <v>824743</v>
      </c>
    </row>
    <row r="499" spans="1:4" x14ac:dyDescent="0.35">
      <c r="A499" s="1">
        <v>2021</v>
      </c>
      <c r="B499" t="s">
        <v>134</v>
      </c>
      <c r="C499" t="s">
        <v>135</v>
      </c>
      <c r="D499">
        <v>495508</v>
      </c>
    </row>
    <row r="500" spans="1:4" x14ac:dyDescent="0.35">
      <c r="A500" s="1">
        <v>2021</v>
      </c>
      <c r="B500" t="s">
        <v>88</v>
      </c>
      <c r="C500" t="s">
        <v>89</v>
      </c>
      <c r="D500">
        <v>565292</v>
      </c>
    </row>
    <row r="501" spans="1:4" x14ac:dyDescent="0.35">
      <c r="A501" s="1">
        <v>2021</v>
      </c>
      <c r="B501" t="s">
        <v>90</v>
      </c>
      <c r="C501" t="s">
        <v>91</v>
      </c>
      <c r="D501">
        <v>171042</v>
      </c>
    </row>
    <row r="502" spans="1:4" x14ac:dyDescent="0.35">
      <c r="A502" s="1">
        <v>2021</v>
      </c>
      <c r="B502" t="s">
        <v>194</v>
      </c>
      <c r="C502" t="s">
        <v>195</v>
      </c>
      <c r="D502">
        <v>305933</v>
      </c>
    </row>
    <row r="503" spans="1:4" x14ac:dyDescent="0.35">
      <c r="A503" s="1">
        <v>2021</v>
      </c>
      <c r="B503" t="s">
        <v>92</v>
      </c>
      <c r="C503" t="s">
        <v>93</v>
      </c>
      <c r="D503">
        <v>732486</v>
      </c>
    </row>
    <row r="504" spans="1:4" x14ac:dyDescent="0.35">
      <c r="A504" s="1">
        <v>2021</v>
      </c>
      <c r="B504" t="s">
        <v>94</v>
      </c>
      <c r="C504" t="s">
        <v>95</v>
      </c>
      <c r="D504">
        <v>181919</v>
      </c>
    </row>
    <row r="505" spans="1:4" x14ac:dyDescent="0.35">
      <c r="A505" s="1">
        <v>2021</v>
      </c>
      <c r="B505" t="s">
        <v>54</v>
      </c>
      <c r="C505" t="s">
        <v>55</v>
      </c>
      <c r="D505">
        <v>768687</v>
      </c>
    </row>
    <row r="506" spans="1:4" x14ac:dyDescent="0.35">
      <c r="A506" s="1">
        <v>2021</v>
      </c>
      <c r="B506" t="s">
        <v>96</v>
      </c>
      <c r="C506" t="s">
        <v>97</v>
      </c>
      <c r="D506">
        <v>1049942</v>
      </c>
    </row>
    <row r="507" spans="1:4" x14ac:dyDescent="0.35">
      <c r="A507" s="1">
        <v>2021</v>
      </c>
      <c r="B507" t="s">
        <v>38</v>
      </c>
      <c r="C507" t="s">
        <v>39</v>
      </c>
      <c r="D507">
        <v>202417</v>
      </c>
    </row>
    <row r="508" spans="1:4" x14ac:dyDescent="0.35">
      <c r="A508" s="1">
        <v>2021</v>
      </c>
      <c r="B508" t="s">
        <v>106</v>
      </c>
      <c r="C508" t="s">
        <v>107</v>
      </c>
      <c r="D508">
        <v>2611293</v>
      </c>
    </row>
    <row r="509" spans="1:4" x14ac:dyDescent="0.35">
      <c r="A509" s="1">
        <v>2021</v>
      </c>
      <c r="B509" t="s">
        <v>108</v>
      </c>
      <c r="C509" t="s">
        <v>109</v>
      </c>
      <c r="D509">
        <v>828838</v>
      </c>
    </row>
    <row r="510" spans="1:4" x14ac:dyDescent="0.35">
      <c r="A510" s="1">
        <v>2021</v>
      </c>
      <c r="B510" t="s">
        <v>136</v>
      </c>
      <c r="C510" t="s">
        <v>137</v>
      </c>
      <c r="D510">
        <v>276973</v>
      </c>
    </row>
    <row r="511" spans="1:4" x14ac:dyDescent="0.35">
      <c r="A511" s="1">
        <v>2021</v>
      </c>
      <c r="B511" t="s">
        <v>110</v>
      </c>
      <c r="C511" t="s">
        <v>111</v>
      </c>
      <c r="D511">
        <v>1461441</v>
      </c>
    </row>
    <row r="512" spans="1:4" x14ac:dyDescent="0.35">
      <c r="A512" s="1">
        <v>2021</v>
      </c>
      <c r="B512" t="s">
        <v>24</v>
      </c>
      <c r="C512" t="s">
        <v>25</v>
      </c>
      <c r="D512">
        <v>662285</v>
      </c>
    </row>
    <row r="513" spans="1:4" x14ac:dyDescent="0.35">
      <c r="A513" s="1">
        <v>2021</v>
      </c>
      <c r="B513" t="s">
        <v>156</v>
      </c>
      <c r="C513" t="s">
        <v>157</v>
      </c>
      <c r="D513">
        <v>693027</v>
      </c>
    </row>
    <row r="514" spans="1:4" x14ac:dyDescent="0.35">
      <c r="A514" s="1">
        <v>2021</v>
      </c>
      <c r="B514" t="s">
        <v>182</v>
      </c>
      <c r="C514" t="s">
        <v>183</v>
      </c>
      <c r="D514">
        <v>230956</v>
      </c>
    </row>
    <row r="515" spans="1:4" x14ac:dyDescent="0.35">
      <c r="A515" s="1">
        <v>2021</v>
      </c>
      <c r="B515" t="s">
        <v>184</v>
      </c>
      <c r="C515" t="s">
        <v>185</v>
      </c>
      <c r="D515">
        <v>487307</v>
      </c>
    </row>
    <row r="516" spans="1:4" x14ac:dyDescent="0.35">
      <c r="A516" s="1">
        <v>2021</v>
      </c>
      <c r="B516" t="s">
        <v>98</v>
      </c>
      <c r="C516" t="s">
        <v>99</v>
      </c>
      <c r="D516">
        <v>1152662</v>
      </c>
    </row>
    <row r="517" spans="1:4" x14ac:dyDescent="0.35">
      <c r="A517" s="1">
        <v>2021</v>
      </c>
      <c r="B517" t="s">
        <v>100</v>
      </c>
      <c r="C517" t="s">
        <v>101</v>
      </c>
      <c r="D517">
        <v>767083</v>
      </c>
    </row>
    <row r="518" spans="1:4" x14ac:dyDescent="0.35">
      <c r="A518" s="1">
        <v>2021</v>
      </c>
      <c r="B518" t="s">
        <v>26</v>
      </c>
      <c r="C518" t="s">
        <v>27</v>
      </c>
      <c r="D518">
        <v>1893692</v>
      </c>
    </row>
    <row r="519" spans="1:4" x14ac:dyDescent="0.35">
      <c r="A519" s="1">
        <v>2021</v>
      </c>
      <c r="B519" t="s">
        <v>40</v>
      </c>
      <c r="C519" t="s">
        <v>41</v>
      </c>
      <c r="D519">
        <v>234296</v>
      </c>
    </row>
    <row r="520" spans="1:4" x14ac:dyDescent="0.35">
      <c r="A520" s="1">
        <v>2021</v>
      </c>
      <c r="B520" t="s">
        <v>42</v>
      </c>
      <c r="C520" t="s">
        <v>43</v>
      </c>
      <c r="D520">
        <v>549288</v>
      </c>
    </row>
    <row r="521" spans="1:4" x14ac:dyDescent="0.35">
      <c r="A521" s="1">
        <v>2021</v>
      </c>
      <c r="B521" t="s">
        <v>196</v>
      </c>
      <c r="C521" t="s">
        <v>197</v>
      </c>
      <c r="D521">
        <v>566058</v>
      </c>
    </row>
    <row r="522" spans="1:4" x14ac:dyDescent="0.35">
      <c r="A522" s="1">
        <v>2021</v>
      </c>
      <c r="B522" t="s">
        <v>28</v>
      </c>
      <c r="C522" t="s">
        <v>29</v>
      </c>
      <c r="D522">
        <v>442468</v>
      </c>
    </row>
    <row r="523" spans="1:4" x14ac:dyDescent="0.35">
      <c r="A523" s="1">
        <v>2021</v>
      </c>
      <c r="B523" t="s">
        <v>30</v>
      </c>
      <c r="C523" t="s">
        <v>31</v>
      </c>
      <c r="D523">
        <v>841482</v>
      </c>
    </row>
    <row r="524" spans="1:4" x14ac:dyDescent="0.35">
      <c r="A524" s="1">
        <v>2021</v>
      </c>
      <c r="B524" t="s">
        <v>114</v>
      </c>
      <c r="C524" t="s">
        <v>115</v>
      </c>
      <c r="D524">
        <v>2133111</v>
      </c>
    </row>
    <row r="525" spans="1:4" x14ac:dyDescent="0.35">
      <c r="A525" s="1">
        <v>2021</v>
      </c>
      <c r="B525" t="s">
        <v>138</v>
      </c>
      <c r="C525" t="s">
        <v>139</v>
      </c>
      <c r="D525">
        <v>1255918</v>
      </c>
    </row>
    <row r="526" spans="1:4" x14ac:dyDescent="0.35">
      <c r="A526" s="1">
        <v>2021</v>
      </c>
      <c r="B526" t="s">
        <v>116</v>
      </c>
      <c r="C526" t="s">
        <v>117</v>
      </c>
      <c r="D526">
        <v>1438100</v>
      </c>
    </row>
    <row r="527" spans="1:4" x14ac:dyDescent="0.35">
      <c r="A527" s="1">
        <v>2021</v>
      </c>
      <c r="B527" t="s">
        <v>118</v>
      </c>
      <c r="C527" t="s">
        <v>119</v>
      </c>
      <c r="D527">
        <v>1456365</v>
      </c>
    </row>
    <row r="528" spans="1:4" x14ac:dyDescent="0.35">
      <c r="A528" s="1">
        <v>2021</v>
      </c>
      <c r="B528" t="s">
        <v>158</v>
      </c>
      <c r="C528" t="s">
        <v>159</v>
      </c>
      <c r="D528">
        <v>374587</v>
      </c>
    </row>
    <row r="529" spans="1:4" x14ac:dyDescent="0.35">
      <c r="A529" s="1">
        <v>2021</v>
      </c>
      <c r="B529" t="s">
        <v>112</v>
      </c>
      <c r="C529" t="s">
        <v>113</v>
      </c>
      <c r="D529">
        <v>566252</v>
      </c>
    </row>
    <row r="530" spans="1:4" x14ac:dyDescent="0.35">
      <c r="A530" s="1">
        <v>2021</v>
      </c>
      <c r="B530" t="s">
        <v>186</v>
      </c>
      <c r="C530" t="s">
        <v>187</v>
      </c>
      <c r="D530">
        <v>393572</v>
      </c>
    </row>
    <row r="531" spans="1:4" x14ac:dyDescent="0.35">
      <c r="A531" s="1">
        <v>2021</v>
      </c>
      <c r="B531" t="s">
        <v>188</v>
      </c>
      <c r="C531" t="s">
        <v>189</v>
      </c>
      <c r="D531">
        <v>263377</v>
      </c>
    </row>
    <row r="532" spans="1:4" x14ac:dyDescent="0.35">
      <c r="A532" s="1">
        <v>2021</v>
      </c>
      <c r="B532" t="s">
        <v>208</v>
      </c>
      <c r="C532" t="s">
        <v>209</v>
      </c>
      <c r="D532">
        <v>1095337</v>
      </c>
    </row>
    <row r="533" spans="1:4" x14ac:dyDescent="0.35">
      <c r="A533" s="1">
        <v>2021</v>
      </c>
      <c r="B533" t="s">
        <v>210</v>
      </c>
      <c r="C533" t="s">
        <v>211</v>
      </c>
      <c r="D533">
        <v>564566</v>
      </c>
    </row>
    <row r="534" spans="1:4" x14ac:dyDescent="0.35">
      <c r="A534" s="1">
        <v>2021</v>
      </c>
      <c r="B534" t="s">
        <v>198</v>
      </c>
      <c r="C534" t="s">
        <v>199</v>
      </c>
      <c r="D534">
        <v>699459</v>
      </c>
    </row>
    <row r="535" spans="1:4" x14ac:dyDescent="0.35">
      <c r="A535" s="1">
        <v>2021</v>
      </c>
      <c r="B535" t="s">
        <v>160</v>
      </c>
      <c r="C535" t="s">
        <v>161</v>
      </c>
      <c r="D535">
        <v>439385</v>
      </c>
    </row>
    <row r="536" spans="1:4" x14ac:dyDescent="0.35">
      <c r="A536" s="1">
        <v>2021</v>
      </c>
      <c r="B536" t="s">
        <v>162</v>
      </c>
      <c r="C536" t="s">
        <v>163</v>
      </c>
      <c r="D536">
        <v>371691</v>
      </c>
    </row>
    <row r="537" spans="1:4" x14ac:dyDescent="0.35">
      <c r="A537" s="1">
        <v>2021</v>
      </c>
      <c r="B537" t="s">
        <v>102</v>
      </c>
      <c r="C537" t="s">
        <v>103</v>
      </c>
      <c r="D537">
        <v>360673</v>
      </c>
    </row>
    <row r="538" spans="1:4" x14ac:dyDescent="0.35">
      <c r="A538" s="1">
        <v>2021</v>
      </c>
      <c r="B538" t="s">
        <v>44</v>
      </c>
      <c r="C538" t="s">
        <v>45</v>
      </c>
      <c r="D538">
        <v>333385</v>
      </c>
    </row>
    <row r="539" spans="1:4" x14ac:dyDescent="0.35">
      <c r="A539" s="1">
        <v>2021</v>
      </c>
      <c r="B539" t="s">
        <v>46</v>
      </c>
      <c r="C539" t="s">
        <v>221</v>
      </c>
      <c r="D539">
        <v>139654</v>
      </c>
    </row>
    <row r="540" spans="1:4" x14ac:dyDescent="0.35">
      <c r="A540" s="1">
        <v>2021</v>
      </c>
      <c r="B540" t="s">
        <v>120</v>
      </c>
      <c r="C540" t="s">
        <v>121</v>
      </c>
      <c r="D540">
        <v>1313768</v>
      </c>
    </row>
    <row r="541" spans="1:4" x14ac:dyDescent="0.35">
      <c r="A541" s="1">
        <v>2021</v>
      </c>
      <c r="B541" t="s">
        <v>122</v>
      </c>
      <c r="C541" t="s">
        <v>222</v>
      </c>
      <c r="D541">
        <v>1635291</v>
      </c>
    </row>
    <row r="542" spans="1:4" x14ac:dyDescent="0.35">
      <c r="A542" s="1">
        <v>2021</v>
      </c>
      <c r="B542" t="s">
        <v>124</v>
      </c>
      <c r="C542" t="s">
        <v>125</v>
      </c>
      <c r="D542">
        <v>1668670</v>
      </c>
    </row>
    <row r="543" spans="1:4" x14ac:dyDescent="0.35">
      <c r="A543" s="1">
        <v>2021</v>
      </c>
      <c r="B543" t="s">
        <v>126</v>
      </c>
      <c r="C543" t="s">
        <v>127</v>
      </c>
      <c r="D543">
        <v>1415367</v>
      </c>
    </row>
    <row r="544" spans="1:4" x14ac:dyDescent="0.35">
      <c r="A544" s="1">
        <v>2021</v>
      </c>
      <c r="B544" t="s">
        <v>128</v>
      </c>
      <c r="C544" t="s">
        <v>129</v>
      </c>
      <c r="D544">
        <v>1256607</v>
      </c>
    </row>
    <row r="545" spans="1:4" x14ac:dyDescent="0.35">
      <c r="A545" s="1">
        <v>2021</v>
      </c>
      <c r="B545" t="s">
        <v>223</v>
      </c>
      <c r="D545">
        <v>65505213</v>
      </c>
    </row>
    <row r="546" spans="1:4" x14ac:dyDescent="0.35">
      <c r="A546" s="1">
        <v>2021</v>
      </c>
      <c r="B546">
        <v>971</v>
      </c>
      <c r="C546" t="s">
        <v>224</v>
      </c>
      <c r="D546">
        <v>384315</v>
      </c>
    </row>
    <row r="547" spans="1:4" x14ac:dyDescent="0.35">
      <c r="A547" s="1">
        <v>2021</v>
      </c>
      <c r="B547">
        <v>972</v>
      </c>
      <c r="C547" t="s">
        <v>225</v>
      </c>
      <c r="D547">
        <v>360749</v>
      </c>
    </row>
    <row r="548" spans="1:4" x14ac:dyDescent="0.35">
      <c r="A548" s="1">
        <v>2021</v>
      </c>
      <c r="B548">
        <v>973</v>
      </c>
      <c r="C548" t="s">
        <v>77</v>
      </c>
      <c r="D548">
        <v>286618</v>
      </c>
    </row>
    <row r="549" spans="1:4" x14ac:dyDescent="0.35">
      <c r="A549" s="1">
        <v>2021</v>
      </c>
      <c r="B549">
        <v>974</v>
      </c>
      <c r="C549" t="s">
        <v>79</v>
      </c>
      <c r="D549">
        <v>871157</v>
      </c>
    </row>
    <row r="550" spans="1:4" x14ac:dyDescent="0.35">
      <c r="A550" s="1">
        <v>2021</v>
      </c>
      <c r="B550">
        <v>976</v>
      </c>
      <c r="C550" t="s">
        <v>215</v>
      </c>
      <c r="D550">
        <v>289039</v>
      </c>
    </row>
    <row r="551" spans="1:4" x14ac:dyDescent="0.35">
      <c r="A551" s="1">
        <v>2021</v>
      </c>
      <c r="B551" t="s">
        <v>226</v>
      </c>
      <c r="D551">
        <v>2191878</v>
      </c>
    </row>
    <row r="552" spans="1:4" x14ac:dyDescent="0.35">
      <c r="A552" s="1">
        <v>2021</v>
      </c>
      <c r="B552" t="s">
        <v>227</v>
      </c>
      <c r="D552">
        <v>67697091</v>
      </c>
    </row>
    <row r="553" spans="1:4" x14ac:dyDescent="0.35">
      <c r="A553" s="1">
        <v>2021</v>
      </c>
    </row>
    <row r="554" spans="1:4" x14ac:dyDescent="0.35">
      <c r="A554" s="1">
        <v>2021</v>
      </c>
      <c r="B554" t="s">
        <v>238</v>
      </c>
    </row>
    <row r="555" spans="1:4" x14ac:dyDescent="0.35">
      <c r="A555" s="1">
        <v>2020</v>
      </c>
      <c r="B555" t="s">
        <v>229</v>
      </c>
    </row>
    <row r="556" spans="1:4" x14ac:dyDescent="0.35">
      <c r="A556" s="1">
        <v>2020</v>
      </c>
      <c r="B556" t="s">
        <v>239</v>
      </c>
    </row>
    <row r="557" spans="1:4" x14ac:dyDescent="0.35">
      <c r="A557" s="1">
        <v>2020</v>
      </c>
    </row>
    <row r="558" spans="1:4" x14ac:dyDescent="0.35">
      <c r="A558" s="1">
        <v>2020</v>
      </c>
      <c r="B558" t="s">
        <v>231</v>
      </c>
    </row>
    <row r="559" spans="1:4" x14ac:dyDescent="0.35">
      <c r="A559" s="1">
        <v>2020</v>
      </c>
      <c r="D559" t="s">
        <v>232</v>
      </c>
    </row>
    <row r="560" spans="1:4" x14ac:dyDescent="0.35">
      <c r="A560" s="1">
        <v>2020</v>
      </c>
      <c r="B560" t="s">
        <v>5</v>
      </c>
      <c r="C560" t="s">
        <v>6</v>
      </c>
      <c r="D560">
        <v>657856</v>
      </c>
    </row>
    <row r="561" spans="1:4" x14ac:dyDescent="0.35">
      <c r="A561" s="1">
        <v>2020</v>
      </c>
      <c r="B561" t="s">
        <v>104</v>
      </c>
      <c r="C561" t="s">
        <v>105</v>
      </c>
      <c r="D561">
        <v>529374</v>
      </c>
    </row>
    <row r="562" spans="1:4" x14ac:dyDescent="0.35">
      <c r="A562" s="1">
        <v>2020</v>
      </c>
      <c r="B562" t="s">
        <v>10</v>
      </c>
      <c r="C562" t="s">
        <v>11</v>
      </c>
      <c r="D562">
        <v>335628</v>
      </c>
    </row>
    <row r="563" spans="1:4" x14ac:dyDescent="0.35">
      <c r="A563" s="1">
        <v>2020</v>
      </c>
      <c r="B563" t="s">
        <v>200</v>
      </c>
      <c r="C563" t="s">
        <v>201</v>
      </c>
      <c r="D563">
        <v>165451</v>
      </c>
    </row>
    <row r="564" spans="1:4" x14ac:dyDescent="0.35">
      <c r="A564" s="1">
        <v>2020</v>
      </c>
      <c r="B564" t="s">
        <v>202</v>
      </c>
      <c r="C564" t="s">
        <v>203</v>
      </c>
      <c r="D564">
        <v>140605</v>
      </c>
    </row>
    <row r="565" spans="1:4" x14ac:dyDescent="0.35">
      <c r="A565" s="1">
        <v>2020</v>
      </c>
      <c r="B565" t="s">
        <v>204</v>
      </c>
      <c r="C565" t="s">
        <v>205</v>
      </c>
      <c r="D565">
        <v>1097410</v>
      </c>
    </row>
    <row r="566" spans="1:4" x14ac:dyDescent="0.35">
      <c r="A566" s="1">
        <v>2020</v>
      </c>
      <c r="B566" t="s">
        <v>12</v>
      </c>
      <c r="C566" t="s">
        <v>13</v>
      </c>
      <c r="D566">
        <v>329325</v>
      </c>
    </row>
    <row r="567" spans="1:4" x14ac:dyDescent="0.35">
      <c r="A567" s="1">
        <v>2020</v>
      </c>
      <c r="B567" t="s">
        <v>84</v>
      </c>
      <c r="C567" t="s">
        <v>85</v>
      </c>
      <c r="D567">
        <v>269701</v>
      </c>
    </row>
    <row r="568" spans="1:4" x14ac:dyDescent="0.35">
      <c r="A568" s="1">
        <v>2020</v>
      </c>
      <c r="B568" t="s">
        <v>164</v>
      </c>
      <c r="C568" t="s">
        <v>165</v>
      </c>
      <c r="D568">
        <v>153954</v>
      </c>
    </row>
    <row r="569" spans="1:4" x14ac:dyDescent="0.35">
      <c r="A569" s="1">
        <v>2020</v>
      </c>
      <c r="B569" t="s">
        <v>86</v>
      </c>
      <c r="C569" t="s">
        <v>87</v>
      </c>
      <c r="D569">
        <v>311435</v>
      </c>
    </row>
    <row r="570" spans="1:4" x14ac:dyDescent="0.35">
      <c r="A570" s="1">
        <v>2020</v>
      </c>
      <c r="B570" t="s">
        <v>166</v>
      </c>
      <c r="C570" t="s">
        <v>167</v>
      </c>
      <c r="D570">
        <v>375217</v>
      </c>
    </row>
    <row r="571" spans="1:4" x14ac:dyDescent="0.35">
      <c r="A571" s="1">
        <v>2020</v>
      </c>
      <c r="B571" t="s">
        <v>168</v>
      </c>
      <c r="C571" t="s">
        <v>169</v>
      </c>
      <c r="D571">
        <v>279554</v>
      </c>
    </row>
    <row r="572" spans="1:4" x14ac:dyDescent="0.35">
      <c r="A572" s="1">
        <v>2020</v>
      </c>
      <c r="B572" t="s">
        <v>206</v>
      </c>
      <c r="C572" t="s">
        <v>207</v>
      </c>
      <c r="D572">
        <v>2048070</v>
      </c>
    </row>
    <row r="573" spans="1:4" x14ac:dyDescent="0.35">
      <c r="A573" s="1">
        <v>2020</v>
      </c>
      <c r="B573" t="s">
        <v>130</v>
      </c>
      <c r="C573" t="s">
        <v>131</v>
      </c>
      <c r="D573">
        <v>697547</v>
      </c>
    </row>
    <row r="574" spans="1:4" x14ac:dyDescent="0.35">
      <c r="A574" s="1">
        <v>2020</v>
      </c>
      <c r="B574" t="s">
        <v>14</v>
      </c>
      <c r="C574" t="s">
        <v>15</v>
      </c>
      <c r="D574">
        <v>144379</v>
      </c>
    </row>
    <row r="575" spans="1:4" x14ac:dyDescent="0.35">
      <c r="A575" s="1">
        <v>2020</v>
      </c>
      <c r="B575" t="s">
        <v>140</v>
      </c>
      <c r="C575" t="s">
        <v>141</v>
      </c>
      <c r="D575">
        <v>351718</v>
      </c>
    </row>
    <row r="576" spans="1:4" x14ac:dyDescent="0.35">
      <c r="A576" s="1">
        <v>2020</v>
      </c>
      <c r="B576" t="s">
        <v>142</v>
      </c>
      <c r="C576" t="s">
        <v>143</v>
      </c>
      <c r="D576">
        <v>655709</v>
      </c>
    </row>
    <row r="577" spans="1:4" x14ac:dyDescent="0.35">
      <c r="A577" s="1">
        <v>2020</v>
      </c>
      <c r="B577" t="s">
        <v>56</v>
      </c>
      <c r="C577" t="s">
        <v>57</v>
      </c>
      <c r="D577">
        <v>300933</v>
      </c>
    </row>
    <row r="578" spans="1:4" x14ac:dyDescent="0.35">
      <c r="A578" s="1">
        <v>2020</v>
      </c>
      <c r="B578" t="s">
        <v>144</v>
      </c>
      <c r="C578" t="s">
        <v>145</v>
      </c>
      <c r="D578">
        <v>239190</v>
      </c>
    </row>
    <row r="579" spans="1:4" x14ac:dyDescent="0.35">
      <c r="A579" s="1">
        <v>2020</v>
      </c>
      <c r="B579" t="s">
        <v>68</v>
      </c>
      <c r="C579" t="s">
        <v>69</v>
      </c>
      <c r="D579">
        <v>160814</v>
      </c>
    </row>
    <row r="580" spans="1:4" x14ac:dyDescent="0.35">
      <c r="A580" s="1">
        <v>2020</v>
      </c>
      <c r="B580" t="s">
        <v>70</v>
      </c>
      <c r="C580" t="s">
        <v>71</v>
      </c>
      <c r="D580">
        <v>182887</v>
      </c>
    </row>
    <row r="581" spans="1:4" x14ac:dyDescent="0.35">
      <c r="A581" s="1">
        <v>2020</v>
      </c>
      <c r="B581" t="s">
        <v>32</v>
      </c>
      <c r="C581" t="s">
        <v>219</v>
      </c>
      <c r="D581">
        <v>535078</v>
      </c>
    </row>
    <row r="582" spans="1:4" x14ac:dyDescent="0.35">
      <c r="A582" s="1">
        <v>2020</v>
      </c>
      <c r="B582" t="s">
        <v>48</v>
      </c>
      <c r="C582" t="s">
        <v>220</v>
      </c>
      <c r="D582">
        <v>603640</v>
      </c>
    </row>
    <row r="583" spans="1:4" x14ac:dyDescent="0.35">
      <c r="A583" s="1">
        <v>2020</v>
      </c>
      <c r="B583" t="s">
        <v>146</v>
      </c>
      <c r="C583" t="s">
        <v>147</v>
      </c>
      <c r="D583">
        <v>115995</v>
      </c>
    </row>
    <row r="584" spans="1:4" x14ac:dyDescent="0.35">
      <c r="A584" s="1">
        <v>2020</v>
      </c>
      <c r="B584" t="s">
        <v>148</v>
      </c>
      <c r="C584" t="s">
        <v>149</v>
      </c>
      <c r="D584">
        <v>412807</v>
      </c>
    </row>
    <row r="585" spans="1:4" x14ac:dyDescent="0.35">
      <c r="A585" s="1">
        <v>2020</v>
      </c>
      <c r="B585" t="s">
        <v>34</v>
      </c>
      <c r="C585" t="s">
        <v>35</v>
      </c>
      <c r="D585">
        <v>545209</v>
      </c>
    </row>
    <row r="586" spans="1:4" x14ac:dyDescent="0.35">
      <c r="A586" s="1">
        <v>2020</v>
      </c>
      <c r="B586" t="s">
        <v>16</v>
      </c>
      <c r="C586" t="s">
        <v>17</v>
      </c>
      <c r="D586">
        <v>517709</v>
      </c>
    </row>
    <row r="587" spans="1:4" x14ac:dyDescent="0.35">
      <c r="A587" s="1">
        <v>2020</v>
      </c>
      <c r="B587" t="s">
        <v>132</v>
      </c>
      <c r="C587" t="s">
        <v>133</v>
      </c>
      <c r="D587">
        <v>599668</v>
      </c>
    </row>
    <row r="588" spans="1:4" x14ac:dyDescent="0.35">
      <c r="A588" s="1">
        <v>2020</v>
      </c>
      <c r="B588" t="s">
        <v>58</v>
      </c>
      <c r="C588" t="s">
        <v>59</v>
      </c>
      <c r="D588">
        <v>431443</v>
      </c>
    </row>
    <row r="589" spans="1:4" x14ac:dyDescent="0.35">
      <c r="A589" s="1">
        <v>2020</v>
      </c>
      <c r="B589" t="s">
        <v>50</v>
      </c>
      <c r="C589" t="s">
        <v>51</v>
      </c>
      <c r="D589">
        <v>917179</v>
      </c>
    </row>
    <row r="590" spans="1:4" x14ac:dyDescent="0.35">
      <c r="A590" s="1">
        <v>2020</v>
      </c>
      <c r="B590" t="s">
        <v>170</v>
      </c>
      <c r="C590" t="s">
        <v>171</v>
      </c>
      <c r="D590">
        <v>751457</v>
      </c>
    </row>
    <row r="591" spans="1:4" x14ac:dyDescent="0.35">
      <c r="A591" s="1">
        <v>2020</v>
      </c>
      <c r="B591" t="s">
        <v>172</v>
      </c>
      <c r="C591" t="s">
        <v>173</v>
      </c>
      <c r="D591">
        <v>1415757</v>
      </c>
    </row>
    <row r="592" spans="1:4" x14ac:dyDescent="0.35">
      <c r="A592" s="1">
        <v>2020</v>
      </c>
      <c r="B592" t="s">
        <v>174</v>
      </c>
      <c r="C592" t="s">
        <v>175</v>
      </c>
      <c r="D592">
        <v>191819</v>
      </c>
    </row>
    <row r="593" spans="1:4" x14ac:dyDescent="0.35">
      <c r="A593" s="1">
        <v>2020</v>
      </c>
      <c r="B593" t="s">
        <v>150</v>
      </c>
      <c r="C593" t="s">
        <v>151</v>
      </c>
      <c r="D593">
        <v>1636391</v>
      </c>
    </row>
    <row r="594" spans="1:4" x14ac:dyDescent="0.35">
      <c r="A594" s="1">
        <v>2020</v>
      </c>
      <c r="B594" t="s">
        <v>176</v>
      </c>
      <c r="C594" t="s">
        <v>177</v>
      </c>
      <c r="D594">
        <v>1188973</v>
      </c>
    </row>
    <row r="595" spans="1:4" x14ac:dyDescent="0.35">
      <c r="A595" s="1">
        <v>2020</v>
      </c>
      <c r="B595" t="s">
        <v>52</v>
      </c>
      <c r="C595" t="s">
        <v>53</v>
      </c>
      <c r="D595">
        <v>1088855</v>
      </c>
    </row>
    <row r="596" spans="1:4" x14ac:dyDescent="0.35">
      <c r="A596" s="1">
        <v>2020</v>
      </c>
      <c r="B596" t="s">
        <v>60</v>
      </c>
      <c r="C596" t="s">
        <v>61</v>
      </c>
      <c r="D596">
        <v>218707</v>
      </c>
    </row>
    <row r="597" spans="1:4" x14ac:dyDescent="0.35">
      <c r="A597" s="1">
        <v>2020</v>
      </c>
      <c r="B597" t="s">
        <v>62</v>
      </c>
      <c r="C597" t="s">
        <v>63</v>
      </c>
      <c r="D597">
        <v>612119</v>
      </c>
    </row>
    <row r="598" spans="1:4" x14ac:dyDescent="0.35">
      <c r="A598" s="1">
        <v>2020</v>
      </c>
      <c r="B598" t="s">
        <v>18</v>
      </c>
      <c r="C598" t="s">
        <v>19</v>
      </c>
      <c r="D598">
        <v>1277513</v>
      </c>
    </row>
    <row r="599" spans="1:4" x14ac:dyDescent="0.35">
      <c r="A599" s="1">
        <v>2020</v>
      </c>
      <c r="B599" t="s">
        <v>36</v>
      </c>
      <c r="C599" t="s">
        <v>37</v>
      </c>
      <c r="D599">
        <v>258798</v>
      </c>
    </row>
    <row r="600" spans="1:4" x14ac:dyDescent="0.35">
      <c r="A600" s="1">
        <v>2020</v>
      </c>
      <c r="B600" t="s">
        <v>152</v>
      </c>
      <c r="C600" t="s">
        <v>153</v>
      </c>
      <c r="D600">
        <v>418122</v>
      </c>
    </row>
    <row r="601" spans="1:4" x14ac:dyDescent="0.35">
      <c r="A601" s="1">
        <v>2020</v>
      </c>
      <c r="B601" t="s">
        <v>64</v>
      </c>
      <c r="C601" t="s">
        <v>65</v>
      </c>
      <c r="D601">
        <v>329357</v>
      </c>
    </row>
    <row r="602" spans="1:4" x14ac:dyDescent="0.35">
      <c r="A602" s="1">
        <v>2020</v>
      </c>
      <c r="B602" t="s">
        <v>20</v>
      </c>
      <c r="C602" t="s">
        <v>21</v>
      </c>
      <c r="D602">
        <v>768508</v>
      </c>
    </row>
    <row r="603" spans="1:4" x14ac:dyDescent="0.35">
      <c r="A603" s="1">
        <v>2020</v>
      </c>
      <c r="B603" t="s">
        <v>22</v>
      </c>
      <c r="C603" t="s">
        <v>23</v>
      </c>
      <c r="D603">
        <v>227489</v>
      </c>
    </row>
    <row r="604" spans="1:4" x14ac:dyDescent="0.35">
      <c r="A604" s="1">
        <v>2020</v>
      </c>
      <c r="B604" t="s">
        <v>190</v>
      </c>
      <c r="C604" t="s">
        <v>191</v>
      </c>
      <c r="D604">
        <v>1445171</v>
      </c>
    </row>
    <row r="605" spans="1:4" x14ac:dyDescent="0.35">
      <c r="A605" s="1">
        <v>2020</v>
      </c>
      <c r="B605" t="s">
        <v>66</v>
      </c>
      <c r="C605" t="s">
        <v>67</v>
      </c>
      <c r="D605">
        <v>682304</v>
      </c>
    </row>
    <row r="606" spans="1:4" x14ac:dyDescent="0.35">
      <c r="A606" s="1">
        <v>2020</v>
      </c>
      <c r="B606" t="s">
        <v>178</v>
      </c>
      <c r="C606" t="s">
        <v>179</v>
      </c>
      <c r="D606">
        <v>174670</v>
      </c>
    </row>
    <row r="607" spans="1:4" x14ac:dyDescent="0.35">
      <c r="A607" s="1">
        <v>2020</v>
      </c>
      <c r="B607" t="s">
        <v>154</v>
      </c>
      <c r="C607" t="s">
        <v>155</v>
      </c>
      <c r="D607">
        <v>330844</v>
      </c>
    </row>
    <row r="608" spans="1:4" x14ac:dyDescent="0.35">
      <c r="A608" s="1">
        <v>2020</v>
      </c>
      <c r="B608" t="s">
        <v>180</v>
      </c>
      <c r="C608" t="s">
        <v>181</v>
      </c>
      <c r="D608">
        <v>76633</v>
      </c>
    </row>
    <row r="609" spans="1:4" x14ac:dyDescent="0.35">
      <c r="A609" s="1">
        <v>2020</v>
      </c>
      <c r="B609" t="s">
        <v>192</v>
      </c>
      <c r="C609" t="s">
        <v>193</v>
      </c>
      <c r="D609">
        <v>820713</v>
      </c>
    </row>
    <row r="610" spans="1:4" x14ac:dyDescent="0.35">
      <c r="A610" s="1">
        <v>2020</v>
      </c>
      <c r="B610" t="s">
        <v>134</v>
      </c>
      <c r="C610" t="s">
        <v>135</v>
      </c>
      <c r="D610">
        <v>495093</v>
      </c>
    </row>
    <row r="611" spans="1:4" x14ac:dyDescent="0.35">
      <c r="A611" s="1">
        <v>2020</v>
      </c>
      <c r="B611" t="s">
        <v>88</v>
      </c>
      <c r="C611" t="s">
        <v>89</v>
      </c>
      <c r="D611">
        <v>566659</v>
      </c>
    </row>
    <row r="612" spans="1:4" x14ac:dyDescent="0.35">
      <c r="A612" s="1">
        <v>2020</v>
      </c>
      <c r="B612" t="s">
        <v>90</v>
      </c>
      <c r="C612" t="s">
        <v>91</v>
      </c>
      <c r="D612">
        <v>171798</v>
      </c>
    </row>
    <row r="613" spans="1:4" x14ac:dyDescent="0.35">
      <c r="A613" s="1">
        <v>2020</v>
      </c>
      <c r="B613" t="s">
        <v>194</v>
      </c>
      <c r="C613" t="s">
        <v>195</v>
      </c>
      <c r="D613">
        <v>306538</v>
      </c>
    </row>
    <row r="614" spans="1:4" x14ac:dyDescent="0.35">
      <c r="A614" s="1">
        <v>2020</v>
      </c>
      <c r="B614" t="s">
        <v>92</v>
      </c>
      <c r="C614" t="s">
        <v>93</v>
      </c>
      <c r="D614">
        <v>732590</v>
      </c>
    </row>
    <row r="615" spans="1:4" x14ac:dyDescent="0.35">
      <c r="A615" s="1">
        <v>2020</v>
      </c>
      <c r="B615" t="s">
        <v>94</v>
      </c>
      <c r="C615" t="s">
        <v>95</v>
      </c>
      <c r="D615">
        <v>183001</v>
      </c>
    </row>
    <row r="616" spans="1:4" x14ac:dyDescent="0.35">
      <c r="A616" s="1">
        <v>2020</v>
      </c>
      <c r="B616" t="s">
        <v>54</v>
      </c>
      <c r="C616" t="s">
        <v>55</v>
      </c>
      <c r="D616">
        <v>764161</v>
      </c>
    </row>
    <row r="617" spans="1:4" x14ac:dyDescent="0.35">
      <c r="A617" s="1">
        <v>2020</v>
      </c>
      <c r="B617" t="s">
        <v>96</v>
      </c>
      <c r="C617" t="s">
        <v>97</v>
      </c>
      <c r="D617">
        <v>1049155</v>
      </c>
    </row>
    <row r="618" spans="1:4" x14ac:dyDescent="0.35">
      <c r="A618" s="1">
        <v>2020</v>
      </c>
      <c r="B618" t="s">
        <v>38</v>
      </c>
      <c r="C618" t="s">
        <v>39</v>
      </c>
      <c r="D618">
        <v>202670</v>
      </c>
    </row>
    <row r="619" spans="1:4" x14ac:dyDescent="0.35">
      <c r="A619" s="1">
        <v>2020</v>
      </c>
      <c r="B619" t="s">
        <v>106</v>
      </c>
      <c r="C619" t="s">
        <v>107</v>
      </c>
      <c r="D619">
        <v>2607746</v>
      </c>
    </row>
    <row r="620" spans="1:4" x14ac:dyDescent="0.35">
      <c r="A620" s="1">
        <v>2020</v>
      </c>
      <c r="B620" t="s">
        <v>108</v>
      </c>
      <c r="C620" t="s">
        <v>109</v>
      </c>
      <c r="D620">
        <v>829699</v>
      </c>
    </row>
    <row r="621" spans="1:4" x14ac:dyDescent="0.35">
      <c r="A621" s="1">
        <v>2020</v>
      </c>
      <c r="B621" t="s">
        <v>136</v>
      </c>
      <c r="C621" t="s">
        <v>137</v>
      </c>
      <c r="D621">
        <v>278475</v>
      </c>
    </row>
    <row r="622" spans="1:4" x14ac:dyDescent="0.35">
      <c r="A622" s="1">
        <v>2020</v>
      </c>
      <c r="B622" t="s">
        <v>110</v>
      </c>
      <c r="C622" t="s">
        <v>111</v>
      </c>
      <c r="D622">
        <v>1462167</v>
      </c>
    </row>
    <row r="623" spans="1:4" x14ac:dyDescent="0.35">
      <c r="A623" s="1">
        <v>2020</v>
      </c>
      <c r="B623" t="s">
        <v>24</v>
      </c>
      <c r="C623" t="s">
        <v>25</v>
      </c>
      <c r="D623">
        <v>661852</v>
      </c>
    </row>
    <row r="624" spans="1:4" x14ac:dyDescent="0.35">
      <c r="A624" s="1">
        <v>2020</v>
      </c>
      <c r="B624" t="s">
        <v>156</v>
      </c>
      <c r="C624" t="s">
        <v>157</v>
      </c>
      <c r="D624">
        <v>687240</v>
      </c>
    </row>
    <row r="625" spans="1:4" x14ac:dyDescent="0.35">
      <c r="A625" s="1">
        <v>2020</v>
      </c>
      <c r="B625" t="s">
        <v>182</v>
      </c>
      <c r="C625" t="s">
        <v>183</v>
      </c>
      <c r="D625">
        <v>229788</v>
      </c>
    </row>
    <row r="626" spans="1:4" x14ac:dyDescent="0.35">
      <c r="A626" s="1">
        <v>2020</v>
      </c>
      <c r="B626" t="s">
        <v>184</v>
      </c>
      <c r="C626" t="s">
        <v>185</v>
      </c>
      <c r="D626">
        <v>482765</v>
      </c>
    </row>
    <row r="627" spans="1:4" x14ac:dyDescent="0.35">
      <c r="A627" s="1">
        <v>2020</v>
      </c>
      <c r="B627" t="s">
        <v>98</v>
      </c>
      <c r="C627" t="s">
        <v>99</v>
      </c>
      <c r="D627">
        <v>1148073</v>
      </c>
    </row>
    <row r="628" spans="1:4" x14ac:dyDescent="0.35">
      <c r="A628" s="1">
        <v>2020</v>
      </c>
      <c r="B628" t="s">
        <v>100</v>
      </c>
      <c r="C628" t="s">
        <v>101</v>
      </c>
      <c r="D628">
        <v>767842</v>
      </c>
    </row>
    <row r="629" spans="1:4" x14ac:dyDescent="0.35">
      <c r="A629" s="1">
        <v>2020</v>
      </c>
      <c r="B629" t="s">
        <v>26</v>
      </c>
      <c r="C629" t="s">
        <v>27</v>
      </c>
      <c r="D629">
        <v>1883437</v>
      </c>
    </row>
    <row r="630" spans="1:4" x14ac:dyDescent="0.35">
      <c r="A630" s="1">
        <v>2020</v>
      </c>
      <c r="B630" t="s">
        <v>40</v>
      </c>
      <c r="C630" t="s">
        <v>41</v>
      </c>
      <c r="D630">
        <v>234601</v>
      </c>
    </row>
    <row r="631" spans="1:4" x14ac:dyDescent="0.35">
      <c r="A631" s="1">
        <v>2020</v>
      </c>
      <c r="B631" t="s">
        <v>42</v>
      </c>
      <c r="C631" t="s">
        <v>43</v>
      </c>
      <c r="D631">
        <v>551063</v>
      </c>
    </row>
    <row r="632" spans="1:4" x14ac:dyDescent="0.35">
      <c r="A632" s="1">
        <v>2020</v>
      </c>
      <c r="B632" t="s">
        <v>196</v>
      </c>
      <c r="C632" t="s">
        <v>197</v>
      </c>
      <c r="D632">
        <v>566993</v>
      </c>
    </row>
    <row r="633" spans="1:4" x14ac:dyDescent="0.35">
      <c r="A633" s="1">
        <v>2020</v>
      </c>
      <c r="B633" t="s">
        <v>28</v>
      </c>
      <c r="C633" t="s">
        <v>29</v>
      </c>
      <c r="D633">
        <v>439750</v>
      </c>
    </row>
    <row r="634" spans="1:4" x14ac:dyDescent="0.35">
      <c r="A634" s="1">
        <v>2020</v>
      </c>
      <c r="B634" t="s">
        <v>30</v>
      </c>
      <c r="C634" t="s">
        <v>31</v>
      </c>
      <c r="D634">
        <v>835206</v>
      </c>
    </row>
    <row r="635" spans="1:4" x14ac:dyDescent="0.35">
      <c r="A635" s="1">
        <v>2020</v>
      </c>
      <c r="B635" t="s">
        <v>114</v>
      </c>
      <c r="C635" t="s">
        <v>115</v>
      </c>
      <c r="D635">
        <v>2145906</v>
      </c>
    </row>
    <row r="636" spans="1:4" x14ac:dyDescent="0.35">
      <c r="A636" s="1">
        <v>2020</v>
      </c>
      <c r="B636" t="s">
        <v>138</v>
      </c>
      <c r="C636" t="s">
        <v>139</v>
      </c>
      <c r="D636">
        <v>1254739</v>
      </c>
    </row>
    <row r="637" spans="1:4" x14ac:dyDescent="0.35">
      <c r="A637" s="1">
        <v>2020</v>
      </c>
      <c r="B637" t="s">
        <v>116</v>
      </c>
      <c r="C637" t="s">
        <v>117</v>
      </c>
      <c r="D637">
        <v>1428636</v>
      </c>
    </row>
    <row r="638" spans="1:4" x14ac:dyDescent="0.35">
      <c r="A638" s="1">
        <v>2020</v>
      </c>
      <c r="B638" t="s">
        <v>118</v>
      </c>
      <c r="C638" t="s">
        <v>119</v>
      </c>
      <c r="D638">
        <v>1449723</v>
      </c>
    </row>
    <row r="639" spans="1:4" x14ac:dyDescent="0.35">
      <c r="A639" s="1">
        <v>2020</v>
      </c>
      <c r="B639" t="s">
        <v>158</v>
      </c>
      <c r="C639" t="s">
        <v>159</v>
      </c>
      <c r="D639">
        <v>374481</v>
      </c>
    </row>
    <row r="640" spans="1:4" x14ac:dyDescent="0.35">
      <c r="A640" s="1">
        <v>2020</v>
      </c>
      <c r="B640" t="s">
        <v>112</v>
      </c>
      <c r="C640" t="s">
        <v>113</v>
      </c>
      <c r="D640">
        <v>568748</v>
      </c>
    </row>
    <row r="641" spans="1:4" x14ac:dyDescent="0.35">
      <c r="A641" s="1">
        <v>2020</v>
      </c>
      <c r="B641" t="s">
        <v>186</v>
      </c>
      <c r="C641" t="s">
        <v>187</v>
      </c>
      <c r="D641">
        <v>391066</v>
      </c>
    </row>
    <row r="642" spans="1:4" x14ac:dyDescent="0.35">
      <c r="A642" s="1">
        <v>2020</v>
      </c>
      <c r="B642" t="s">
        <v>188</v>
      </c>
      <c r="C642" t="s">
        <v>189</v>
      </c>
      <c r="D642">
        <v>262316</v>
      </c>
    </row>
    <row r="643" spans="1:4" x14ac:dyDescent="0.35">
      <c r="A643" s="1">
        <v>2020</v>
      </c>
      <c r="B643" t="s">
        <v>208</v>
      </c>
      <c r="C643" t="s">
        <v>209</v>
      </c>
      <c r="D643">
        <v>1085189</v>
      </c>
    </row>
    <row r="644" spans="1:4" x14ac:dyDescent="0.35">
      <c r="A644" s="1">
        <v>2020</v>
      </c>
      <c r="B644" t="s">
        <v>210</v>
      </c>
      <c r="C644" t="s">
        <v>211</v>
      </c>
      <c r="D644">
        <v>561941</v>
      </c>
    </row>
    <row r="645" spans="1:4" x14ac:dyDescent="0.35">
      <c r="A645" s="1">
        <v>2020</v>
      </c>
      <c r="B645" t="s">
        <v>198</v>
      </c>
      <c r="C645" t="s">
        <v>199</v>
      </c>
      <c r="D645">
        <v>692705</v>
      </c>
    </row>
    <row r="646" spans="1:4" x14ac:dyDescent="0.35">
      <c r="A646" s="1">
        <v>2020</v>
      </c>
      <c r="B646" t="s">
        <v>160</v>
      </c>
      <c r="C646" t="s">
        <v>161</v>
      </c>
      <c r="D646">
        <v>439332</v>
      </c>
    </row>
    <row r="647" spans="1:4" x14ac:dyDescent="0.35">
      <c r="A647" s="1">
        <v>2020</v>
      </c>
      <c r="B647" t="s">
        <v>162</v>
      </c>
      <c r="C647" t="s">
        <v>163</v>
      </c>
      <c r="D647">
        <v>372123</v>
      </c>
    </row>
    <row r="648" spans="1:4" x14ac:dyDescent="0.35">
      <c r="A648" s="1">
        <v>2020</v>
      </c>
      <c r="B648" t="s">
        <v>102</v>
      </c>
      <c r="C648" t="s">
        <v>103</v>
      </c>
      <c r="D648">
        <v>362397</v>
      </c>
    </row>
    <row r="649" spans="1:4" x14ac:dyDescent="0.35">
      <c r="A649" s="1">
        <v>2020</v>
      </c>
      <c r="B649" t="s">
        <v>44</v>
      </c>
      <c r="C649" t="s">
        <v>45</v>
      </c>
      <c r="D649">
        <v>334156</v>
      </c>
    </row>
    <row r="650" spans="1:4" x14ac:dyDescent="0.35">
      <c r="A650" s="1">
        <v>2020</v>
      </c>
      <c r="B650" t="s">
        <v>46</v>
      </c>
      <c r="C650" t="s">
        <v>221</v>
      </c>
      <c r="D650">
        <v>140120</v>
      </c>
    </row>
    <row r="651" spans="1:4" x14ac:dyDescent="0.35">
      <c r="A651" s="1">
        <v>2020</v>
      </c>
      <c r="B651" t="s">
        <v>120</v>
      </c>
      <c r="C651" t="s">
        <v>121</v>
      </c>
      <c r="D651">
        <v>1306118</v>
      </c>
    </row>
    <row r="652" spans="1:4" x14ac:dyDescent="0.35">
      <c r="A652" s="1">
        <v>2020</v>
      </c>
      <c r="B652" t="s">
        <v>122</v>
      </c>
      <c r="C652" t="s">
        <v>222</v>
      </c>
      <c r="D652">
        <v>1626213</v>
      </c>
    </row>
    <row r="653" spans="1:4" x14ac:dyDescent="0.35">
      <c r="A653" s="1">
        <v>2020</v>
      </c>
      <c r="B653" t="s">
        <v>124</v>
      </c>
      <c r="C653" t="s">
        <v>125</v>
      </c>
      <c r="D653">
        <v>1655422</v>
      </c>
    </row>
    <row r="654" spans="1:4" x14ac:dyDescent="0.35">
      <c r="A654" s="1">
        <v>2020</v>
      </c>
      <c r="B654" t="s">
        <v>126</v>
      </c>
      <c r="C654" t="s">
        <v>127</v>
      </c>
      <c r="D654">
        <v>1407972</v>
      </c>
    </row>
    <row r="655" spans="1:4" x14ac:dyDescent="0.35">
      <c r="A655" s="1">
        <v>2020</v>
      </c>
      <c r="B655" t="s">
        <v>128</v>
      </c>
      <c r="C655" t="s">
        <v>129</v>
      </c>
      <c r="D655">
        <v>1251804</v>
      </c>
    </row>
    <row r="656" spans="1:4" x14ac:dyDescent="0.35">
      <c r="A656" s="1">
        <v>2020</v>
      </c>
      <c r="B656" t="s">
        <v>223</v>
      </c>
      <c r="D656">
        <v>65269154</v>
      </c>
    </row>
    <row r="657" spans="1:4" x14ac:dyDescent="0.35">
      <c r="A657" s="1">
        <v>2020</v>
      </c>
      <c r="B657">
        <v>971</v>
      </c>
      <c r="C657" t="s">
        <v>224</v>
      </c>
      <c r="D657">
        <v>383559</v>
      </c>
    </row>
    <row r="658" spans="1:4" x14ac:dyDescent="0.35">
      <c r="A658" s="1">
        <v>2020</v>
      </c>
      <c r="B658">
        <v>972</v>
      </c>
      <c r="C658" t="s">
        <v>225</v>
      </c>
      <c r="D658">
        <v>361225</v>
      </c>
    </row>
    <row r="659" spans="1:4" x14ac:dyDescent="0.35">
      <c r="A659" s="1">
        <v>2020</v>
      </c>
      <c r="B659">
        <v>973</v>
      </c>
      <c r="C659" t="s">
        <v>77</v>
      </c>
      <c r="D659">
        <v>285133</v>
      </c>
    </row>
    <row r="660" spans="1:4" x14ac:dyDescent="0.35">
      <c r="A660" s="1">
        <v>2020</v>
      </c>
      <c r="B660">
        <v>974</v>
      </c>
      <c r="C660" t="s">
        <v>79</v>
      </c>
      <c r="D660">
        <v>863083</v>
      </c>
    </row>
    <row r="661" spans="1:4" x14ac:dyDescent="0.35">
      <c r="A661" s="1">
        <v>2020</v>
      </c>
      <c r="B661">
        <v>976</v>
      </c>
      <c r="C661" t="s">
        <v>215</v>
      </c>
      <c r="D661">
        <v>279696</v>
      </c>
    </row>
    <row r="662" spans="1:4" x14ac:dyDescent="0.35">
      <c r="A662" s="1">
        <v>2020</v>
      </c>
      <c r="B662" t="s">
        <v>226</v>
      </c>
      <c r="D662">
        <v>2172696</v>
      </c>
    </row>
    <row r="663" spans="1:4" x14ac:dyDescent="0.35">
      <c r="A663" s="1">
        <v>2020</v>
      </c>
      <c r="B663" t="s">
        <v>227</v>
      </c>
      <c r="D663">
        <v>67441850</v>
      </c>
    </row>
    <row r="664" spans="1:4" x14ac:dyDescent="0.35">
      <c r="A664" s="1">
        <v>2020</v>
      </c>
    </row>
    <row r="665" spans="1:4" x14ac:dyDescent="0.35">
      <c r="A665" s="1">
        <v>2020</v>
      </c>
      <c r="B665" t="s">
        <v>240</v>
      </c>
    </row>
    <row r="666" spans="1:4" x14ac:dyDescent="0.35">
      <c r="A666" s="1">
        <v>2019</v>
      </c>
      <c r="B666" t="s">
        <v>229</v>
      </c>
    </row>
    <row r="667" spans="1:4" x14ac:dyDescent="0.35">
      <c r="A667" s="1">
        <v>2019</v>
      </c>
      <c r="B667" t="s">
        <v>241</v>
      </c>
    </row>
    <row r="668" spans="1:4" x14ac:dyDescent="0.35">
      <c r="A668" s="1">
        <v>2019</v>
      </c>
    </row>
    <row r="669" spans="1:4" x14ac:dyDescent="0.35">
      <c r="A669" s="1">
        <v>2019</v>
      </c>
      <c r="B669" t="s">
        <v>231</v>
      </c>
    </row>
    <row r="670" spans="1:4" x14ac:dyDescent="0.35">
      <c r="A670" s="1">
        <v>2019</v>
      </c>
      <c r="D670" t="s">
        <v>232</v>
      </c>
    </row>
    <row r="671" spans="1:4" x14ac:dyDescent="0.35">
      <c r="A671" s="1">
        <v>2019</v>
      </c>
      <c r="B671" t="s">
        <v>5</v>
      </c>
      <c r="C671" t="s">
        <v>6</v>
      </c>
      <c r="D671">
        <v>652432</v>
      </c>
    </row>
    <row r="672" spans="1:4" x14ac:dyDescent="0.35">
      <c r="A672" s="1">
        <v>2019</v>
      </c>
      <c r="B672" t="s">
        <v>104</v>
      </c>
      <c r="C672" t="s">
        <v>105</v>
      </c>
      <c r="D672">
        <v>531345</v>
      </c>
    </row>
    <row r="673" spans="1:4" x14ac:dyDescent="0.35">
      <c r="A673" s="1">
        <v>2019</v>
      </c>
      <c r="B673" t="s">
        <v>10</v>
      </c>
      <c r="C673" t="s">
        <v>11</v>
      </c>
      <c r="D673">
        <v>335975</v>
      </c>
    </row>
    <row r="674" spans="1:4" x14ac:dyDescent="0.35">
      <c r="A674" s="1">
        <v>2019</v>
      </c>
      <c r="B674" t="s">
        <v>200</v>
      </c>
      <c r="C674" t="s">
        <v>201</v>
      </c>
      <c r="D674">
        <v>164308</v>
      </c>
    </row>
    <row r="675" spans="1:4" x14ac:dyDescent="0.35">
      <c r="A675" s="1">
        <v>2019</v>
      </c>
      <c r="B675" t="s">
        <v>202</v>
      </c>
      <c r="C675" t="s">
        <v>203</v>
      </c>
      <c r="D675">
        <v>141220</v>
      </c>
    </row>
    <row r="676" spans="1:4" x14ac:dyDescent="0.35">
      <c r="A676" s="1">
        <v>2019</v>
      </c>
      <c r="B676" t="s">
        <v>204</v>
      </c>
      <c r="C676" t="s">
        <v>205</v>
      </c>
      <c r="D676">
        <v>1094283</v>
      </c>
    </row>
    <row r="677" spans="1:4" x14ac:dyDescent="0.35">
      <c r="A677" s="1">
        <v>2019</v>
      </c>
      <c r="B677" t="s">
        <v>12</v>
      </c>
      <c r="C677" t="s">
        <v>13</v>
      </c>
      <c r="D677">
        <v>328278</v>
      </c>
    </row>
    <row r="678" spans="1:4" x14ac:dyDescent="0.35">
      <c r="A678" s="1">
        <v>2019</v>
      </c>
      <c r="B678" t="s">
        <v>84</v>
      </c>
      <c r="C678" t="s">
        <v>85</v>
      </c>
      <c r="D678">
        <v>270582</v>
      </c>
    </row>
    <row r="679" spans="1:4" x14ac:dyDescent="0.35">
      <c r="A679" s="1">
        <v>2019</v>
      </c>
      <c r="B679" t="s">
        <v>164</v>
      </c>
      <c r="C679" t="s">
        <v>165</v>
      </c>
      <c r="D679">
        <v>153287</v>
      </c>
    </row>
    <row r="680" spans="1:4" x14ac:dyDescent="0.35">
      <c r="A680" s="1">
        <v>2019</v>
      </c>
      <c r="B680" t="s">
        <v>86</v>
      </c>
      <c r="C680" t="s">
        <v>87</v>
      </c>
      <c r="D680">
        <v>310242</v>
      </c>
    </row>
    <row r="681" spans="1:4" x14ac:dyDescent="0.35">
      <c r="A681" s="1">
        <v>2019</v>
      </c>
      <c r="B681" t="s">
        <v>166</v>
      </c>
      <c r="C681" t="s">
        <v>167</v>
      </c>
      <c r="D681">
        <v>374070</v>
      </c>
    </row>
    <row r="682" spans="1:4" x14ac:dyDescent="0.35">
      <c r="A682" s="1">
        <v>2019</v>
      </c>
      <c r="B682" t="s">
        <v>168</v>
      </c>
      <c r="C682" t="s">
        <v>169</v>
      </c>
      <c r="D682">
        <v>279595</v>
      </c>
    </row>
    <row r="683" spans="1:4" x14ac:dyDescent="0.35">
      <c r="A683" s="1">
        <v>2019</v>
      </c>
      <c r="B683" t="s">
        <v>206</v>
      </c>
      <c r="C683" t="s">
        <v>207</v>
      </c>
      <c r="D683">
        <v>2043110</v>
      </c>
    </row>
    <row r="684" spans="1:4" x14ac:dyDescent="0.35">
      <c r="A684" s="1">
        <v>2019</v>
      </c>
      <c r="B684" t="s">
        <v>130</v>
      </c>
      <c r="C684" t="s">
        <v>131</v>
      </c>
      <c r="D684">
        <v>694905</v>
      </c>
    </row>
    <row r="685" spans="1:4" x14ac:dyDescent="0.35">
      <c r="A685" s="1">
        <v>2019</v>
      </c>
      <c r="B685" t="s">
        <v>14</v>
      </c>
      <c r="C685" t="s">
        <v>15</v>
      </c>
      <c r="D685">
        <v>144692</v>
      </c>
    </row>
    <row r="686" spans="1:4" x14ac:dyDescent="0.35">
      <c r="A686" s="1">
        <v>2019</v>
      </c>
      <c r="B686" t="s">
        <v>140</v>
      </c>
      <c r="C686" t="s">
        <v>141</v>
      </c>
      <c r="D686">
        <v>352015</v>
      </c>
    </row>
    <row r="687" spans="1:4" x14ac:dyDescent="0.35">
      <c r="A687" s="1">
        <v>2019</v>
      </c>
      <c r="B687" t="s">
        <v>142</v>
      </c>
      <c r="C687" t="s">
        <v>143</v>
      </c>
      <c r="D687">
        <v>651358</v>
      </c>
    </row>
    <row r="688" spans="1:4" x14ac:dyDescent="0.35">
      <c r="A688" s="1">
        <v>2019</v>
      </c>
      <c r="B688" t="s">
        <v>56</v>
      </c>
      <c r="C688" t="s">
        <v>57</v>
      </c>
      <c r="D688">
        <v>302306</v>
      </c>
    </row>
    <row r="689" spans="1:4" x14ac:dyDescent="0.35">
      <c r="A689" s="1">
        <v>2019</v>
      </c>
      <c r="B689" t="s">
        <v>144</v>
      </c>
      <c r="C689" t="s">
        <v>145</v>
      </c>
      <c r="D689">
        <v>240073</v>
      </c>
    </row>
    <row r="690" spans="1:4" x14ac:dyDescent="0.35">
      <c r="A690" s="1">
        <v>2019</v>
      </c>
      <c r="B690" t="s">
        <v>68</v>
      </c>
      <c r="C690" t="s">
        <v>69</v>
      </c>
      <c r="D690">
        <v>158507</v>
      </c>
    </row>
    <row r="691" spans="1:4" x14ac:dyDescent="0.35">
      <c r="A691" s="1">
        <v>2019</v>
      </c>
      <c r="B691" t="s">
        <v>70</v>
      </c>
      <c r="C691" t="s">
        <v>71</v>
      </c>
      <c r="D691">
        <v>181933</v>
      </c>
    </row>
    <row r="692" spans="1:4" x14ac:dyDescent="0.35">
      <c r="A692" s="1">
        <v>2019</v>
      </c>
      <c r="B692" t="s">
        <v>32</v>
      </c>
      <c r="C692" t="s">
        <v>219</v>
      </c>
      <c r="D692">
        <v>534124</v>
      </c>
    </row>
    <row r="693" spans="1:4" x14ac:dyDescent="0.35">
      <c r="A693" s="1">
        <v>2019</v>
      </c>
      <c r="B693" t="s">
        <v>48</v>
      </c>
      <c r="C693" t="s">
        <v>220</v>
      </c>
      <c r="D693">
        <v>600582</v>
      </c>
    </row>
    <row r="694" spans="1:4" x14ac:dyDescent="0.35">
      <c r="A694" s="1">
        <v>2019</v>
      </c>
      <c r="B694" t="s">
        <v>146</v>
      </c>
      <c r="C694" t="s">
        <v>147</v>
      </c>
      <c r="D694">
        <v>116617</v>
      </c>
    </row>
    <row r="695" spans="1:4" x14ac:dyDescent="0.35">
      <c r="A695" s="1">
        <v>2019</v>
      </c>
      <c r="B695" t="s">
        <v>148</v>
      </c>
      <c r="C695" t="s">
        <v>149</v>
      </c>
      <c r="D695">
        <v>413223</v>
      </c>
    </row>
    <row r="696" spans="1:4" x14ac:dyDescent="0.35">
      <c r="A696" s="1">
        <v>2019</v>
      </c>
      <c r="B696" t="s">
        <v>34</v>
      </c>
      <c r="C696" t="s">
        <v>35</v>
      </c>
      <c r="D696">
        <v>543974</v>
      </c>
    </row>
    <row r="697" spans="1:4" x14ac:dyDescent="0.35">
      <c r="A697" s="1">
        <v>2019</v>
      </c>
      <c r="B697" t="s">
        <v>16</v>
      </c>
      <c r="C697" t="s">
        <v>17</v>
      </c>
      <c r="D697">
        <v>516762</v>
      </c>
    </row>
    <row r="698" spans="1:4" x14ac:dyDescent="0.35">
      <c r="A698" s="1">
        <v>2019</v>
      </c>
      <c r="B698" t="s">
        <v>132</v>
      </c>
      <c r="C698" t="s">
        <v>133</v>
      </c>
      <c r="D698">
        <v>599507</v>
      </c>
    </row>
    <row r="699" spans="1:4" x14ac:dyDescent="0.35">
      <c r="A699" s="1">
        <v>2019</v>
      </c>
      <c r="B699" t="s">
        <v>58</v>
      </c>
      <c r="C699" t="s">
        <v>59</v>
      </c>
      <c r="D699">
        <v>431575</v>
      </c>
    </row>
    <row r="700" spans="1:4" x14ac:dyDescent="0.35">
      <c r="A700" s="1">
        <v>2019</v>
      </c>
      <c r="B700" t="s">
        <v>50</v>
      </c>
      <c r="C700" t="s">
        <v>51</v>
      </c>
      <c r="D700">
        <v>915090</v>
      </c>
    </row>
    <row r="701" spans="1:4" x14ac:dyDescent="0.35">
      <c r="A701" s="1">
        <v>2019</v>
      </c>
      <c r="B701" t="s">
        <v>170</v>
      </c>
      <c r="C701" t="s">
        <v>171</v>
      </c>
      <c r="D701">
        <v>748437</v>
      </c>
    </row>
    <row r="702" spans="1:4" x14ac:dyDescent="0.35">
      <c r="A702" s="1">
        <v>2019</v>
      </c>
      <c r="B702" t="s">
        <v>172</v>
      </c>
      <c r="C702" t="s">
        <v>173</v>
      </c>
      <c r="D702">
        <v>1400039</v>
      </c>
    </row>
    <row r="703" spans="1:4" x14ac:dyDescent="0.35">
      <c r="A703" s="1">
        <v>2019</v>
      </c>
      <c r="B703" t="s">
        <v>174</v>
      </c>
      <c r="C703" t="s">
        <v>175</v>
      </c>
      <c r="D703">
        <v>191377</v>
      </c>
    </row>
    <row r="704" spans="1:4" x14ac:dyDescent="0.35">
      <c r="A704" s="1">
        <v>2019</v>
      </c>
      <c r="B704" t="s">
        <v>150</v>
      </c>
      <c r="C704" t="s">
        <v>151</v>
      </c>
      <c r="D704">
        <v>1623749</v>
      </c>
    </row>
    <row r="705" spans="1:4" x14ac:dyDescent="0.35">
      <c r="A705" s="1">
        <v>2019</v>
      </c>
      <c r="B705" t="s">
        <v>176</v>
      </c>
      <c r="C705" t="s">
        <v>177</v>
      </c>
      <c r="D705">
        <v>1175623</v>
      </c>
    </row>
    <row r="706" spans="1:4" x14ac:dyDescent="0.35">
      <c r="A706" s="1">
        <v>2019</v>
      </c>
      <c r="B706" t="s">
        <v>52</v>
      </c>
      <c r="C706" t="s">
        <v>53</v>
      </c>
      <c r="D706">
        <v>1079498</v>
      </c>
    </row>
    <row r="707" spans="1:4" x14ac:dyDescent="0.35">
      <c r="A707" s="1">
        <v>2019</v>
      </c>
      <c r="B707" t="s">
        <v>60</v>
      </c>
      <c r="C707" t="s">
        <v>61</v>
      </c>
      <c r="D707">
        <v>219316</v>
      </c>
    </row>
    <row r="708" spans="1:4" x14ac:dyDescent="0.35">
      <c r="A708" s="1">
        <v>2019</v>
      </c>
      <c r="B708" t="s">
        <v>62</v>
      </c>
      <c r="C708" t="s">
        <v>63</v>
      </c>
      <c r="D708">
        <v>610079</v>
      </c>
    </row>
    <row r="709" spans="1:4" x14ac:dyDescent="0.35">
      <c r="A709" s="1">
        <v>2019</v>
      </c>
      <c r="B709" t="s">
        <v>18</v>
      </c>
      <c r="C709" t="s">
        <v>19</v>
      </c>
      <c r="D709">
        <v>1271166</v>
      </c>
    </row>
    <row r="710" spans="1:4" x14ac:dyDescent="0.35">
      <c r="A710" s="1">
        <v>2019</v>
      </c>
      <c r="B710" t="s">
        <v>36</v>
      </c>
      <c r="C710" t="s">
        <v>37</v>
      </c>
      <c r="D710">
        <v>259199</v>
      </c>
    </row>
    <row r="711" spans="1:4" x14ac:dyDescent="0.35">
      <c r="A711" s="1">
        <v>2019</v>
      </c>
      <c r="B711" t="s">
        <v>152</v>
      </c>
      <c r="C711" t="s">
        <v>153</v>
      </c>
      <c r="D711">
        <v>413690</v>
      </c>
    </row>
    <row r="712" spans="1:4" x14ac:dyDescent="0.35">
      <c r="A712" s="1">
        <v>2019</v>
      </c>
      <c r="B712" t="s">
        <v>64</v>
      </c>
      <c r="C712" t="s">
        <v>65</v>
      </c>
      <c r="D712">
        <v>329470</v>
      </c>
    </row>
    <row r="713" spans="1:4" x14ac:dyDescent="0.35">
      <c r="A713" s="1">
        <v>2019</v>
      </c>
      <c r="B713" t="s">
        <v>20</v>
      </c>
      <c r="C713" t="s">
        <v>21</v>
      </c>
      <c r="D713">
        <v>765634</v>
      </c>
    </row>
    <row r="714" spans="1:4" x14ac:dyDescent="0.35">
      <c r="A714" s="1">
        <v>2019</v>
      </c>
      <c r="B714" t="s">
        <v>22</v>
      </c>
      <c r="C714" t="s">
        <v>23</v>
      </c>
      <c r="D714">
        <v>227570</v>
      </c>
    </row>
    <row r="715" spans="1:4" x14ac:dyDescent="0.35">
      <c r="A715" s="1">
        <v>2019</v>
      </c>
      <c r="B715" t="s">
        <v>190</v>
      </c>
      <c r="C715" t="s">
        <v>191</v>
      </c>
      <c r="D715">
        <v>1429272</v>
      </c>
    </row>
    <row r="716" spans="1:4" x14ac:dyDescent="0.35">
      <c r="A716" s="1">
        <v>2019</v>
      </c>
      <c r="B716" t="s">
        <v>66</v>
      </c>
      <c r="C716" t="s">
        <v>67</v>
      </c>
      <c r="D716">
        <v>680434</v>
      </c>
    </row>
    <row r="717" spans="1:4" x14ac:dyDescent="0.35">
      <c r="A717" s="1">
        <v>2019</v>
      </c>
      <c r="B717" t="s">
        <v>178</v>
      </c>
      <c r="C717" t="s">
        <v>179</v>
      </c>
      <c r="D717">
        <v>174094</v>
      </c>
    </row>
    <row r="718" spans="1:4" x14ac:dyDescent="0.35">
      <c r="A718" s="1">
        <v>2019</v>
      </c>
      <c r="B718" t="s">
        <v>154</v>
      </c>
      <c r="C718" t="s">
        <v>155</v>
      </c>
      <c r="D718">
        <v>331271</v>
      </c>
    </row>
    <row r="719" spans="1:4" x14ac:dyDescent="0.35">
      <c r="A719" s="1">
        <v>2019</v>
      </c>
      <c r="B719" t="s">
        <v>180</v>
      </c>
      <c r="C719" t="s">
        <v>181</v>
      </c>
      <c r="D719">
        <v>76604</v>
      </c>
    </row>
    <row r="720" spans="1:4" x14ac:dyDescent="0.35">
      <c r="A720" s="1">
        <v>2019</v>
      </c>
      <c r="B720" t="s">
        <v>192</v>
      </c>
      <c r="C720" t="s">
        <v>193</v>
      </c>
      <c r="D720">
        <v>818273</v>
      </c>
    </row>
    <row r="721" spans="1:4" x14ac:dyDescent="0.35">
      <c r="A721" s="1">
        <v>2019</v>
      </c>
      <c r="B721" t="s">
        <v>134</v>
      </c>
      <c r="C721" t="s">
        <v>135</v>
      </c>
      <c r="D721">
        <v>495045</v>
      </c>
    </row>
    <row r="722" spans="1:4" x14ac:dyDescent="0.35">
      <c r="A722" s="1">
        <v>2019</v>
      </c>
      <c r="B722" t="s">
        <v>88</v>
      </c>
      <c r="C722" t="s">
        <v>89</v>
      </c>
      <c r="D722">
        <v>566855</v>
      </c>
    </row>
    <row r="723" spans="1:4" x14ac:dyDescent="0.35">
      <c r="A723" s="1">
        <v>2019</v>
      </c>
      <c r="B723" t="s">
        <v>90</v>
      </c>
      <c r="C723" t="s">
        <v>91</v>
      </c>
      <c r="D723">
        <v>172512</v>
      </c>
    </row>
    <row r="724" spans="1:4" x14ac:dyDescent="0.35">
      <c r="A724" s="1">
        <v>2019</v>
      </c>
      <c r="B724" t="s">
        <v>194</v>
      </c>
      <c r="C724" t="s">
        <v>195</v>
      </c>
      <c r="D724">
        <v>307062</v>
      </c>
    </row>
    <row r="725" spans="1:4" x14ac:dyDescent="0.35">
      <c r="A725" s="1">
        <v>2019</v>
      </c>
      <c r="B725" t="s">
        <v>92</v>
      </c>
      <c r="C725" t="s">
        <v>93</v>
      </c>
      <c r="D725">
        <v>733760</v>
      </c>
    </row>
    <row r="726" spans="1:4" x14ac:dyDescent="0.35">
      <c r="A726" s="1">
        <v>2019</v>
      </c>
      <c r="B726" t="s">
        <v>94</v>
      </c>
      <c r="C726" t="s">
        <v>95</v>
      </c>
      <c r="D726">
        <v>184083</v>
      </c>
    </row>
    <row r="727" spans="1:4" x14ac:dyDescent="0.35">
      <c r="A727" s="1">
        <v>2019</v>
      </c>
      <c r="B727" t="s">
        <v>54</v>
      </c>
      <c r="C727" t="s">
        <v>55</v>
      </c>
      <c r="D727">
        <v>759684</v>
      </c>
    </row>
    <row r="728" spans="1:4" x14ac:dyDescent="0.35">
      <c r="A728" s="1">
        <v>2019</v>
      </c>
      <c r="B728" t="s">
        <v>96</v>
      </c>
      <c r="C728" t="s">
        <v>97</v>
      </c>
      <c r="D728">
        <v>1046543</v>
      </c>
    </row>
    <row r="729" spans="1:4" x14ac:dyDescent="0.35">
      <c r="A729" s="1">
        <v>2019</v>
      </c>
      <c r="B729" t="s">
        <v>38</v>
      </c>
      <c r="C729" t="s">
        <v>39</v>
      </c>
      <c r="D729">
        <v>204452</v>
      </c>
    </row>
    <row r="730" spans="1:4" x14ac:dyDescent="0.35">
      <c r="A730" s="1">
        <v>2019</v>
      </c>
      <c r="B730" t="s">
        <v>106</v>
      </c>
      <c r="C730" t="s">
        <v>107</v>
      </c>
      <c r="D730">
        <v>2608346</v>
      </c>
    </row>
    <row r="731" spans="1:4" x14ac:dyDescent="0.35">
      <c r="A731" s="1">
        <v>2019</v>
      </c>
      <c r="B731" t="s">
        <v>108</v>
      </c>
      <c r="C731" t="s">
        <v>109</v>
      </c>
      <c r="D731">
        <v>829419</v>
      </c>
    </row>
    <row r="732" spans="1:4" x14ac:dyDescent="0.35">
      <c r="A732" s="1">
        <v>2019</v>
      </c>
      <c r="B732" t="s">
        <v>136</v>
      </c>
      <c r="C732" t="s">
        <v>137</v>
      </c>
      <c r="D732">
        <v>279942</v>
      </c>
    </row>
    <row r="733" spans="1:4" x14ac:dyDescent="0.35">
      <c r="A733" s="1">
        <v>2019</v>
      </c>
      <c r="B733" t="s">
        <v>110</v>
      </c>
      <c r="C733" t="s">
        <v>111</v>
      </c>
      <c r="D733">
        <v>1465278</v>
      </c>
    </row>
    <row r="734" spans="1:4" x14ac:dyDescent="0.35">
      <c r="A734" s="1">
        <v>2019</v>
      </c>
      <c r="B734" t="s">
        <v>24</v>
      </c>
      <c r="C734" t="s">
        <v>25</v>
      </c>
      <c r="D734">
        <v>662152</v>
      </c>
    </row>
    <row r="735" spans="1:4" x14ac:dyDescent="0.35">
      <c r="A735" s="1">
        <v>2019</v>
      </c>
      <c r="B735" t="s">
        <v>156</v>
      </c>
      <c r="C735" t="s">
        <v>157</v>
      </c>
      <c r="D735">
        <v>682621</v>
      </c>
    </row>
    <row r="736" spans="1:4" x14ac:dyDescent="0.35">
      <c r="A736" s="1">
        <v>2019</v>
      </c>
      <c r="B736" t="s">
        <v>182</v>
      </c>
      <c r="C736" t="s">
        <v>183</v>
      </c>
      <c r="D736">
        <v>229567</v>
      </c>
    </row>
    <row r="737" spans="1:4" x14ac:dyDescent="0.35">
      <c r="A737" s="1">
        <v>2019</v>
      </c>
      <c r="B737" t="s">
        <v>184</v>
      </c>
      <c r="C737" t="s">
        <v>185</v>
      </c>
      <c r="D737">
        <v>479979</v>
      </c>
    </row>
    <row r="738" spans="1:4" x14ac:dyDescent="0.35">
      <c r="A738" s="1">
        <v>2019</v>
      </c>
      <c r="B738" t="s">
        <v>98</v>
      </c>
      <c r="C738" t="s">
        <v>99</v>
      </c>
      <c r="D738">
        <v>1140057</v>
      </c>
    </row>
    <row r="739" spans="1:4" x14ac:dyDescent="0.35">
      <c r="A739" s="1">
        <v>2019</v>
      </c>
      <c r="B739" t="s">
        <v>100</v>
      </c>
      <c r="C739" t="s">
        <v>101</v>
      </c>
      <c r="D739">
        <v>767086</v>
      </c>
    </row>
    <row r="740" spans="1:4" x14ac:dyDescent="0.35">
      <c r="A740" s="1">
        <v>2019</v>
      </c>
      <c r="B740" t="s">
        <v>26</v>
      </c>
      <c r="C740" t="s">
        <v>27</v>
      </c>
      <c r="D740">
        <v>1875747</v>
      </c>
    </row>
    <row r="741" spans="1:4" x14ac:dyDescent="0.35">
      <c r="A741" s="1">
        <v>2019</v>
      </c>
      <c r="B741" t="s">
        <v>40</v>
      </c>
      <c r="C741" t="s">
        <v>41</v>
      </c>
      <c r="D741">
        <v>235313</v>
      </c>
    </row>
    <row r="742" spans="1:4" x14ac:dyDescent="0.35">
      <c r="A742" s="1">
        <v>2019</v>
      </c>
      <c r="B742" t="s">
        <v>42</v>
      </c>
      <c r="C742" t="s">
        <v>43</v>
      </c>
      <c r="D742">
        <v>551493</v>
      </c>
    </row>
    <row r="743" spans="1:4" x14ac:dyDescent="0.35">
      <c r="A743" s="1">
        <v>2019</v>
      </c>
      <c r="B743" t="s">
        <v>196</v>
      </c>
      <c r="C743" t="s">
        <v>197</v>
      </c>
      <c r="D743">
        <v>566412</v>
      </c>
    </row>
    <row r="744" spans="1:4" x14ac:dyDescent="0.35">
      <c r="A744" s="1">
        <v>2019</v>
      </c>
      <c r="B744" t="s">
        <v>28</v>
      </c>
      <c r="C744" t="s">
        <v>29</v>
      </c>
      <c r="D744">
        <v>436434</v>
      </c>
    </row>
    <row r="745" spans="1:4" x14ac:dyDescent="0.35">
      <c r="A745" s="1">
        <v>2019</v>
      </c>
      <c r="B745" t="s">
        <v>30</v>
      </c>
      <c r="C745" t="s">
        <v>31</v>
      </c>
      <c r="D745">
        <v>826094</v>
      </c>
    </row>
    <row r="746" spans="1:4" x14ac:dyDescent="0.35">
      <c r="A746" s="1">
        <v>2019</v>
      </c>
      <c r="B746" t="s">
        <v>114</v>
      </c>
      <c r="C746" t="s">
        <v>115</v>
      </c>
      <c r="D746">
        <v>2165423</v>
      </c>
    </row>
    <row r="747" spans="1:4" x14ac:dyDescent="0.35">
      <c r="A747" s="1">
        <v>2019</v>
      </c>
      <c r="B747" t="s">
        <v>138</v>
      </c>
      <c r="C747" t="s">
        <v>139</v>
      </c>
      <c r="D747">
        <v>1255633</v>
      </c>
    </row>
    <row r="748" spans="1:4" x14ac:dyDescent="0.35">
      <c r="A748" s="1">
        <v>2019</v>
      </c>
      <c r="B748" t="s">
        <v>116</v>
      </c>
      <c r="C748" t="s">
        <v>117</v>
      </c>
      <c r="D748">
        <v>1421197</v>
      </c>
    </row>
    <row r="749" spans="1:4" x14ac:dyDescent="0.35">
      <c r="A749" s="1">
        <v>2019</v>
      </c>
      <c r="B749" t="s">
        <v>118</v>
      </c>
      <c r="C749" t="s">
        <v>119</v>
      </c>
      <c r="D749">
        <v>1448207</v>
      </c>
    </row>
    <row r="750" spans="1:4" x14ac:dyDescent="0.35">
      <c r="A750" s="1">
        <v>2019</v>
      </c>
      <c r="B750" t="s">
        <v>158</v>
      </c>
      <c r="C750" t="s">
        <v>159</v>
      </c>
      <c r="D750">
        <v>374878</v>
      </c>
    </row>
    <row r="751" spans="1:4" x14ac:dyDescent="0.35">
      <c r="A751" s="1">
        <v>2019</v>
      </c>
      <c r="B751" t="s">
        <v>112</v>
      </c>
      <c r="C751" t="s">
        <v>113</v>
      </c>
      <c r="D751">
        <v>570559</v>
      </c>
    </row>
    <row r="752" spans="1:4" x14ac:dyDescent="0.35">
      <c r="A752" s="1">
        <v>2019</v>
      </c>
      <c r="B752" t="s">
        <v>186</v>
      </c>
      <c r="C752" t="s">
        <v>187</v>
      </c>
      <c r="D752">
        <v>389844</v>
      </c>
    </row>
    <row r="753" spans="1:4" x14ac:dyDescent="0.35">
      <c r="A753" s="1">
        <v>2019</v>
      </c>
      <c r="B753" t="s">
        <v>188</v>
      </c>
      <c r="C753" t="s">
        <v>189</v>
      </c>
      <c r="D753">
        <v>260669</v>
      </c>
    </row>
    <row r="754" spans="1:4" x14ac:dyDescent="0.35">
      <c r="A754" s="1">
        <v>2019</v>
      </c>
      <c r="B754" t="s">
        <v>208</v>
      </c>
      <c r="C754" t="s">
        <v>209</v>
      </c>
      <c r="D754">
        <v>1076711</v>
      </c>
    </row>
    <row r="755" spans="1:4" x14ac:dyDescent="0.35">
      <c r="A755" s="1">
        <v>2019</v>
      </c>
      <c r="B755" t="s">
        <v>210</v>
      </c>
      <c r="C755" t="s">
        <v>211</v>
      </c>
      <c r="D755">
        <v>561469</v>
      </c>
    </row>
    <row r="756" spans="1:4" x14ac:dyDescent="0.35">
      <c r="A756" s="1">
        <v>2019</v>
      </c>
      <c r="B756" t="s">
        <v>198</v>
      </c>
      <c r="C756" t="s">
        <v>199</v>
      </c>
      <c r="D756">
        <v>685442</v>
      </c>
    </row>
    <row r="757" spans="1:4" x14ac:dyDescent="0.35">
      <c r="A757" s="1">
        <v>2019</v>
      </c>
      <c r="B757" t="s">
        <v>160</v>
      </c>
      <c r="C757" t="s">
        <v>161</v>
      </c>
      <c r="D757">
        <v>438435</v>
      </c>
    </row>
    <row r="758" spans="1:4" x14ac:dyDescent="0.35">
      <c r="A758" s="1">
        <v>2019</v>
      </c>
      <c r="B758" t="s">
        <v>162</v>
      </c>
      <c r="C758" t="s">
        <v>163</v>
      </c>
      <c r="D758">
        <v>372359</v>
      </c>
    </row>
    <row r="759" spans="1:4" x14ac:dyDescent="0.35">
      <c r="A759" s="1">
        <v>2019</v>
      </c>
      <c r="B759" t="s">
        <v>102</v>
      </c>
      <c r="C759" t="s">
        <v>103</v>
      </c>
      <c r="D759">
        <v>364499</v>
      </c>
    </row>
    <row r="760" spans="1:4" x14ac:dyDescent="0.35">
      <c r="A760" s="1">
        <v>2019</v>
      </c>
      <c r="B760" t="s">
        <v>44</v>
      </c>
      <c r="C760" t="s">
        <v>45</v>
      </c>
      <c r="D760">
        <v>335707</v>
      </c>
    </row>
    <row r="761" spans="1:4" x14ac:dyDescent="0.35">
      <c r="A761" s="1">
        <v>2019</v>
      </c>
      <c r="B761" t="s">
        <v>46</v>
      </c>
      <c r="C761" t="s">
        <v>221</v>
      </c>
      <c r="D761">
        <v>141318</v>
      </c>
    </row>
    <row r="762" spans="1:4" x14ac:dyDescent="0.35">
      <c r="A762" s="1">
        <v>2019</v>
      </c>
      <c r="B762" t="s">
        <v>120</v>
      </c>
      <c r="C762" t="s">
        <v>121</v>
      </c>
      <c r="D762">
        <v>1301659</v>
      </c>
    </row>
    <row r="763" spans="1:4" x14ac:dyDescent="0.35">
      <c r="A763" s="1">
        <v>2019</v>
      </c>
      <c r="B763" t="s">
        <v>122</v>
      </c>
      <c r="C763" t="s">
        <v>222</v>
      </c>
      <c r="D763">
        <v>1624357</v>
      </c>
    </row>
    <row r="764" spans="1:4" x14ac:dyDescent="0.35">
      <c r="A764" s="1">
        <v>2019</v>
      </c>
      <c r="B764" t="s">
        <v>124</v>
      </c>
      <c r="C764" t="s">
        <v>125</v>
      </c>
      <c r="D764">
        <v>1644903</v>
      </c>
    </row>
    <row r="765" spans="1:4" x14ac:dyDescent="0.35">
      <c r="A765" s="1">
        <v>2019</v>
      </c>
      <c r="B765" t="s">
        <v>126</v>
      </c>
      <c r="C765" t="s">
        <v>127</v>
      </c>
      <c r="D765">
        <v>1407124</v>
      </c>
    </row>
    <row r="766" spans="1:4" x14ac:dyDescent="0.35">
      <c r="A766" s="1">
        <v>2019</v>
      </c>
      <c r="B766" t="s">
        <v>128</v>
      </c>
      <c r="C766" t="s">
        <v>129</v>
      </c>
      <c r="D766">
        <v>1249674</v>
      </c>
    </row>
    <row r="767" spans="1:4" x14ac:dyDescent="0.35">
      <c r="A767" s="1">
        <v>2019</v>
      </c>
      <c r="B767" t="s">
        <v>223</v>
      </c>
      <c r="D767">
        <v>65096768</v>
      </c>
    </row>
    <row r="768" spans="1:4" x14ac:dyDescent="0.35">
      <c r="A768" s="1">
        <v>2019</v>
      </c>
      <c r="B768">
        <v>971</v>
      </c>
      <c r="C768" t="s">
        <v>224</v>
      </c>
      <c r="D768">
        <v>384239</v>
      </c>
    </row>
    <row r="769" spans="1:4" x14ac:dyDescent="0.35">
      <c r="A769" s="1">
        <v>2019</v>
      </c>
      <c r="B769">
        <v>972</v>
      </c>
      <c r="C769" t="s">
        <v>225</v>
      </c>
      <c r="D769">
        <v>364508</v>
      </c>
    </row>
    <row r="770" spans="1:4" x14ac:dyDescent="0.35">
      <c r="A770" s="1">
        <v>2019</v>
      </c>
      <c r="B770">
        <v>973</v>
      </c>
      <c r="C770" t="s">
        <v>77</v>
      </c>
      <c r="D770">
        <v>281678</v>
      </c>
    </row>
    <row r="771" spans="1:4" x14ac:dyDescent="0.35">
      <c r="A771" s="1">
        <v>2019</v>
      </c>
      <c r="B771">
        <v>974</v>
      </c>
      <c r="C771" t="s">
        <v>79</v>
      </c>
      <c r="D771">
        <v>861210</v>
      </c>
    </row>
    <row r="772" spans="1:4" x14ac:dyDescent="0.35">
      <c r="A772" s="1">
        <v>2019</v>
      </c>
      <c r="B772">
        <v>976</v>
      </c>
      <c r="C772" t="s">
        <v>215</v>
      </c>
      <c r="D772">
        <v>269579</v>
      </c>
    </row>
    <row r="773" spans="1:4" x14ac:dyDescent="0.35">
      <c r="A773" s="1">
        <v>2019</v>
      </c>
      <c r="B773" t="s">
        <v>226</v>
      </c>
      <c r="D773">
        <v>2161214</v>
      </c>
    </row>
    <row r="774" spans="1:4" x14ac:dyDescent="0.35">
      <c r="A774" s="1">
        <v>2019</v>
      </c>
      <c r="B774" t="s">
        <v>227</v>
      </c>
      <c r="D774">
        <v>67257982</v>
      </c>
    </row>
    <row r="775" spans="1:4" x14ac:dyDescent="0.35">
      <c r="A775" s="1">
        <v>2019</v>
      </c>
    </row>
    <row r="776" spans="1:4" x14ac:dyDescent="0.35">
      <c r="A776" s="1">
        <v>2019</v>
      </c>
      <c r="B776" t="s">
        <v>242</v>
      </c>
    </row>
    <row r="777" spans="1:4" x14ac:dyDescent="0.35">
      <c r="A777" s="1">
        <v>2018</v>
      </c>
      <c r="B777" t="s">
        <v>229</v>
      </c>
    </row>
    <row r="778" spans="1:4" x14ac:dyDescent="0.35">
      <c r="A778" s="1">
        <v>2018</v>
      </c>
      <c r="B778" t="s">
        <v>243</v>
      </c>
    </row>
    <row r="779" spans="1:4" x14ac:dyDescent="0.35">
      <c r="A779" s="1">
        <v>2018</v>
      </c>
    </row>
    <row r="780" spans="1:4" x14ac:dyDescent="0.35">
      <c r="A780" s="1">
        <v>2018</v>
      </c>
      <c r="B780" t="s">
        <v>231</v>
      </c>
    </row>
    <row r="781" spans="1:4" x14ac:dyDescent="0.35">
      <c r="A781" s="1">
        <v>2018</v>
      </c>
      <c r="D781" t="s">
        <v>232</v>
      </c>
    </row>
    <row r="782" spans="1:4" x14ac:dyDescent="0.35">
      <c r="A782" s="1">
        <v>2018</v>
      </c>
      <c r="B782" t="s">
        <v>5</v>
      </c>
      <c r="C782" t="s">
        <v>6</v>
      </c>
      <c r="D782">
        <v>647634</v>
      </c>
    </row>
    <row r="783" spans="1:4" x14ac:dyDescent="0.35">
      <c r="A783" s="1">
        <v>2018</v>
      </c>
      <c r="B783" t="s">
        <v>104</v>
      </c>
      <c r="C783" t="s">
        <v>105</v>
      </c>
      <c r="D783">
        <v>533316</v>
      </c>
    </row>
    <row r="784" spans="1:4" x14ac:dyDescent="0.35">
      <c r="A784" s="1">
        <v>2018</v>
      </c>
      <c r="B784" t="s">
        <v>10</v>
      </c>
      <c r="C784" t="s">
        <v>11</v>
      </c>
      <c r="D784">
        <v>337171</v>
      </c>
    </row>
    <row r="785" spans="1:4" x14ac:dyDescent="0.35">
      <c r="A785" s="1">
        <v>2018</v>
      </c>
      <c r="B785" t="s">
        <v>200</v>
      </c>
      <c r="C785" t="s">
        <v>201</v>
      </c>
      <c r="D785">
        <v>164068</v>
      </c>
    </row>
    <row r="786" spans="1:4" x14ac:dyDescent="0.35">
      <c r="A786" s="1">
        <v>2018</v>
      </c>
      <c r="B786" t="s">
        <v>202</v>
      </c>
      <c r="C786" t="s">
        <v>203</v>
      </c>
      <c r="D786">
        <v>140698</v>
      </c>
    </row>
    <row r="787" spans="1:4" x14ac:dyDescent="0.35">
      <c r="A787" s="1">
        <v>2018</v>
      </c>
      <c r="B787" t="s">
        <v>204</v>
      </c>
      <c r="C787" t="s">
        <v>205</v>
      </c>
      <c r="D787">
        <v>1086219</v>
      </c>
    </row>
    <row r="788" spans="1:4" x14ac:dyDescent="0.35">
      <c r="A788" s="1">
        <v>2018</v>
      </c>
      <c r="B788" t="s">
        <v>12</v>
      </c>
      <c r="C788" t="s">
        <v>13</v>
      </c>
      <c r="D788">
        <v>326606</v>
      </c>
    </row>
    <row r="789" spans="1:4" x14ac:dyDescent="0.35">
      <c r="A789" s="1">
        <v>2018</v>
      </c>
      <c r="B789" t="s">
        <v>84</v>
      </c>
      <c r="C789" t="s">
        <v>85</v>
      </c>
      <c r="D789">
        <v>271845</v>
      </c>
    </row>
    <row r="790" spans="1:4" x14ac:dyDescent="0.35">
      <c r="A790" s="1">
        <v>2018</v>
      </c>
      <c r="B790" t="s">
        <v>164</v>
      </c>
      <c r="C790" t="s">
        <v>165</v>
      </c>
      <c r="D790">
        <v>153066</v>
      </c>
    </row>
    <row r="791" spans="1:4" x14ac:dyDescent="0.35">
      <c r="A791" s="1">
        <v>2018</v>
      </c>
      <c r="B791" t="s">
        <v>86</v>
      </c>
      <c r="C791" t="s">
        <v>87</v>
      </c>
      <c r="D791">
        <v>310020</v>
      </c>
    </row>
    <row r="792" spans="1:4" x14ac:dyDescent="0.35">
      <c r="A792" s="1">
        <v>2018</v>
      </c>
      <c r="B792" t="s">
        <v>166</v>
      </c>
      <c r="C792" t="s">
        <v>167</v>
      </c>
      <c r="D792">
        <v>372806</v>
      </c>
    </row>
    <row r="793" spans="1:4" x14ac:dyDescent="0.35">
      <c r="A793" s="1">
        <v>2018</v>
      </c>
      <c r="B793" t="s">
        <v>168</v>
      </c>
      <c r="C793" t="s">
        <v>169</v>
      </c>
      <c r="D793">
        <v>279274</v>
      </c>
    </row>
    <row r="794" spans="1:4" x14ac:dyDescent="0.35">
      <c r="A794" s="1">
        <v>2018</v>
      </c>
      <c r="B794" t="s">
        <v>206</v>
      </c>
      <c r="C794" t="s">
        <v>207</v>
      </c>
      <c r="D794">
        <v>2034357</v>
      </c>
    </row>
    <row r="795" spans="1:4" x14ac:dyDescent="0.35">
      <c r="A795" s="1">
        <v>2018</v>
      </c>
      <c r="B795" t="s">
        <v>130</v>
      </c>
      <c r="C795" t="s">
        <v>131</v>
      </c>
      <c r="D795">
        <v>694056</v>
      </c>
    </row>
    <row r="796" spans="1:4" x14ac:dyDescent="0.35">
      <c r="A796" s="1">
        <v>2018</v>
      </c>
      <c r="B796" t="s">
        <v>14</v>
      </c>
      <c r="C796" t="s">
        <v>15</v>
      </c>
      <c r="D796">
        <v>144765</v>
      </c>
    </row>
    <row r="797" spans="1:4" x14ac:dyDescent="0.35">
      <c r="A797" s="1">
        <v>2018</v>
      </c>
      <c r="B797" t="s">
        <v>140</v>
      </c>
      <c r="C797" t="s">
        <v>141</v>
      </c>
      <c r="D797">
        <v>351778</v>
      </c>
    </row>
    <row r="798" spans="1:4" x14ac:dyDescent="0.35">
      <c r="A798" s="1">
        <v>2018</v>
      </c>
      <c r="B798" t="s">
        <v>142</v>
      </c>
      <c r="C798" t="s">
        <v>143</v>
      </c>
      <c r="D798">
        <v>646932</v>
      </c>
    </row>
    <row r="799" spans="1:4" x14ac:dyDescent="0.35">
      <c r="A799" s="1">
        <v>2018</v>
      </c>
      <c r="B799" t="s">
        <v>56</v>
      </c>
      <c r="C799" t="s">
        <v>57</v>
      </c>
      <c r="D799">
        <v>303408</v>
      </c>
    </row>
    <row r="800" spans="1:4" x14ac:dyDescent="0.35">
      <c r="A800" s="1">
        <v>2018</v>
      </c>
      <c r="B800" t="s">
        <v>144</v>
      </c>
      <c r="C800" t="s">
        <v>145</v>
      </c>
      <c r="D800">
        <v>240583</v>
      </c>
    </row>
    <row r="801" spans="1:4" x14ac:dyDescent="0.35">
      <c r="A801" s="1">
        <v>2018</v>
      </c>
      <c r="B801" t="s">
        <v>68</v>
      </c>
      <c r="C801" t="s">
        <v>69</v>
      </c>
      <c r="D801">
        <v>157853</v>
      </c>
    </row>
    <row r="802" spans="1:4" x14ac:dyDescent="0.35">
      <c r="A802" s="1">
        <v>2018</v>
      </c>
      <c r="B802" t="s">
        <v>70</v>
      </c>
      <c r="C802" t="s">
        <v>71</v>
      </c>
      <c r="D802">
        <v>180701</v>
      </c>
    </row>
    <row r="803" spans="1:4" x14ac:dyDescent="0.35">
      <c r="A803" s="1">
        <v>2018</v>
      </c>
      <c r="B803" t="s">
        <v>32</v>
      </c>
      <c r="C803" t="s">
        <v>219</v>
      </c>
      <c r="D803">
        <v>533220</v>
      </c>
    </row>
    <row r="804" spans="1:4" x14ac:dyDescent="0.35">
      <c r="A804" s="1">
        <v>2018</v>
      </c>
      <c r="B804" t="s">
        <v>48</v>
      </c>
      <c r="C804" t="s">
        <v>220</v>
      </c>
      <c r="D804">
        <v>599584</v>
      </c>
    </row>
    <row r="805" spans="1:4" x14ac:dyDescent="0.35">
      <c r="A805" s="1">
        <v>2018</v>
      </c>
      <c r="B805" t="s">
        <v>146</v>
      </c>
      <c r="C805" t="s">
        <v>147</v>
      </c>
      <c r="D805">
        <v>117503</v>
      </c>
    </row>
    <row r="806" spans="1:4" x14ac:dyDescent="0.35">
      <c r="A806" s="1">
        <v>2018</v>
      </c>
      <c r="B806" t="s">
        <v>148</v>
      </c>
      <c r="C806" t="s">
        <v>149</v>
      </c>
      <c r="D806">
        <v>413418</v>
      </c>
    </row>
    <row r="807" spans="1:4" x14ac:dyDescent="0.35">
      <c r="A807" s="1">
        <v>2018</v>
      </c>
      <c r="B807" t="s">
        <v>34</v>
      </c>
      <c r="C807" t="s">
        <v>35</v>
      </c>
      <c r="D807">
        <v>541454</v>
      </c>
    </row>
    <row r="808" spans="1:4" x14ac:dyDescent="0.35">
      <c r="A808" s="1">
        <v>2018</v>
      </c>
      <c r="B808" t="s">
        <v>16</v>
      </c>
      <c r="C808" t="s">
        <v>17</v>
      </c>
      <c r="D808">
        <v>514732</v>
      </c>
    </row>
    <row r="809" spans="1:4" x14ac:dyDescent="0.35">
      <c r="A809" s="1">
        <v>2018</v>
      </c>
      <c r="B809" t="s">
        <v>132</v>
      </c>
      <c r="C809" t="s">
        <v>133</v>
      </c>
      <c r="D809">
        <v>599962</v>
      </c>
    </row>
    <row r="810" spans="1:4" x14ac:dyDescent="0.35">
      <c r="A810" s="1">
        <v>2018</v>
      </c>
      <c r="B810" t="s">
        <v>58</v>
      </c>
      <c r="C810" t="s">
        <v>59</v>
      </c>
      <c r="D810">
        <v>431997</v>
      </c>
    </row>
    <row r="811" spans="1:4" x14ac:dyDescent="0.35">
      <c r="A811" s="1">
        <v>2018</v>
      </c>
      <c r="B811" t="s">
        <v>50</v>
      </c>
      <c r="C811" t="s">
        <v>51</v>
      </c>
      <c r="D811">
        <v>911735</v>
      </c>
    </row>
    <row r="812" spans="1:4" x14ac:dyDescent="0.35">
      <c r="A812" s="1">
        <v>2018</v>
      </c>
      <c r="B812" t="s">
        <v>170</v>
      </c>
      <c r="C812" t="s">
        <v>171</v>
      </c>
      <c r="D812">
        <v>745458</v>
      </c>
    </row>
    <row r="813" spans="1:4" x14ac:dyDescent="0.35">
      <c r="A813" s="1">
        <v>2018</v>
      </c>
      <c r="B813" t="s">
        <v>172</v>
      </c>
      <c r="C813" t="s">
        <v>173</v>
      </c>
      <c r="D813">
        <v>1380672</v>
      </c>
    </row>
    <row r="814" spans="1:4" x14ac:dyDescent="0.35">
      <c r="A814" s="1">
        <v>2018</v>
      </c>
      <c r="B814" t="s">
        <v>174</v>
      </c>
      <c r="C814" t="s">
        <v>175</v>
      </c>
      <c r="D814">
        <v>191283</v>
      </c>
    </row>
    <row r="815" spans="1:4" x14ac:dyDescent="0.35">
      <c r="A815" s="1">
        <v>2018</v>
      </c>
      <c r="B815" t="s">
        <v>150</v>
      </c>
      <c r="C815" t="s">
        <v>151</v>
      </c>
      <c r="D815">
        <v>1601845</v>
      </c>
    </row>
    <row r="816" spans="1:4" x14ac:dyDescent="0.35">
      <c r="A816" s="1">
        <v>2018</v>
      </c>
      <c r="B816" t="s">
        <v>176</v>
      </c>
      <c r="C816" t="s">
        <v>177</v>
      </c>
      <c r="D816">
        <v>1159220</v>
      </c>
    </row>
    <row r="817" spans="1:4" x14ac:dyDescent="0.35">
      <c r="A817" s="1">
        <v>2018</v>
      </c>
      <c r="B817" t="s">
        <v>52</v>
      </c>
      <c r="C817" t="s">
        <v>53</v>
      </c>
      <c r="D817">
        <v>1069228</v>
      </c>
    </row>
    <row r="818" spans="1:4" x14ac:dyDescent="0.35">
      <c r="A818" s="1">
        <v>2018</v>
      </c>
      <c r="B818" t="s">
        <v>60</v>
      </c>
      <c r="C818" t="s">
        <v>61</v>
      </c>
      <c r="D818">
        <v>220595</v>
      </c>
    </row>
    <row r="819" spans="1:4" x14ac:dyDescent="0.35">
      <c r="A819" s="1">
        <v>2018</v>
      </c>
      <c r="B819" t="s">
        <v>62</v>
      </c>
      <c r="C819" t="s">
        <v>63</v>
      </c>
      <c r="D819">
        <v>607760</v>
      </c>
    </row>
    <row r="820" spans="1:4" x14ac:dyDescent="0.35">
      <c r="A820" s="1">
        <v>2018</v>
      </c>
      <c r="B820" t="s">
        <v>18</v>
      </c>
      <c r="C820" t="s">
        <v>19</v>
      </c>
      <c r="D820">
        <v>1263563</v>
      </c>
    </row>
    <row r="821" spans="1:4" x14ac:dyDescent="0.35">
      <c r="A821" s="1">
        <v>2018</v>
      </c>
      <c r="B821" t="s">
        <v>36</v>
      </c>
      <c r="C821" t="s">
        <v>37</v>
      </c>
      <c r="D821">
        <v>259746</v>
      </c>
    </row>
    <row r="822" spans="1:4" x14ac:dyDescent="0.35">
      <c r="A822" s="1">
        <v>2018</v>
      </c>
      <c r="B822" t="s">
        <v>152</v>
      </c>
      <c r="C822" t="s">
        <v>153</v>
      </c>
      <c r="D822">
        <v>410355</v>
      </c>
    </row>
    <row r="823" spans="1:4" x14ac:dyDescent="0.35">
      <c r="A823" s="1">
        <v>2018</v>
      </c>
      <c r="B823" t="s">
        <v>64</v>
      </c>
      <c r="C823" t="s">
        <v>65</v>
      </c>
      <c r="D823">
        <v>330248</v>
      </c>
    </row>
    <row r="824" spans="1:4" x14ac:dyDescent="0.35">
      <c r="A824" s="1">
        <v>2018</v>
      </c>
      <c r="B824" t="s">
        <v>20</v>
      </c>
      <c r="C824" t="s">
        <v>21</v>
      </c>
      <c r="D824">
        <v>763441</v>
      </c>
    </row>
    <row r="825" spans="1:4" x14ac:dyDescent="0.35">
      <c r="A825" s="1">
        <v>2018</v>
      </c>
      <c r="B825" t="s">
        <v>22</v>
      </c>
      <c r="C825" t="s">
        <v>23</v>
      </c>
      <c r="D825">
        <v>227552</v>
      </c>
    </row>
    <row r="826" spans="1:4" x14ac:dyDescent="0.35">
      <c r="A826" s="1">
        <v>2018</v>
      </c>
      <c r="B826" t="s">
        <v>190</v>
      </c>
      <c r="C826" t="s">
        <v>191</v>
      </c>
      <c r="D826">
        <v>1412502</v>
      </c>
    </row>
    <row r="827" spans="1:4" x14ac:dyDescent="0.35">
      <c r="A827" s="1">
        <v>2018</v>
      </c>
      <c r="B827" t="s">
        <v>66</v>
      </c>
      <c r="C827" t="s">
        <v>67</v>
      </c>
      <c r="D827">
        <v>678845</v>
      </c>
    </row>
    <row r="828" spans="1:4" x14ac:dyDescent="0.35">
      <c r="A828" s="1">
        <v>2018</v>
      </c>
      <c r="B828" t="s">
        <v>178</v>
      </c>
      <c r="C828" t="s">
        <v>179</v>
      </c>
      <c r="D828">
        <v>173929</v>
      </c>
    </row>
    <row r="829" spans="1:4" x14ac:dyDescent="0.35">
      <c r="A829" s="1">
        <v>2018</v>
      </c>
      <c r="B829" t="s">
        <v>154</v>
      </c>
      <c r="C829" t="s">
        <v>155</v>
      </c>
      <c r="D829">
        <v>331970</v>
      </c>
    </row>
    <row r="830" spans="1:4" x14ac:dyDescent="0.35">
      <c r="A830" s="1">
        <v>2018</v>
      </c>
      <c r="B830" t="s">
        <v>180</v>
      </c>
      <c r="C830" t="s">
        <v>181</v>
      </c>
      <c r="D830">
        <v>76520</v>
      </c>
    </row>
    <row r="831" spans="1:4" x14ac:dyDescent="0.35">
      <c r="A831" s="1">
        <v>2018</v>
      </c>
      <c r="B831" t="s">
        <v>192</v>
      </c>
      <c r="C831" t="s">
        <v>193</v>
      </c>
      <c r="D831">
        <v>815883</v>
      </c>
    </row>
    <row r="832" spans="1:4" x14ac:dyDescent="0.35">
      <c r="A832" s="1">
        <v>2018</v>
      </c>
      <c r="B832" t="s">
        <v>134</v>
      </c>
      <c r="C832" t="s">
        <v>135</v>
      </c>
      <c r="D832">
        <v>495983</v>
      </c>
    </row>
    <row r="833" spans="1:4" x14ac:dyDescent="0.35">
      <c r="A833" s="1">
        <v>2018</v>
      </c>
      <c r="B833" t="s">
        <v>88</v>
      </c>
      <c r="C833" t="s">
        <v>89</v>
      </c>
      <c r="D833">
        <v>567462</v>
      </c>
    </row>
    <row r="834" spans="1:4" x14ac:dyDescent="0.35">
      <c r="A834" s="1">
        <v>2018</v>
      </c>
      <c r="B834" t="s">
        <v>90</v>
      </c>
      <c r="C834" t="s">
        <v>91</v>
      </c>
      <c r="D834">
        <v>174069</v>
      </c>
    </row>
    <row r="835" spans="1:4" x14ac:dyDescent="0.35">
      <c r="A835" s="1">
        <v>2018</v>
      </c>
      <c r="B835" t="s">
        <v>194</v>
      </c>
      <c r="C835" t="s">
        <v>195</v>
      </c>
      <c r="D835">
        <v>307084</v>
      </c>
    </row>
    <row r="836" spans="1:4" x14ac:dyDescent="0.35">
      <c r="A836" s="1">
        <v>2018</v>
      </c>
      <c r="B836" t="s">
        <v>92</v>
      </c>
      <c r="C836" t="s">
        <v>93</v>
      </c>
      <c r="D836">
        <v>733469</v>
      </c>
    </row>
    <row r="837" spans="1:4" x14ac:dyDescent="0.35">
      <c r="A837" s="1">
        <v>2018</v>
      </c>
      <c r="B837" t="s">
        <v>94</v>
      </c>
      <c r="C837" t="s">
        <v>95</v>
      </c>
      <c r="D837">
        <v>185355</v>
      </c>
    </row>
    <row r="838" spans="1:4" x14ac:dyDescent="0.35">
      <c r="A838" s="1">
        <v>2018</v>
      </c>
      <c r="B838" t="s">
        <v>54</v>
      </c>
      <c r="C838" t="s">
        <v>55</v>
      </c>
      <c r="D838">
        <v>754867</v>
      </c>
    </row>
    <row r="839" spans="1:4" x14ac:dyDescent="0.35">
      <c r="A839" s="1">
        <v>2018</v>
      </c>
      <c r="B839" t="s">
        <v>96</v>
      </c>
      <c r="C839" t="s">
        <v>97</v>
      </c>
      <c r="D839">
        <v>1043524</v>
      </c>
    </row>
    <row r="840" spans="1:4" x14ac:dyDescent="0.35">
      <c r="A840" s="1">
        <v>2018</v>
      </c>
      <c r="B840" t="s">
        <v>38</v>
      </c>
      <c r="C840" t="s">
        <v>39</v>
      </c>
      <c r="D840">
        <v>205828</v>
      </c>
    </row>
    <row r="841" spans="1:4" x14ac:dyDescent="0.35">
      <c r="A841" s="1">
        <v>2018</v>
      </c>
      <c r="B841" t="s">
        <v>106</v>
      </c>
      <c r="C841" t="s">
        <v>107</v>
      </c>
      <c r="D841">
        <v>2606234</v>
      </c>
    </row>
    <row r="842" spans="1:4" x14ac:dyDescent="0.35">
      <c r="A842" s="1">
        <v>2018</v>
      </c>
      <c r="B842" t="s">
        <v>108</v>
      </c>
      <c r="C842" t="s">
        <v>109</v>
      </c>
      <c r="D842">
        <v>827153</v>
      </c>
    </row>
    <row r="843" spans="1:4" x14ac:dyDescent="0.35">
      <c r="A843" s="1">
        <v>2018</v>
      </c>
      <c r="B843" t="s">
        <v>136</v>
      </c>
      <c r="C843" t="s">
        <v>137</v>
      </c>
      <c r="D843">
        <v>281593</v>
      </c>
    </row>
    <row r="844" spans="1:4" x14ac:dyDescent="0.35">
      <c r="A844" s="1">
        <v>2018</v>
      </c>
      <c r="B844" t="s">
        <v>110</v>
      </c>
      <c r="C844" t="s">
        <v>111</v>
      </c>
      <c r="D844">
        <v>1466743</v>
      </c>
    </row>
    <row r="845" spans="1:4" x14ac:dyDescent="0.35">
      <c r="A845" s="1">
        <v>2018</v>
      </c>
      <c r="B845" t="s">
        <v>24</v>
      </c>
      <c r="C845" t="s">
        <v>25</v>
      </c>
      <c r="D845">
        <v>659048</v>
      </c>
    </row>
    <row r="846" spans="1:4" x14ac:dyDescent="0.35">
      <c r="A846" s="1">
        <v>2018</v>
      </c>
      <c r="B846" t="s">
        <v>156</v>
      </c>
      <c r="C846" t="s">
        <v>157</v>
      </c>
      <c r="D846">
        <v>679810</v>
      </c>
    </row>
    <row r="847" spans="1:4" x14ac:dyDescent="0.35">
      <c r="A847" s="1">
        <v>2018</v>
      </c>
      <c r="B847" t="s">
        <v>182</v>
      </c>
      <c r="C847" t="s">
        <v>183</v>
      </c>
      <c r="D847">
        <v>229191</v>
      </c>
    </row>
    <row r="848" spans="1:4" x14ac:dyDescent="0.35">
      <c r="A848" s="1">
        <v>2018</v>
      </c>
      <c r="B848" t="s">
        <v>184</v>
      </c>
      <c r="C848" t="s">
        <v>185</v>
      </c>
      <c r="D848">
        <v>476357</v>
      </c>
    </row>
    <row r="849" spans="1:4" x14ac:dyDescent="0.35">
      <c r="A849" s="1">
        <v>2018</v>
      </c>
      <c r="B849" t="s">
        <v>98</v>
      </c>
      <c r="C849" t="s">
        <v>99</v>
      </c>
      <c r="D849">
        <v>1133552</v>
      </c>
    </row>
    <row r="850" spans="1:4" x14ac:dyDescent="0.35">
      <c r="A850" s="1">
        <v>2018</v>
      </c>
      <c r="B850" t="s">
        <v>100</v>
      </c>
      <c r="C850" t="s">
        <v>101</v>
      </c>
      <c r="D850">
        <v>764981</v>
      </c>
    </row>
    <row r="851" spans="1:4" x14ac:dyDescent="0.35">
      <c r="A851" s="1">
        <v>2018</v>
      </c>
      <c r="B851" t="s">
        <v>26</v>
      </c>
      <c r="C851" t="s">
        <v>27</v>
      </c>
      <c r="D851">
        <v>1859524</v>
      </c>
    </row>
    <row r="852" spans="1:4" x14ac:dyDescent="0.35">
      <c r="A852" s="1">
        <v>2018</v>
      </c>
      <c r="B852" t="s">
        <v>40</v>
      </c>
      <c r="C852" t="s">
        <v>41</v>
      </c>
      <c r="D852">
        <v>236018</v>
      </c>
    </row>
    <row r="853" spans="1:4" x14ac:dyDescent="0.35">
      <c r="A853" s="1">
        <v>2018</v>
      </c>
      <c r="B853" t="s">
        <v>42</v>
      </c>
      <c r="C853" t="s">
        <v>43</v>
      </c>
      <c r="D853">
        <v>552185</v>
      </c>
    </row>
    <row r="854" spans="1:4" x14ac:dyDescent="0.35">
      <c r="A854" s="1">
        <v>2018</v>
      </c>
      <c r="B854" t="s">
        <v>196</v>
      </c>
      <c r="C854" t="s">
        <v>197</v>
      </c>
      <c r="D854">
        <v>565963</v>
      </c>
    </row>
    <row r="855" spans="1:4" x14ac:dyDescent="0.35">
      <c r="A855" s="1">
        <v>2018</v>
      </c>
      <c r="B855" t="s">
        <v>28</v>
      </c>
      <c r="C855" t="s">
        <v>29</v>
      </c>
      <c r="D855">
        <v>433724</v>
      </c>
    </row>
    <row r="856" spans="1:4" x14ac:dyDescent="0.35">
      <c r="A856" s="1">
        <v>2018</v>
      </c>
      <c r="B856" t="s">
        <v>30</v>
      </c>
      <c r="C856" t="s">
        <v>31</v>
      </c>
      <c r="D856">
        <v>816699</v>
      </c>
    </row>
    <row r="857" spans="1:4" x14ac:dyDescent="0.35">
      <c r="A857" s="1">
        <v>2018</v>
      </c>
      <c r="B857" t="s">
        <v>114</v>
      </c>
      <c r="C857" t="s">
        <v>115</v>
      </c>
      <c r="D857">
        <v>2175601</v>
      </c>
    </row>
    <row r="858" spans="1:4" x14ac:dyDescent="0.35">
      <c r="A858" s="1">
        <v>2018</v>
      </c>
      <c r="B858" t="s">
        <v>138</v>
      </c>
      <c r="C858" t="s">
        <v>139</v>
      </c>
      <c r="D858">
        <v>1255883</v>
      </c>
    </row>
    <row r="859" spans="1:4" x14ac:dyDescent="0.35">
      <c r="A859" s="1">
        <v>2018</v>
      </c>
      <c r="B859" t="s">
        <v>116</v>
      </c>
      <c r="C859" t="s">
        <v>117</v>
      </c>
      <c r="D859">
        <v>1412516</v>
      </c>
    </row>
    <row r="860" spans="1:4" x14ac:dyDescent="0.35">
      <c r="A860" s="1">
        <v>2018</v>
      </c>
      <c r="B860" t="s">
        <v>118</v>
      </c>
      <c r="C860" t="s">
        <v>119</v>
      </c>
      <c r="D860">
        <v>1441398</v>
      </c>
    </row>
    <row r="861" spans="1:4" x14ac:dyDescent="0.35">
      <c r="A861" s="1">
        <v>2018</v>
      </c>
      <c r="B861" t="s">
        <v>158</v>
      </c>
      <c r="C861" t="s">
        <v>159</v>
      </c>
      <c r="D861">
        <v>374799</v>
      </c>
    </row>
    <row r="862" spans="1:4" x14ac:dyDescent="0.35">
      <c r="A862" s="1">
        <v>2018</v>
      </c>
      <c r="B862" t="s">
        <v>112</v>
      </c>
      <c r="C862" t="s">
        <v>113</v>
      </c>
      <c r="D862">
        <v>570662</v>
      </c>
    </row>
    <row r="863" spans="1:4" x14ac:dyDescent="0.35">
      <c r="A863" s="1">
        <v>2018</v>
      </c>
      <c r="B863" t="s">
        <v>186</v>
      </c>
      <c r="C863" t="s">
        <v>187</v>
      </c>
      <c r="D863">
        <v>388596</v>
      </c>
    </row>
    <row r="864" spans="1:4" x14ac:dyDescent="0.35">
      <c r="A864" s="1">
        <v>2018</v>
      </c>
      <c r="B864" t="s">
        <v>188</v>
      </c>
      <c r="C864" t="s">
        <v>189</v>
      </c>
      <c r="D864">
        <v>259124</v>
      </c>
    </row>
    <row r="865" spans="1:4" x14ac:dyDescent="0.35">
      <c r="A865" s="1">
        <v>2018</v>
      </c>
      <c r="B865" t="s">
        <v>208</v>
      </c>
      <c r="C865" t="s">
        <v>209</v>
      </c>
      <c r="D865">
        <v>1067697</v>
      </c>
    </row>
    <row r="866" spans="1:4" x14ac:dyDescent="0.35">
      <c r="A866" s="1">
        <v>2018</v>
      </c>
      <c r="B866" t="s">
        <v>210</v>
      </c>
      <c r="C866" t="s">
        <v>211</v>
      </c>
      <c r="D866">
        <v>559793</v>
      </c>
    </row>
    <row r="867" spans="1:4" x14ac:dyDescent="0.35">
      <c r="A867" s="1">
        <v>2018</v>
      </c>
      <c r="B867" t="s">
        <v>198</v>
      </c>
      <c r="C867" t="s">
        <v>199</v>
      </c>
      <c r="D867">
        <v>679991</v>
      </c>
    </row>
    <row r="868" spans="1:4" x14ac:dyDescent="0.35">
      <c r="A868" s="1">
        <v>2018</v>
      </c>
      <c r="B868" t="s">
        <v>160</v>
      </c>
      <c r="C868" t="s">
        <v>161</v>
      </c>
      <c r="D868">
        <v>437586</v>
      </c>
    </row>
    <row r="869" spans="1:4" x14ac:dyDescent="0.35">
      <c r="A869" s="1">
        <v>2018</v>
      </c>
      <c r="B869" t="s">
        <v>162</v>
      </c>
      <c r="C869" t="s">
        <v>163</v>
      </c>
      <c r="D869">
        <v>373199</v>
      </c>
    </row>
    <row r="870" spans="1:4" x14ac:dyDescent="0.35">
      <c r="A870" s="1">
        <v>2018</v>
      </c>
      <c r="B870" t="s">
        <v>102</v>
      </c>
      <c r="C870" t="s">
        <v>103</v>
      </c>
      <c r="D870">
        <v>366112</v>
      </c>
    </row>
    <row r="871" spans="1:4" x14ac:dyDescent="0.35">
      <c r="A871" s="1">
        <v>2018</v>
      </c>
      <c r="B871" t="s">
        <v>44</v>
      </c>
      <c r="C871" t="s">
        <v>45</v>
      </c>
      <c r="D871">
        <v>337504</v>
      </c>
    </row>
    <row r="872" spans="1:4" x14ac:dyDescent="0.35">
      <c r="A872" s="1">
        <v>2018</v>
      </c>
      <c r="B872" t="s">
        <v>46</v>
      </c>
      <c r="C872" t="s">
        <v>221</v>
      </c>
      <c r="D872">
        <v>141852</v>
      </c>
    </row>
    <row r="873" spans="1:4" x14ac:dyDescent="0.35">
      <c r="A873" s="1">
        <v>2018</v>
      </c>
      <c r="B873" t="s">
        <v>120</v>
      </c>
      <c r="C873" t="s">
        <v>121</v>
      </c>
      <c r="D873">
        <v>1296641</v>
      </c>
    </row>
    <row r="874" spans="1:4" x14ac:dyDescent="0.35">
      <c r="A874" s="1">
        <v>2018</v>
      </c>
      <c r="B874" t="s">
        <v>122</v>
      </c>
      <c r="C874" t="s">
        <v>222</v>
      </c>
      <c r="D874">
        <v>1619120</v>
      </c>
    </row>
    <row r="875" spans="1:4" x14ac:dyDescent="0.35">
      <c r="A875" s="1">
        <v>2018</v>
      </c>
      <c r="B875" t="s">
        <v>124</v>
      </c>
      <c r="C875" t="s">
        <v>125</v>
      </c>
      <c r="D875">
        <v>1632677</v>
      </c>
    </row>
    <row r="876" spans="1:4" x14ac:dyDescent="0.35">
      <c r="A876" s="1">
        <v>2018</v>
      </c>
      <c r="B876" t="s">
        <v>126</v>
      </c>
      <c r="C876" t="s">
        <v>127</v>
      </c>
      <c r="D876">
        <v>1396913</v>
      </c>
    </row>
    <row r="877" spans="1:4" x14ac:dyDescent="0.35">
      <c r="A877" s="1">
        <v>2018</v>
      </c>
      <c r="B877" t="s">
        <v>128</v>
      </c>
      <c r="C877" t="s">
        <v>129</v>
      </c>
      <c r="D877">
        <v>1238581</v>
      </c>
    </row>
    <row r="878" spans="1:4" x14ac:dyDescent="0.35">
      <c r="A878" s="1">
        <v>2018</v>
      </c>
      <c r="B878" t="s">
        <v>223</v>
      </c>
      <c r="D878">
        <v>64844037</v>
      </c>
    </row>
    <row r="879" spans="1:4" x14ac:dyDescent="0.35">
      <c r="A879" s="1">
        <v>2018</v>
      </c>
      <c r="B879">
        <v>971</v>
      </c>
      <c r="C879" t="s">
        <v>224</v>
      </c>
      <c r="D879">
        <v>387629</v>
      </c>
    </row>
    <row r="880" spans="1:4" x14ac:dyDescent="0.35">
      <c r="A880" s="1">
        <v>2018</v>
      </c>
      <c r="B880">
        <v>972</v>
      </c>
      <c r="C880" t="s">
        <v>225</v>
      </c>
      <c r="D880">
        <v>368783</v>
      </c>
    </row>
    <row r="881" spans="1:4" x14ac:dyDescent="0.35">
      <c r="A881" s="1">
        <v>2018</v>
      </c>
      <c r="B881">
        <v>973</v>
      </c>
      <c r="C881" t="s">
        <v>77</v>
      </c>
      <c r="D881">
        <v>276128</v>
      </c>
    </row>
    <row r="882" spans="1:4" x14ac:dyDescent="0.35">
      <c r="A882" s="1">
        <v>2018</v>
      </c>
      <c r="B882">
        <v>974</v>
      </c>
      <c r="C882" t="s">
        <v>79</v>
      </c>
      <c r="D882">
        <v>855961</v>
      </c>
    </row>
    <row r="883" spans="1:4" x14ac:dyDescent="0.35">
      <c r="A883" s="1">
        <v>2018</v>
      </c>
      <c r="B883">
        <v>976</v>
      </c>
      <c r="C883" t="s">
        <v>215</v>
      </c>
      <c r="D883">
        <v>259621</v>
      </c>
    </row>
    <row r="884" spans="1:4" x14ac:dyDescent="0.35">
      <c r="A884" s="1">
        <v>2018</v>
      </c>
      <c r="B884" t="s">
        <v>226</v>
      </c>
      <c r="D884">
        <v>2148122</v>
      </c>
    </row>
    <row r="885" spans="1:4" x14ac:dyDescent="0.35">
      <c r="A885" s="1">
        <v>2018</v>
      </c>
      <c r="B885" t="s">
        <v>227</v>
      </c>
      <c r="D885">
        <v>66992159</v>
      </c>
    </row>
    <row r="886" spans="1:4" x14ac:dyDescent="0.35">
      <c r="A886" s="1">
        <v>2018</v>
      </c>
    </row>
    <row r="887" spans="1:4" x14ac:dyDescent="0.35">
      <c r="A887" s="1">
        <v>2018</v>
      </c>
      <c r="B887" t="s">
        <v>242</v>
      </c>
    </row>
    <row r="888" spans="1:4" x14ac:dyDescent="0.35">
      <c r="A888" s="1">
        <v>2017</v>
      </c>
      <c r="B888" t="s">
        <v>229</v>
      </c>
    </row>
    <row r="889" spans="1:4" x14ac:dyDescent="0.35">
      <c r="A889" s="1">
        <v>2017</v>
      </c>
      <c r="B889" t="s">
        <v>244</v>
      </c>
    </row>
    <row r="890" spans="1:4" x14ac:dyDescent="0.35">
      <c r="A890" s="1">
        <v>2017</v>
      </c>
    </row>
    <row r="891" spans="1:4" x14ac:dyDescent="0.35">
      <c r="A891" s="1">
        <v>2017</v>
      </c>
      <c r="B891" t="s">
        <v>231</v>
      </c>
    </row>
    <row r="892" spans="1:4" x14ac:dyDescent="0.35">
      <c r="A892" s="1">
        <v>2017</v>
      </c>
      <c r="D892" t="s">
        <v>232</v>
      </c>
    </row>
    <row r="893" spans="1:4" x14ac:dyDescent="0.35">
      <c r="A893" s="1">
        <v>2017</v>
      </c>
      <c r="B893" t="s">
        <v>5</v>
      </c>
      <c r="C893" t="s">
        <v>6</v>
      </c>
      <c r="D893">
        <v>643350</v>
      </c>
    </row>
    <row r="894" spans="1:4" x14ac:dyDescent="0.35">
      <c r="A894" s="1">
        <v>2017</v>
      </c>
      <c r="B894" t="s">
        <v>104</v>
      </c>
      <c r="C894" t="s">
        <v>105</v>
      </c>
      <c r="D894">
        <v>534490</v>
      </c>
    </row>
    <row r="895" spans="1:4" x14ac:dyDescent="0.35">
      <c r="A895" s="1">
        <v>2017</v>
      </c>
      <c r="B895" t="s">
        <v>10</v>
      </c>
      <c r="C895" t="s">
        <v>11</v>
      </c>
      <c r="D895">
        <v>337988</v>
      </c>
    </row>
    <row r="896" spans="1:4" x14ac:dyDescent="0.35">
      <c r="A896" s="1">
        <v>2017</v>
      </c>
      <c r="B896" t="s">
        <v>200</v>
      </c>
      <c r="C896" t="s">
        <v>201</v>
      </c>
      <c r="D896">
        <v>163915</v>
      </c>
    </row>
    <row r="897" spans="1:4" x14ac:dyDescent="0.35">
      <c r="A897" s="1">
        <v>2017</v>
      </c>
      <c r="B897" t="s">
        <v>202</v>
      </c>
      <c r="C897" t="s">
        <v>203</v>
      </c>
      <c r="D897">
        <v>141284</v>
      </c>
    </row>
    <row r="898" spans="1:4" x14ac:dyDescent="0.35">
      <c r="A898" s="1">
        <v>2017</v>
      </c>
      <c r="B898" t="s">
        <v>204</v>
      </c>
      <c r="C898" t="s">
        <v>205</v>
      </c>
      <c r="D898">
        <v>1083310</v>
      </c>
    </row>
    <row r="899" spans="1:4" x14ac:dyDescent="0.35">
      <c r="A899" s="1">
        <v>2017</v>
      </c>
      <c r="B899" t="s">
        <v>12</v>
      </c>
      <c r="C899" t="s">
        <v>13</v>
      </c>
      <c r="D899">
        <v>325712</v>
      </c>
    </row>
    <row r="900" spans="1:4" x14ac:dyDescent="0.35">
      <c r="A900" s="1">
        <v>2017</v>
      </c>
      <c r="B900" t="s">
        <v>84</v>
      </c>
      <c r="C900" t="s">
        <v>85</v>
      </c>
      <c r="D900">
        <v>273579</v>
      </c>
    </row>
    <row r="901" spans="1:4" x14ac:dyDescent="0.35">
      <c r="A901" s="1">
        <v>2017</v>
      </c>
      <c r="B901" t="s">
        <v>164</v>
      </c>
      <c r="C901" t="s">
        <v>165</v>
      </c>
      <c r="D901">
        <v>153153</v>
      </c>
    </row>
    <row r="902" spans="1:4" x14ac:dyDescent="0.35">
      <c r="A902" s="1">
        <v>2017</v>
      </c>
      <c r="B902" t="s">
        <v>86</v>
      </c>
      <c r="C902" t="s">
        <v>87</v>
      </c>
      <c r="D902">
        <v>310020</v>
      </c>
    </row>
    <row r="903" spans="1:4" x14ac:dyDescent="0.35">
      <c r="A903" s="1">
        <v>2017</v>
      </c>
      <c r="B903" t="s">
        <v>166</v>
      </c>
      <c r="C903" t="s">
        <v>167</v>
      </c>
      <c r="D903">
        <v>370260</v>
      </c>
    </row>
    <row r="904" spans="1:4" x14ac:dyDescent="0.35">
      <c r="A904" s="1">
        <v>2017</v>
      </c>
      <c r="B904" t="s">
        <v>168</v>
      </c>
      <c r="C904" t="s">
        <v>169</v>
      </c>
      <c r="D904">
        <v>279206</v>
      </c>
    </row>
    <row r="905" spans="1:4" x14ac:dyDescent="0.35">
      <c r="A905" s="1">
        <v>2017</v>
      </c>
      <c r="B905" t="s">
        <v>206</v>
      </c>
      <c r="C905" t="s">
        <v>207</v>
      </c>
      <c r="D905">
        <v>2024162</v>
      </c>
    </row>
    <row r="906" spans="1:4" x14ac:dyDescent="0.35">
      <c r="A906" s="1">
        <v>2017</v>
      </c>
      <c r="B906" t="s">
        <v>130</v>
      </c>
      <c r="C906" t="s">
        <v>131</v>
      </c>
      <c r="D906">
        <v>694002</v>
      </c>
    </row>
    <row r="907" spans="1:4" x14ac:dyDescent="0.35">
      <c r="A907" s="1">
        <v>2017</v>
      </c>
      <c r="B907" t="s">
        <v>14</v>
      </c>
      <c r="C907" t="s">
        <v>15</v>
      </c>
      <c r="D907">
        <v>145143</v>
      </c>
    </row>
    <row r="908" spans="1:4" x14ac:dyDescent="0.35">
      <c r="A908" s="1">
        <v>2017</v>
      </c>
      <c r="B908" t="s">
        <v>140</v>
      </c>
      <c r="C908" t="s">
        <v>141</v>
      </c>
      <c r="D908">
        <v>352335</v>
      </c>
    </row>
    <row r="909" spans="1:4" x14ac:dyDescent="0.35">
      <c r="A909" s="1">
        <v>2017</v>
      </c>
      <c r="B909" t="s">
        <v>142</v>
      </c>
      <c r="C909" t="s">
        <v>143</v>
      </c>
      <c r="D909">
        <v>644303</v>
      </c>
    </row>
    <row r="910" spans="1:4" x14ac:dyDescent="0.35">
      <c r="A910" s="1">
        <v>2017</v>
      </c>
      <c r="B910" t="s">
        <v>56</v>
      </c>
      <c r="C910" t="s">
        <v>57</v>
      </c>
      <c r="D910">
        <v>304256</v>
      </c>
    </row>
    <row r="911" spans="1:4" x14ac:dyDescent="0.35">
      <c r="A911" s="1">
        <v>2017</v>
      </c>
      <c r="B911" t="s">
        <v>144</v>
      </c>
      <c r="C911" t="s">
        <v>145</v>
      </c>
      <c r="D911">
        <v>241464</v>
      </c>
    </row>
    <row r="912" spans="1:4" x14ac:dyDescent="0.35">
      <c r="A912" s="1">
        <v>2017</v>
      </c>
      <c r="B912" t="s">
        <v>68</v>
      </c>
      <c r="C912" t="s">
        <v>69</v>
      </c>
      <c r="D912">
        <v>157249</v>
      </c>
    </row>
    <row r="913" spans="1:4" x14ac:dyDescent="0.35">
      <c r="A913" s="1">
        <v>2017</v>
      </c>
      <c r="B913" t="s">
        <v>70</v>
      </c>
      <c r="C913" t="s">
        <v>71</v>
      </c>
      <c r="D913">
        <v>177689</v>
      </c>
    </row>
    <row r="914" spans="1:4" x14ac:dyDescent="0.35">
      <c r="A914" s="1">
        <v>2017</v>
      </c>
      <c r="B914" t="s">
        <v>32</v>
      </c>
      <c r="C914" t="s">
        <v>219</v>
      </c>
      <c r="D914">
        <v>533819</v>
      </c>
    </row>
    <row r="915" spans="1:4" x14ac:dyDescent="0.35">
      <c r="A915" s="1">
        <v>2017</v>
      </c>
      <c r="B915" t="s">
        <v>48</v>
      </c>
      <c r="C915" t="s">
        <v>220</v>
      </c>
      <c r="D915">
        <v>598814</v>
      </c>
    </row>
    <row r="916" spans="1:4" x14ac:dyDescent="0.35">
      <c r="A916" s="1">
        <v>2017</v>
      </c>
      <c r="B916" t="s">
        <v>146</v>
      </c>
      <c r="C916" t="s">
        <v>147</v>
      </c>
      <c r="D916">
        <v>118638</v>
      </c>
    </row>
    <row r="917" spans="1:4" x14ac:dyDescent="0.35">
      <c r="A917" s="1">
        <v>2017</v>
      </c>
      <c r="B917" t="s">
        <v>148</v>
      </c>
      <c r="C917" t="s">
        <v>149</v>
      </c>
      <c r="D917">
        <v>413606</v>
      </c>
    </row>
    <row r="918" spans="1:4" x14ac:dyDescent="0.35">
      <c r="A918" s="1">
        <v>2017</v>
      </c>
      <c r="B918" t="s">
        <v>34</v>
      </c>
      <c r="C918" t="s">
        <v>35</v>
      </c>
      <c r="D918">
        <v>539067</v>
      </c>
    </row>
    <row r="919" spans="1:4" x14ac:dyDescent="0.35">
      <c r="A919" s="1">
        <v>2017</v>
      </c>
      <c r="B919" t="s">
        <v>16</v>
      </c>
      <c r="C919" t="s">
        <v>17</v>
      </c>
      <c r="D919">
        <v>511553</v>
      </c>
    </row>
    <row r="920" spans="1:4" x14ac:dyDescent="0.35">
      <c r="A920" s="1">
        <v>2017</v>
      </c>
      <c r="B920" t="s">
        <v>132</v>
      </c>
      <c r="C920" t="s">
        <v>133</v>
      </c>
      <c r="D920">
        <v>601843</v>
      </c>
    </row>
    <row r="921" spans="1:4" x14ac:dyDescent="0.35">
      <c r="A921" s="1">
        <v>2017</v>
      </c>
      <c r="B921" t="s">
        <v>58</v>
      </c>
      <c r="C921" t="s">
        <v>59</v>
      </c>
      <c r="D921">
        <v>433233</v>
      </c>
    </row>
    <row r="922" spans="1:4" x14ac:dyDescent="0.35">
      <c r="A922" s="1">
        <v>2017</v>
      </c>
      <c r="B922" t="s">
        <v>50</v>
      </c>
      <c r="C922" t="s">
        <v>51</v>
      </c>
      <c r="D922">
        <v>909028</v>
      </c>
    </row>
    <row r="923" spans="1:4" x14ac:dyDescent="0.35">
      <c r="A923" s="1">
        <v>2017</v>
      </c>
      <c r="B923" t="s">
        <v>170</v>
      </c>
      <c r="C923" t="s">
        <v>171</v>
      </c>
      <c r="D923">
        <v>744178</v>
      </c>
    </row>
    <row r="924" spans="1:4" x14ac:dyDescent="0.35">
      <c r="A924" s="1">
        <v>2017</v>
      </c>
      <c r="B924" t="s">
        <v>172</v>
      </c>
      <c r="C924" t="s">
        <v>173</v>
      </c>
      <c r="D924">
        <v>1362672</v>
      </c>
    </row>
    <row r="925" spans="1:4" x14ac:dyDescent="0.35">
      <c r="A925" s="1">
        <v>2017</v>
      </c>
      <c r="B925" t="s">
        <v>174</v>
      </c>
      <c r="C925" t="s">
        <v>175</v>
      </c>
      <c r="D925">
        <v>191091</v>
      </c>
    </row>
    <row r="926" spans="1:4" x14ac:dyDescent="0.35">
      <c r="A926" s="1">
        <v>2017</v>
      </c>
      <c r="B926" t="s">
        <v>150</v>
      </c>
      <c r="C926" t="s">
        <v>151</v>
      </c>
      <c r="D926">
        <v>1583384</v>
      </c>
    </row>
    <row r="927" spans="1:4" x14ac:dyDescent="0.35">
      <c r="A927" s="1">
        <v>2017</v>
      </c>
      <c r="B927" t="s">
        <v>176</v>
      </c>
      <c r="C927" t="s">
        <v>177</v>
      </c>
      <c r="D927">
        <v>1144892</v>
      </c>
    </row>
    <row r="928" spans="1:4" x14ac:dyDescent="0.35">
      <c r="A928" s="1">
        <v>2017</v>
      </c>
      <c r="B928" t="s">
        <v>52</v>
      </c>
      <c r="C928" t="s">
        <v>53</v>
      </c>
      <c r="D928">
        <v>1060199</v>
      </c>
    </row>
    <row r="929" spans="1:4" x14ac:dyDescent="0.35">
      <c r="A929" s="1">
        <v>2017</v>
      </c>
      <c r="B929" t="s">
        <v>60</v>
      </c>
      <c r="C929" t="s">
        <v>61</v>
      </c>
      <c r="D929">
        <v>222232</v>
      </c>
    </row>
    <row r="930" spans="1:4" x14ac:dyDescent="0.35">
      <c r="A930" s="1">
        <v>2017</v>
      </c>
      <c r="B930" t="s">
        <v>62</v>
      </c>
      <c r="C930" t="s">
        <v>63</v>
      </c>
      <c r="D930">
        <v>606511</v>
      </c>
    </row>
    <row r="931" spans="1:4" x14ac:dyDescent="0.35">
      <c r="A931" s="1">
        <v>2017</v>
      </c>
      <c r="B931" t="s">
        <v>18</v>
      </c>
      <c r="C931" t="s">
        <v>19</v>
      </c>
      <c r="D931">
        <v>1258722</v>
      </c>
    </row>
    <row r="932" spans="1:4" x14ac:dyDescent="0.35">
      <c r="A932" s="1">
        <v>2017</v>
      </c>
      <c r="B932" t="s">
        <v>36</v>
      </c>
      <c r="C932" t="s">
        <v>37</v>
      </c>
      <c r="D932">
        <v>260188</v>
      </c>
    </row>
    <row r="933" spans="1:4" x14ac:dyDescent="0.35">
      <c r="A933" s="1">
        <v>2017</v>
      </c>
      <c r="B933" t="s">
        <v>152</v>
      </c>
      <c r="C933" t="s">
        <v>153</v>
      </c>
      <c r="D933">
        <v>407444</v>
      </c>
    </row>
    <row r="934" spans="1:4" x14ac:dyDescent="0.35">
      <c r="A934" s="1">
        <v>2017</v>
      </c>
      <c r="B934" t="s">
        <v>64</v>
      </c>
      <c r="C934" t="s">
        <v>65</v>
      </c>
      <c r="D934">
        <v>331915</v>
      </c>
    </row>
    <row r="935" spans="1:4" x14ac:dyDescent="0.35">
      <c r="A935" s="1">
        <v>2017</v>
      </c>
      <c r="B935" t="s">
        <v>20</v>
      </c>
      <c r="C935" t="s">
        <v>21</v>
      </c>
      <c r="D935">
        <v>762941</v>
      </c>
    </row>
    <row r="936" spans="1:4" x14ac:dyDescent="0.35">
      <c r="A936" s="1">
        <v>2017</v>
      </c>
      <c r="B936" t="s">
        <v>22</v>
      </c>
      <c r="C936" t="s">
        <v>23</v>
      </c>
      <c r="D936">
        <v>227283</v>
      </c>
    </row>
    <row r="937" spans="1:4" x14ac:dyDescent="0.35">
      <c r="A937" s="1">
        <v>2017</v>
      </c>
      <c r="B937" t="s">
        <v>190</v>
      </c>
      <c r="C937" t="s">
        <v>191</v>
      </c>
      <c r="D937">
        <v>1394909</v>
      </c>
    </row>
    <row r="938" spans="1:4" x14ac:dyDescent="0.35">
      <c r="A938" s="1">
        <v>2017</v>
      </c>
      <c r="B938" t="s">
        <v>66</v>
      </c>
      <c r="C938" t="s">
        <v>67</v>
      </c>
      <c r="D938">
        <v>678105</v>
      </c>
    </row>
    <row r="939" spans="1:4" x14ac:dyDescent="0.35">
      <c r="A939" s="1">
        <v>2017</v>
      </c>
      <c r="B939" t="s">
        <v>178</v>
      </c>
      <c r="C939" t="s">
        <v>179</v>
      </c>
      <c r="D939">
        <v>173828</v>
      </c>
    </row>
    <row r="940" spans="1:4" x14ac:dyDescent="0.35">
      <c r="A940" s="1">
        <v>2017</v>
      </c>
      <c r="B940" t="s">
        <v>154</v>
      </c>
      <c r="C940" t="s">
        <v>155</v>
      </c>
      <c r="D940">
        <v>332842</v>
      </c>
    </row>
    <row r="941" spans="1:4" x14ac:dyDescent="0.35">
      <c r="A941" s="1">
        <v>2017</v>
      </c>
      <c r="B941" t="s">
        <v>180</v>
      </c>
      <c r="C941" t="s">
        <v>181</v>
      </c>
      <c r="D941">
        <v>76601</v>
      </c>
    </row>
    <row r="942" spans="1:4" x14ac:dyDescent="0.35">
      <c r="A942" s="1">
        <v>2017</v>
      </c>
      <c r="B942" t="s">
        <v>192</v>
      </c>
      <c r="C942" t="s">
        <v>193</v>
      </c>
      <c r="D942">
        <v>813493</v>
      </c>
    </row>
    <row r="943" spans="1:4" x14ac:dyDescent="0.35">
      <c r="A943" s="1">
        <v>2017</v>
      </c>
      <c r="B943" t="s">
        <v>134</v>
      </c>
      <c r="C943" t="s">
        <v>135</v>
      </c>
      <c r="D943">
        <v>496883</v>
      </c>
    </row>
    <row r="944" spans="1:4" x14ac:dyDescent="0.35">
      <c r="A944" s="1">
        <v>2017</v>
      </c>
      <c r="B944" t="s">
        <v>88</v>
      </c>
      <c r="C944" t="s">
        <v>89</v>
      </c>
      <c r="D944">
        <v>568895</v>
      </c>
    </row>
    <row r="945" spans="1:4" x14ac:dyDescent="0.35">
      <c r="A945" s="1">
        <v>2017</v>
      </c>
      <c r="B945" t="s">
        <v>90</v>
      </c>
      <c r="C945" t="s">
        <v>91</v>
      </c>
      <c r="D945">
        <v>175640</v>
      </c>
    </row>
    <row r="946" spans="1:4" x14ac:dyDescent="0.35">
      <c r="A946" s="1">
        <v>2017</v>
      </c>
      <c r="B946" t="s">
        <v>194</v>
      </c>
      <c r="C946" t="s">
        <v>195</v>
      </c>
      <c r="D946">
        <v>307445</v>
      </c>
    </row>
    <row r="947" spans="1:4" x14ac:dyDescent="0.35">
      <c r="A947" s="1">
        <v>2017</v>
      </c>
      <c r="B947" t="s">
        <v>92</v>
      </c>
      <c r="C947" t="s">
        <v>93</v>
      </c>
      <c r="D947">
        <v>733481</v>
      </c>
    </row>
    <row r="948" spans="1:4" x14ac:dyDescent="0.35">
      <c r="A948" s="1">
        <v>2017</v>
      </c>
      <c r="B948" t="s">
        <v>94</v>
      </c>
      <c r="C948" t="s">
        <v>95</v>
      </c>
      <c r="D948">
        <v>187187</v>
      </c>
    </row>
    <row r="949" spans="1:4" x14ac:dyDescent="0.35">
      <c r="A949" s="1">
        <v>2017</v>
      </c>
      <c r="B949" t="s">
        <v>54</v>
      </c>
      <c r="C949" t="s">
        <v>55</v>
      </c>
      <c r="D949">
        <v>750863</v>
      </c>
    </row>
    <row r="950" spans="1:4" x14ac:dyDescent="0.35">
      <c r="A950" s="1">
        <v>2017</v>
      </c>
      <c r="B950" t="s">
        <v>96</v>
      </c>
      <c r="C950" t="s">
        <v>97</v>
      </c>
      <c r="D950">
        <v>1043522</v>
      </c>
    </row>
    <row r="951" spans="1:4" x14ac:dyDescent="0.35">
      <c r="A951" s="1">
        <v>2017</v>
      </c>
      <c r="B951" t="s">
        <v>38</v>
      </c>
      <c r="C951" t="s">
        <v>39</v>
      </c>
      <c r="D951">
        <v>207182</v>
      </c>
    </row>
    <row r="952" spans="1:4" x14ac:dyDescent="0.35">
      <c r="A952" s="1">
        <v>2017</v>
      </c>
      <c r="B952" t="s">
        <v>106</v>
      </c>
      <c r="C952" t="s">
        <v>107</v>
      </c>
      <c r="D952">
        <v>2604361</v>
      </c>
    </row>
    <row r="953" spans="1:4" x14ac:dyDescent="0.35">
      <c r="A953" s="1">
        <v>2017</v>
      </c>
      <c r="B953" t="s">
        <v>108</v>
      </c>
      <c r="C953" t="s">
        <v>109</v>
      </c>
      <c r="D953">
        <v>824503</v>
      </c>
    </row>
    <row r="954" spans="1:4" x14ac:dyDescent="0.35">
      <c r="A954" s="1">
        <v>2017</v>
      </c>
      <c r="B954" t="s">
        <v>136</v>
      </c>
      <c r="C954" t="s">
        <v>137</v>
      </c>
      <c r="D954">
        <v>283372</v>
      </c>
    </row>
    <row r="955" spans="1:4" x14ac:dyDescent="0.35">
      <c r="A955" s="1">
        <v>2017</v>
      </c>
      <c r="B955" t="s">
        <v>110</v>
      </c>
      <c r="C955" t="s">
        <v>111</v>
      </c>
      <c r="D955">
        <v>1468018</v>
      </c>
    </row>
    <row r="956" spans="1:4" x14ac:dyDescent="0.35">
      <c r="A956" s="1">
        <v>2017</v>
      </c>
      <c r="B956" t="s">
        <v>24</v>
      </c>
      <c r="C956" t="s">
        <v>25</v>
      </c>
      <c r="D956">
        <v>653742</v>
      </c>
    </row>
    <row r="957" spans="1:4" x14ac:dyDescent="0.35">
      <c r="A957" s="1">
        <v>2017</v>
      </c>
      <c r="B957" t="s">
        <v>156</v>
      </c>
      <c r="C957" t="s">
        <v>157</v>
      </c>
      <c r="D957">
        <v>677309</v>
      </c>
    </row>
    <row r="958" spans="1:4" x14ac:dyDescent="0.35">
      <c r="A958" s="1">
        <v>2017</v>
      </c>
      <c r="B958" t="s">
        <v>182</v>
      </c>
      <c r="C958" t="s">
        <v>183</v>
      </c>
      <c r="D958">
        <v>228530</v>
      </c>
    </row>
    <row r="959" spans="1:4" x14ac:dyDescent="0.35">
      <c r="A959" s="1">
        <v>2017</v>
      </c>
      <c r="B959" t="s">
        <v>184</v>
      </c>
      <c r="C959" t="s">
        <v>185</v>
      </c>
      <c r="D959">
        <v>474452</v>
      </c>
    </row>
    <row r="960" spans="1:4" x14ac:dyDescent="0.35">
      <c r="A960" s="1">
        <v>2017</v>
      </c>
      <c r="B960" t="s">
        <v>98</v>
      </c>
      <c r="C960" t="s">
        <v>99</v>
      </c>
      <c r="D960">
        <v>1125559</v>
      </c>
    </row>
    <row r="961" spans="1:4" x14ac:dyDescent="0.35">
      <c r="A961" s="1">
        <v>2017</v>
      </c>
      <c r="B961" t="s">
        <v>100</v>
      </c>
      <c r="C961" t="s">
        <v>101</v>
      </c>
      <c r="D961">
        <v>764030</v>
      </c>
    </row>
    <row r="962" spans="1:4" x14ac:dyDescent="0.35">
      <c r="A962" s="1">
        <v>2017</v>
      </c>
      <c r="B962" t="s">
        <v>26</v>
      </c>
      <c r="C962" t="s">
        <v>27</v>
      </c>
      <c r="D962">
        <v>1843319</v>
      </c>
    </row>
    <row r="963" spans="1:4" x14ac:dyDescent="0.35">
      <c r="A963" s="1">
        <v>2017</v>
      </c>
      <c r="B963" t="s">
        <v>40</v>
      </c>
      <c r="C963" t="s">
        <v>41</v>
      </c>
      <c r="D963">
        <v>236659</v>
      </c>
    </row>
    <row r="964" spans="1:4" x14ac:dyDescent="0.35">
      <c r="A964" s="1">
        <v>2017</v>
      </c>
      <c r="B964" t="s">
        <v>42</v>
      </c>
      <c r="C964" t="s">
        <v>43</v>
      </c>
      <c r="D964">
        <v>553595</v>
      </c>
    </row>
    <row r="965" spans="1:4" x14ac:dyDescent="0.35">
      <c r="A965" s="1">
        <v>2017</v>
      </c>
      <c r="B965" t="s">
        <v>196</v>
      </c>
      <c r="C965" t="s">
        <v>197</v>
      </c>
      <c r="D965">
        <v>566506</v>
      </c>
    </row>
    <row r="966" spans="1:4" x14ac:dyDescent="0.35">
      <c r="A966" s="1">
        <v>2017</v>
      </c>
      <c r="B966" t="s">
        <v>28</v>
      </c>
      <c r="C966" t="s">
        <v>29</v>
      </c>
      <c r="D966">
        <v>431174</v>
      </c>
    </row>
    <row r="967" spans="1:4" x14ac:dyDescent="0.35">
      <c r="A967" s="1">
        <v>2017</v>
      </c>
      <c r="B967" t="s">
        <v>30</v>
      </c>
      <c r="C967" t="s">
        <v>31</v>
      </c>
      <c r="D967">
        <v>807360</v>
      </c>
    </row>
    <row r="968" spans="1:4" x14ac:dyDescent="0.35">
      <c r="A968" s="1">
        <v>2017</v>
      </c>
      <c r="B968" t="s">
        <v>114</v>
      </c>
      <c r="C968" t="s">
        <v>115</v>
      </c>
      <c r="D968">
        <v>2187526</v>
      </c>
    </row>
    <row r="969" spans="1:4" x14ac:dyDescent="0.35">
      <c r="A969" s="1">
        <v>2017</v>
      </c>
      <c r="B969" t="s">
        <v>138</v>
      </c>
      <c r="C969" t="s">
        <v>139</v>
      </c>
      <c r="D969">
        <v>1254378</v>
      </c>
    </row>
    <row r="970" spans="1:4" x14ac:dyDescent="0.35">
      <c r="A970" s="1">
        <v>2017</v>
      </c>
      <c r="B970" t="s">
        <v>116</v>
      </c>
      <c r="C970" t="s">
        <v>117</v>
      </c>
      <c r="D970">
        <v>1403997</v>
      </c>
    </row>
    <row r="971" spans="1:4" x14ac:dyDescent="0.35">
      <c r="A971" s="1">
        <v>2017</v>
      </c>
      <c r="B971" t="s">
        <v>118</v>
      </c>
      <c r="C971" t="s">
        <v>119</v>
      </c>
      <c r="D971">
        <v>1438266</v>
      </c>
    </row>
    <row r="972" spans="1:4" x14ac:dyDescent="0.35">
      <c r="A972" s="1">
        <v>2017</v>
      </c>
      <c r="B972" t="s">
        <v>158</v>
      </c>
      <c r="C972" t="s">
        <v>159</v>
      </c>
      <c r="D972">
        <v>374351</v>
      </c>
    </row>
    <row r="973" spans="1:4" x14ac:dyDescent="0.35">
      <c r="A973" s="1">
        <v>2017</v>
      </c>
      <c r="B973" t="s">
        <v>112</v>
      </c>
      <c r="C973" t="s">
        <v>113</v>
      </c>
      <c r="D973">
        <v>572443</v>
      </c>
    </row>
    <row r="974" spans="1:4" x14ac:dyDescent="0.35">
      <c r="A974" s="1">
        <v>2017</v>
      </c>
      <c r="B974" t="s">
        <v>186</v>
      </c>
      <c r="C974" t="s">
        <v>187</v>
      </c>
      <c r="D974">
        <v>387890</v>
      </c>
    </row>
    <row r="975" spans="1:4" x14ac:dyDescent="0.35">
      <c r="A975" s="1">
        <v>2017</v>
      </c>
      <c r="B975" t="s">
        <v>188</v>
      </c>
      <c r="C975" t="s">
        <v>189</v>
      </c>
      <c r="D975">
        <v>258349</v>
      </c>
    </row>
    <row r="976" spans="1:4" x14ac:dyDescent="0.35">
      <c r="A976" s="1">
        <v>2017</v>
      </c>
      <c r="B976" t="s">
        <v>208</v>
      </c>
      <c r="C976" t="s">
        <v>209</v>
      </c>
      <c r="D976">
        <v>1058740</v>
      </c>
    </row>
    <row r="977" spans="1:4" x14ac:dyDescent="0.35">
      <c r="A977" s="1">
        <v>2017</v>
      </c>
      <c r="B977" t="s">
        <v>210</v>
      </c>
      <c r="C977" t="s">
        <v>211</v>
      </c>
      <c r="D977">
        <v>559479</v>
      </c>
    </row>
    <row r="978" spans="1:4" x14ac:dyDescent="0.35">
      <c r="A978" s="1">
        <v>2017</v>
      </c>
      <c r="B978" t="s">
        <v>198</v>
      </c>
      <c r="C978" t="s">
        <v>199</v>
      </c>
      <c r="D978">
        <v>675247</v>
      </c>
    </row>
    <row r="979" spans="1:4" x14ac:dyDescent="0.35">
      <c r="A979" s="1">
        <v>2017</v>
      </c>
      <c r="B979" t="s">
        <v>160</v>
      </c>
      <c r="C979" t="s">
        <v>161</v>
      </c>
      <c r="D979">
        <v>436876</v>
      </c>
    </row>
    <row r="980" spans="1:4" x14ac:dyDescent="0.35">
      <c r="A980" s="1">
        <v>2017</v>
      </c>
      <c r="B980" t="s">
        <v>162</v>
      </c>
      <c r="C980" t="s">
        <v>163</v>
      </c>
      <c r="D980">
        <v>374426</v>
      </c>
    </row>
    <row r="981" spans="1:4" x14ac:dyDescent="0.35">
      <c r="A981" s="1">
        <v>2017</v>
      </c>
      <c r="B981" t="s">
        <v>102</v>
      </c>
      <c r="C981" t="s">
        <v>103</v>
      </c>
      <c r="D981">
        <v>367673</v>
      </c>
    </row>
    <row r="982" spans="1:4" x14ac:dyDescent="0.35">
      <c r="A982" s="1">
        <v>2017</v>
      </c>
      <c r="B982" t="s">
        <v>44</v>
      </c>
      <c r="C982" t="s">
        <v>45</v>
      </c>
      <c r="D982">
        <v>338291</v>
      </c>
    </row>
    <row r="983" spans="1:4" x14ac:dyDescent="0.35">
      <c r="A983" s="1">
        <v>2017</v>
      </c>
      <c r="B983" t="s">
        <v>46</v>
      </c>
      <c r="C983" t="s">
        <v>221</v>
      </c>
      <c r="D983">
        <v>142622</v>
      </c>
    </row>
    <row r="984" spans="1:4" x14ac:dyDescent="0.35">
      <c r="A984" s="1">
        <v>2017</v>
      </c>
      <c r="B984" t="s">
        <v>120</v>
      </c>
      <c r="C984" t="s">
        <v>121</v>
      </c>
      <c r="D984">
        <v>1296130</v>
      </c>
    </row>
    <row r="985" spans="1:4" x14ac:dyDescent="0.35">
      <c r="A985" s="1">
        <v>2017</v>
      </c>
      <c r="B985" t="s">
        <v>122</v>
      </c>
      <c r="C985" t="s">
        <v>222</v>
      </c>
      <c r="D985">
        <v>1609306</v>
      </c>
    </row>
    <row r="986" spans="1:4" x14ac:dyDescent="0.35">
      <c r="A986" s="1">
        <v>2017</v>
      </c>
      <c r="B986" t="s">
        <v>124</v>
      </c>
      <c r="C986" t="s">
        <v>125</v>
      </c>
      <c r="D986">
        <v>1623111</v>
      </c>
    </row>
    <row r="987" spans="1:4" x14ac:dyDescent="0.35">
      <c r="A987" s="1">
        <v>2017</v>
      </c>
      <c r="B987" t="s">
        <v>126</v>
      </c>
      <c r="C987" t="s">
        <v>127</v>
      </c>
      <c r="D987">
        <v>1387926</v>
      </c>
    </row>
    <row r="988" spans="1:4" x14ac:dyDescent="0.35">
      <c r="A988" s="1">
        <v>2017</v>
      </c>
      <c r="B988" t="s">
        <v>128</v>
      </c>
      <c r="C988" t="s">
        <v>129</v>
      </c>
      <c r="D988">
        <v>1228618</v>
      </c>
    </row>
    <row r="989" spans="1:4" x14ac:dyDescent="0.35">
      <c r="A989" s="1">
        <v>2017</v>
      </c>
      <c r="B989" t="s">
        <v>223</v>
      </c>
      <c r="D989">
        <v>64639133</v>
      </c>
    </row>
    <row r="990" spans="1:4" x14ac:dyDescent="0.35">
      <c r="A990" s="1">
        <v>2017</v>
      </c>
      <c r="B990">
        <v>971</v>
      </c>
      <c r="C990" t="s">
        <v>224</v>
      </c>
      <c r="D990">
        <v>390253</v>
      </c>
    </row>
    <row r="991" spans="1:4" x14ac:dyDescent="0.35">
      <c r="A991" s="1">
        <v>2017</v>
      </c>
      <c r="B991">
        <v>972</v>
      </c>
      <c r="C991" t="s">
        <v>225</v>
      </c>
      <c r="D991">
        <v>372594</v>
      </c>
    </row>
    <row r="992" spans="1:4" x14ac:dyDescent="0.35">
      <c r="A992" s="1">
        <v>2017</v>
      </c>
      <c r="B992">
        <v>973</v>
      </c>
      <c r="C992" t="s">
        <v>77</v>
      </c>
      <c r="D992">
        <v>268700</v>
      </c>
    </row>
    <row r="993" spans="1:4" x14ac:dyDescent="0.35">
      <c r="A993" s="1">
        <v>2017</v>
      </c>
      <c r="B993">
        <v>974</v>
      </c>
      <c r="C993" t="s">
        <v>79</v>
      </c>
      <c r="D993">
        <v>853659</v>
      </c>
    </row>
    <row r="994" spans="1:4" x14ac:dyDescent="0.35">
      <c r="A994" s="1">
        <v>2017</v>
      </c>
      <c r="B994">
        <v>976</v>
      </c>
      <c r="C994" t="s">
        <v>215</v>
      </c>
      <c r="D994">
        <v>250143</v>
      </c>
    </row>
    <row r="995" spans="1:4" x14ac:dyDescent="0.35">
      <c r="A995" s="1">
        <v>2017</v>
      </c>
      <c r="B995" t="s">
        <v>226</v>
      </c>
      <c r="D995">
        <v>2135349</v>
      </c>
    </row>
    <row r="996" spans="1:4" x14ac:dyDescent="0.35">
      <c r="A996" s="1">
        <v>2017</v>
      </c>
      <c r="B996" t="s">
        <v>227</v>
      </c>
      <c r="D996">
        <v>66774482</v>
      </c>
    </row>
    <row r="997" spans="1:4" x14ac:dyDescent="0.35">
      <c r="A997" s="1">
        <v>2017</v>
      </c>
    </row>
    <row r="998" spans="1:4" x14ac:dyDescent="0.35">
      <c r="A998" s="1">
        <v>2017</v>
      </c>
      <c r="B998" t="s">
        <v>242</v>
      </c>
    </row>
    <row r="999" spans="1:4" x14ac:dyDescent="0.35">
      <c r="A999" s="1">
        <v>2016</v>
      </c>
      <c r="B999" t="s">
        <v>229</v>
      </c>
    </row>
    <row r="1000" spans="1:4" x14ac:dyDescent="0.35">
      <c r="A1000" s="1">
        <v>2016</v>
      </c>
      <c r="B1000" t="s">
        <v>245</v>
      </c>
    </row>
    <row r="1001" spans="1:4" x14ac:dyDescent="0.35">
      <c r="A1001" s="1">
        <v>2016</v>
      </c>
    </row>
    <row r="1002" spans="1:4" x14ac:dyDescent="0.35">
      <c r="A1002" s="1">
        <v>2016</v>
      </c>
      <c r="B1002" t="s">
        <v>231</v>
      </c>
    </row>
    <row r="1003" spans="1:4" x14ac:dyDescent="0.35">
      <c r="A1003" s="1">
        <v>2016</v>
      </c>
      <c r="D1003" t="s">
        <v>232</v>
      </c>
    </row>
    <row r="1004" spans="1:4" x14ac:dyDescent="0.35">
      <c r="A1004" s="1">
        <v>2016</v>
      </c>
      <c r="B1004" t="s">
        <v>5</v>
      </c>
      <c r="C1004" t="s">
        <v>6</v>
      </c>
      <c r="D1004">
        <v>638425</v>
      </c>
    </row>
    <row r="1005" spans="1:4" x14ac:dyDescent="0.35">
      <c r="A1005" s="1">
        <v>2016</v>
      </c>
      <c r="B1005" t="s">
        <v>104</v>
      </c>
      <c r="C1005" t="s">
        <v>105</v>
      </c>
      <c r="D1005">
        <v>536136</v>
      </c>
    </row>
    <row r="1006" spans="1:4" x14ac:dyDescent="0.35">
      <c r="A1006" s="1">
        <v>2016</v>
      </c>
      <c r="B1006" t="s">
        <v>10</v>
      </c>
      <c r="C1006" t="s">
        <v>11</v>
      </c>
      <c r="D1006">
        <v>339384</v>
      </c>
    </row>
    <row r="1007" spans="1:4" x14ac:dyDescent="0.35">
      <c r="A1007" s="1">
        <v>2016</v>
      </c>
      <c r="B1007" t="s">
        <v>200</v>
      </c>
      <c r="C1007" t="s">
        <v>201</v>
      </c>
      <c r="D1007">
        <v>162565</v>
      </c>
    </row>
    <row r="1008" spans="1:4" x14ac:dyDescent="0.35">
      <c r="A1008" s="1">
        <v>2016</v>
      </c>
      <c r="B1008" t="s">
        <v>202</v>
      </c>
      <c r="C1008" t="s">
        <v>203</v>
      </c>
      <c r="D1008">
        <v>141107</v>
      </c>
    </row>
    <row r="1009" spans="1:4" x14ac:dyDescent="0.35">
      <c r="A1009" s="1">
        <v>2016</v>
      </c>
      <c r="B1009" t="s">
        <v>204</v>
      </c>
      <c r="C1009" t="s">
        <v>205</v>
      </c>
      <c r="D1009">
        <v>1083704</v>
      </c>
    </row>
    <row r="1010" spans="1:4" x14ac:dyDescent="0.35">
      <c r="A1010" s="1">
        <v>2016</v>
      </c>
      <c r="B1010" t="s">
        <v>12</v>
      </c>
      <c r="C1010" t="s">
        <v>13</v>
      </c>
      <c r="D1010">
        <v>325157</v>
      </c>
    </row>
    <row r="1011" spans="1:4" x14ac:dyDescent="0.35">
      <c r="A1011" s="1">
        <v>2016</v>
      </c>
      <c r="B1011" t="s">
        <v>84</v>
      </c>
      <c r="C1011" t="s">
        <v>85</v>
      </c>
      <c r="D1011">
        <v>275371</v>
      </c>
    </row>
    <row r="1012" spans="1:4" x14ac:dyDescent="0.35">
      <c r="A1012" s="1">
        <v>2016</v>
      </c>
      <c r="B1012" t="s">
        <v>164</v>
      </c>
      <c r="C1012" t="s">
        <v>165</v>
      </c>
      <c r="D1012">
        <v>153067</v>
      </c>
    </row>
    <row r="1013" spans="1:4" x14ac:dyDescent="0.35">
      <c r="A1013" s="1">
        <v>2016</v>
      </c>
      <c r="B1013" t="s">
        <v>86</v>
      </c>
      <c r="C1013" t="s">
        <v>87</v>
      </c>
      <c r="D1013">
        <v>308910</v>
      </c>
    </row>
    <row r="1014" spans="1:4" x14ac:dyDescent="0.35">
      <c r="A1014" s="1">
        <v>2016</v>
      </c>
      <c r="B1014" t="s">
        <v>166</v>
      </c>
      <c r="C1014" t="s">
        <v>167</v>
      </c>
      <c r="D1014">
        <v>368025</v>
      </c>
    </row>
    <row r="1015" spans="1:4" x14ac:dyDescent="0.35">
      <c r="A1015" s="1">
        <v>2016</v>
      </c>
      <c r="B1015" t="s">
        <v>168</v>
      </c>
      <c r="C1015" t="s">
        <v>169</v>
      </c>
      <c r="D1015">
        <v>278697</v>
      </c>
    </row>
    <row r="1016" spans="1:4" x14ac:dyDescent="0.35">
      <c r="A1016" s="1">
        <v>2016</v>
      </c>
      <c r="B1016" t="s">
        <v>206</v>
      </c>
      <c r="C1016" t="s">
        <v>207</v>
      </c>
      <c r="D1016">
        <v>2019717</v>
      </c>
    </row>
    <row r="1017" spans="1:4" x14ac:dyDescent="0.35">
      <c r="A1017" s="1">
        <v>2016</v>
      </c>
      <c r="B1017" t="s">
        <v>130</v>
      </c>
      <c r="C1017" t="s">
        <v>131</v>
      </c>
      <c r="D1017">
        <v>693679</v>
      </c>
    </row>
    <row r="1018" spans="1:4" x14ac:dyDescent="0.35">
      <c r="A1018" s="1">
        <v>2016</v>
      </c>
      <c r="B1018" t="s">
        <v>14</v>
      </c>
      <c r="C1018" t="s">
        <v>15</v>
      </c>
      <c r="D1018">
        <v>145969</v>
      </c>
    </row>
    <row r="1019" spans="1:4" x14ac:dyDescent="0.35">
      <c r="A1019" s="1">
        <v>2016</v>
      </c>
      <c r="B1019" t="s">
        <v>140</v>
      </c>
      <c r="C1019" t="s">
        <v>141</v>
      </c>
      <c r="D1019">
        <v>353288</v>
      </c>
    </row>
    <row r="1020" spans="1:4" x14ac:dyDescent="0.35">
      <c r="A1020" s="1">
        <v>2016</v>
      </c>
      <c r="B1020" t="s">
        <v>142</v>
      </c>
      <c r="C1020" t="s">
        <v>143</v>
      </c>
      <c r="D1020">
        <v>642191</v>
      </c>
    </row>
    <row r="1021" spans="1:4" x14ac:dyDescent="0.35">
      <c r="A1021" s="1">
        <v>2016</v>
      </c>
      <c r="B1021" t="s">
        <v>56</v>
      </c>
      <c r="C1021" t="s">
        <v>57</v>
      </c>
      <c r="D1021">
        <v>307110</v>
      </c>
    </row>
    <row r="1022" spans="1:4" x14ac:dyDescent="0.35">
      <c r="A1022" s="1">
        <v>2016</v>
      </c>
      <c r="B1022" t="s">
        <v>144</v>
      </c>
      <c r="C1022" t="s">
        <v>145</v>
      </c>
      <c r="D1022">
        <v>241535</v>
      </c>
    </row>
    <row r="1023" spans="1:4" x14ac:dyDescent="0.35">
      <c r="A1023" s="1">
        <v>2016</v>
      </c>
      <c r="B1023" t="s">
        <v>68</v>
      </c>
      <c r="C1023" t="s">
        <v>69</v>
      </c>
      <c r="D1023">
        <v>154303</v>
      </c>
    </row>
    <row r="1024" spans="1:4" x14ac:dyDescent="0.35">
      <c r="A1024" s="1">
        <v>2016</v>
      </c>
      <c r="B1024" t="s">
        <v>70</v>
      </c>
      <c r="C1024" t="s">
        <v>71</v>
      </c>
      <c r="D1024">
        <v>176152</v>
      </c>
    </row>
    <row r="1025" spans="1:4" x14ac:dyDescent="0.35">
      <c r="A1025" s="1">
        <v>2016</v>
      </c>
      <c r="B1025" t="s">
        <v>32</v>
      </c>
      <c r="C1025" t="s">
        <v>219</v>
      </c>
      <c r="D1025">
        <v>533213</v>
      </c>
    </row>
    <row r="1026" spans="1:4" x14ac:dyDescent="0.35">
      <c r="A1026" s="1">
        <v>2016</v>
      </c>
      <c r="B1026" t="s">
        <v>48</v>
      </c>
      <c r="C1026" t="s">
        <v>220</v>
      </c>
      <c r="D1026">
        <v>598953</v>
      </c>
    </row>
    <row r="1027" spans="1:4" x14ac:dyDescent="0.35">
      <c r="A1027" s="1">
        <v>2016</v>
      </c>
      <c r="B1027" t="s">
        <v>146</v>
      </c>
      <c r="C1027" t="s">
        <v>147</v>
      </c>
      <c r="D1027">
        <v>119502</v>
      </c>
    </row>
    <row r="1028" spans="1:4" x14ac:dyDescent="0.35">
      <c r="A1028" s="1">
        <v>2016</v>
      </c>
      <c r="B1028" t="s">
        <v>148</v>
      </c>
      <c r="C1028" t="s">
        <v>149</v>
      </c>
      <c r="D1028">
        <v>414789</v>
      </c>
    </row>
    <row r="1029" spans="1:4" x14ac:dyDescent="0.35">
      <c r="A1029" s="1">
        <v>2016</v>
      </c>
      <c r="B1029" t="s">
        <v>34</v>
      </c>
      <c r="C1029" t="s">
        <v>35</v>
      </c>
      <c r="D1029">
        <v>538549</v>
      </c>
    </row>
    <row r="1030" spans="1:4" x14ac:dyDescent="0.35">
      <c r="A1030" s="1">
        <v>2016</v>
      </c>
      <c r="B1030" t="s">
        <v>16</v>
      </c>
      <c r="C1030" t="s">
        <v>17</v>
      </c>
      <c r="D1030">
        <v>508006</v>
      </c>
    </row>
    <row r="1031" spans="1:4" x14ac:dyDescent="0.35">
      <c r="A1031" s="1">
        <v>2016</v>
      </c>
      <c r="B1031" t="s">
        <v>132</v>
      </c>
      <c r="C1031" t="s">
        <v>133</v>
      </c>
      <c r="D1031">
        <v>602825</v>
      </c>
    </row>
    <row r="1032" spans="1:4" x14ac:dyDescent="0.35">
      <c r="A1032" s="1">
        <v>2016</v>
      </c>
      <c r="B1032" t="s">
        <v>58</v>
      </c>
      <c r="C1032" t="s">
        <v>59</v>
      </c>
      <c r="D1032">
        <v>433929</v>
      </c>
    </row>
    <row r="1033" spans="1:4" x14ac:dyDescent="0.35">
      <c r="A1033" s="1">
        <v>2016</v>
      </c>
      <c r="B1033" t="s">
        <v>50</v>
      </c>
      <c r="C1033" t="s">
        <v>51</v>
      </c>
      <c r="D1033">
        <v>908249</v>
      </c>
    </row>
    <row r="1034" spans="1:4" x14ac:dyDescent="0.35">
      <c r="A1034" s="1">
        <v>2016</v>
      </c>
      <c r="B1034" t="s">
        <v>170</v>
      </c>
      <c r="C1034" t="s">
        <v>171</v>
      </c>
      <c r="D1034">
        <v>742006</v>
      </c>
    </row>
    <row r="1035" spans="1:4" x14ac:dyDescent="0.35">
      <c r="A1035" s="1">
        <v>2016</v>
      </c>
      <c r="B1035" t="s">
        <v>172</v>
      </c>
      <c r="C1035" t="s">
        <v>173</v>
      </c>
      <c r="D1035">
        <v>1348183</v>
      </c>
    </row>
    <row r="1036" spans="1:4" x14ac:dyDescent="0.35">
      <c r="A1036" s="1">
        <v>2016</v>
      </c>
      <c r="B1036" t="s">
        <v>174</v>
      </c>
      <c r="C1036" t="s">
        <v>175</v>
      </c>
      <c r="D1036">
        <v>190664</v>
      </c>
    </row>
    <row r="1037" spans="1:4" x14ac:dyDescent="0.35">
      <c r="A1037" s="1">
        <v>2016</v>
      </c>
      <c r="B1037" t="s">
        <v>150</v>
      </c>
      <c r="C1037" t="s">
        <v>151</v>
      </c>
      <c r="D1037">
        <v>1566679</v>
      </c>
    </row>
    <row r="1038" spans="1:4" x14ac:dyDescent="0.35">
      <c r="A1038" s="1">
        <v>2016</v>
      </c>
      <c r="B1038" t="s">
        <v>176</v>
      </c>
      <c r="C1038" t="s">
        <v>177</v>
      </c>
      <c r="D1038">
        <v>1132481</v>
      </c>
    </row>
    <row r="1039" spans="1:4" x14ac:dyDescent="0.35">
      <c r="A1039" s="1">
        <v>2016</v>
      </c>
      <c r="B1039" t="s">
        <v>52</v>
      </c>
      <c r="C1039" t="s">
        <v>53</v>
      </c>
      <c r="D1039">
        <v>1051779</v>
      </c>
    </row>
    <row r="1040" spans="1:4" x14ac:dyDescent="0.35">
      <c r="A1040" s="1">
        <v>2016</v>
      </c>
      <c r="B1040" t="s">
        <v>60</v>
      </c>
      <c r="C1040" t="s">
        <v>61</v>
      </c>
      <c r="D1040">
        <v>223505</v>
      </c>
    </row>
    <row r="1041" spans="1:4" x14ac:dyDescent="0.35">
      <c r="A1041" s="1">
        <v>2016</v>
      </c>
      <c r="B1041" t="s">
        <v>62</v>
      </c>
      <c r="C1041" t="s">
        <v>63</v>
      </c>
      <c r="D1041">
        <v>606223</v>
      </c>
    </row>
    <row r="1042" spans="1:4" x14ac:dyDescent="0.35">
      <c r="A1042" s="1">
        <v>2016</v>
      </c>
      <c r="B1042" t="s">
        <v>18</v>
      </c>
      <c r="C1042" t="s">
        <v>19</v>
      </c>
      <c r="D1042">
        <v>1252912</v>
      </c>
    </row>
    <row r="1043" spans="1:4" x14ac:dyDescent="0.35">
      <c r="A1043" s="1">
        <v>2016</v>
      </c>
      <c r="B1043" t="s">
        <v>36</v>
      </c>
      <c r="C1043" t="s">
        <v>37</v>
      </c>
      <c r="D1043">
        <v>260517</v>
      </c>
    </row>
    <row r="1044" spans="1:4" x14ac:dyDescent="0.35">
      <c r="A1044" s="1">
        <v>2016</v>
      </c>
      <c r="B1044" t="s">
        <v>152</v>
      </c>
      <c r="C1044" t="s">
        <v>153</v>
      </c>
      <c r="D1044">
        <v>405010</v>
      </c>
    </row>
    <row r="1045" spans="1:4" x14ac:dyDescent="0.35">
      <c r="A1045" s="1">
        <v>2016</v>
      </c>
      <c r="B1045" t="s">
        <v>64</v>
      </c>
      <c r="C1045" t="s">
        <v>65</v>
      </c>
      <c r="D1045">
        <v>332769</v>
      </c>
    </row>
    <row r="1046" spans="1:4" x14ac:dyDescent="0.35">
      <c r="A1046" s="1">
        <v>2016</v>
      </c>
      <c r="B1046" t="s">
        <v>20</v>
      </c>
      <c r="C1046" t="s">
        <v>21</v>
      </c>
      <c r="D1046">
        <v>761997</v>
      </c>
    </row>
    <row r="1047" spans="1:4" x14ac:dyDescent="0.35">
      <c r="A1047" s="1">
        <v>2016</v>
      </c>
      <c r="B1047" t="s">
        <v>22</v>
      </c>
      <c r="C1047" t="s">
        <v>23</v>
      </c>
      <c r="D1047">
        <v>227339</v>
      </c>
    </row>
    <row r="1048" spans="1:4" x14ac:dyDescent="0.35">
      <c r="A1048" s="1">
        <v>2016</v>
      </c>
      <c r="B1048" t="s">
        <v>190</v>
      </c>
      <c r="C1048" t="s">
        <v>191</v>
      </c>
      <c r="D1048">
        <v>1380852</v>
      </c>
    </row>
    <row r="1049" spans="1:4" x14ac:dyDescent="0.35">
      <c r="A1049" s="1">
        <v>2016</v>
      </c>
      <c r="B1049" t="s">
        <v>66</v>
      </c>
      <c r="C1049" t="s">
        <v>67</v>
      </c>
      <c r="D1049">
        <v>674330</v>
      </c>
    </row>
    <row r="1050" spans="1:4" x14ac:dyDescent="0.35">
      <c r="A1050" s="1">
        <v>2016</v>
      </c>
      <c r="B1050" t="s">
        <v>178</v>
      </c>
      <c r="C1050" t="s">
        <v>179</v>
      </c>
      <c r="D1050">
        <v>173347</v>
      </c>
    </row>
    <row r="1051" spans="1:4" x14ac:dyDescent="0.35">
      <c r="A1051" s="1">
        <v>2016</v>
      </c>
      <c r="B1051" t="s">
        <v>154</v>
      </c>
      <c r="C1051" t="s">
        <v>155</v>
      </c>
      <c r="D1051">
        <v>332833</v>
      </c>
    </row>
    <row r="1052" spans="1:4" x14ac:dyDescent="0.35">
      <c r="A1052" s="1">
        <v>2016</v>
      </c>
      <c r="B1052" t="s">
        <v>180</v>
      </c>
      <c r="C1052" t="s">
        <v>181</v>
      </c>
      <c r="D1052">
        <v>76422</v>
      </c>
    </row>
    <row r="1053" spans="1:4" x14ac:dyDescent="0.35">
      <c r="A1053" s="1">
        <v>2016</v>
      </c>
      <c r="B1053" t="s">
        <v>192</v>
      </c>
      <c r="C1053" t="s">
        <v>193</v>
      </c>
      <c r="D1053">
        <v>810934</v>
      </c>
    </row>
    <row r="1054" spans="1:4" x14ac:dyDescent="0.35">
      <c r="A1054" s="1">
        <v>2016</v>
      </c>
      <c r="B1054" t="s">
        <v>134</v>
      </c>
      <c r="C1054" t="s">
        <v>135</v>
      </c>
      <c r="D1054">
        <v>498362</v>
      </c>
    </row>
    <row r="1055" spans="1:4" x14ac:dyDescent="0.35">
      <c r="A1055" s="1">
        <v>2016</v>
      </c>
      <c r="B1055" t="s">
        <v>88</v>
      </c>
      <c r="C1055" t="s">
        <v>89</v>
      </c>
      <c r="D1055">
        <v>570883</v>
      </c>
    </row>
    <row r="1056" spans="1:4" x14ac:dyDescent="0.35">
      <c r="A1056" s="1">
        <v>2016</v>
      </c>
      <c r="B1056" t="s">
        <v>90</v>
      </c>
      <c r="C1056" t="s">
        <v>91</v>
      </c>
      <c r="D1056">
        <v>178084</v>
      </c>
    </row>
    <row r="1057" spans="1:4" x14ac:dyDescent="0.35">
      <c r="A1057" s="1">
        <v>2016</v>
      </c>
      <c r="B1057" t="s">
        <v>194</v>
      </c>
      <c r="C1057" t="s">
        <v>195</v>
      </c>
      <c r="D1057">
        <v>307688</v>
      </c>
    </row>
    <row r="1058" spans="1:4" x14ac:dyDescent="0.35">
      <c r="A1058" s="1">
        <v>2016</v>
      </c>
      <c r="B1058" t="s">
        <v>92</v>
      </c>
      <c r="C1058" t="s">
        <v>93</v>
      </c>
      <c r="D1058">
        <v>733821</v>
      </c>
    </row>
    <row r="1059" spans="1:4" x14ac:dyDescent="0.35">
      <c r="A1059" s="1">
        <v>2016</v>
      </c>
      <c r="B1059" t="s">
        <v>94</v>
      </c>
      <c r="C1059" t="s">
        <v>95</v>
      </c>
      <c r="D1059">
        <v>189055</v>
      </c>
    </row>
    <row r="1060" spans="1:4" x14ac:dyDescent="0.35">
      <c r="A1060" s="1">
        <v>2016</v>
      </c>
      <c r="B1060" t="s">
        <v>54</v>
      </c>
      <c r="C1060" t="s">
        <v>55</v>
      </c>
      <c r="D1060">
        <v>747548</v>
      </c>
    </row>
    <row r="1061" spans="1:4" x14ac:dyDescent="0.35">
      <c r="A1061" s="1">
        <v>2016</v>
      </c>
      <c r="B1061" t="s">
        <v>96</v>
      </c>
      <c r="C1061" t="s">
        <v>97</v>
      </c>
      <c r="D1061">
        <v>1045271</v>
      </c>
    </row>
    <row r="1062" spans="1:4" x14ac:dyDescent="0.35">
      <c r="A1062" s="1">
        <v>2016</v>
      </c>
      <c r="B1062" t="s">
        <v>38</v>
      </c>
      <c r="C1062" t="s">
        <v>39</v>
      </c>
      <c r="D1062">
        <v>209161</v>
      </c>
    </row>
    <row r="1063" spans="1:4" x14ac:dyDescent="0.35">
      <c r="A1063" s="1">
        <v>2016</v>
      </c>
      <c r="B1063" t="s">
        <v>106</v>
      </c>
      <c r="C1063" t="s">
        <v>107</v>
      </c>
      <c r="D1063">
        <v>2603723</v>
      </c>
    </row>
    <row r="1064" spans="1:4" x14ac:dyDescent="0.35">
      <c r="A1064" s="1">
        <v>2016</v>
      </c>
      <c r="B1064" t="s">
        <v>108</v>
      </c>
      <c r="C1064" t="s">
        <v>109</v>
      </c>
      <c r="D1064">
        <v>823542</v>
      </c>
    </row>
    <row r="1065" spans="1:4" x14ac:dyDescent="0.35">
      <c r="A1065" s="1">
        <v>2016</v>
      </c>
      <c r="B1065" t="s">
        <v>136</v>
      </c>
      <c r="C1065" t="s">
        <v>137</v>
      </c>
      <c r="D1065">
        <v>285308</v>
      </c>
    </row>
    <row r="1066" spans="1:4" x14ac:dyDescent="0.35">
      <c r="A1066" s="1">
        <v>2016</v>
      </c>
      <c r="B1066" t="s">
        <v>110</v>
      </c>
      <c r="C1066" t="s">
        <v>111</v>
      </c>
      <c r="D1066">
        <v>1470725</v>
      </c>
    </row>
    <row r="1067" spans="1:4" x14ac:dyDescent="0.35">
      <c r="A1067" s="1">
        <v>2016</v>
      </c>
      <c r="B1067" t="s">
        <v>24</v>
      </c>
      <c r="C1067" t="s">
        <v>25</v>
      </c>
      <c r="D1067">
        <v>650700</v>
      </c>
    </row>
    <row r="1068" spans="1:4" x14ac:dyDescent="0.35">
      <c r="A1068" s="1">
        <v>2016</v>
      </c>
      <c r="B1068" t="s">
        <v>156</v>
      </c>
      <c r="C1068" t="s">
        <v>157</v>
      </c>
      <c r="D1068">
        <v>673986</v>
      </c>
    </row>
    <row r="1069" spans="1:4" x14ac:dyDescent="0.35">
      <c r="A1069" s="1">
        <v>2016</v>
      </c>
      <c r="B1069" t="s">
        <v>182</v>
      </c>
      <c r="C1069" t="s">
        <v>183</v>
      </c>
      <c r="D1069">
        <v>227829</v>
      </c>
    </row>
    <row r="1070" spans="1:4" x14ac:dyDescent="0.35">
      <c r="A1070" s="1">
        <v>2016</v>
      </c>
      <c r="B1070" t="s">
        <v>184</v>
      </c>
      <c r="C1070" t="s">
        <v>185</v>
      </c>
      <c r="D1070">
        <v>474369</v>
      </c>
    </row>
    <row r="1071" spans="1:4" x14ac:dyDescent="0.35">
      <c r="A1071" s="1">
        <v>2016</v>
      </c>
      <c r="B1071" t="s">
        <v>98</v>
      </c>
      <c r="C1071" t="s">
        <v>99</v>
      </c>
      <c r="D1071">
        <v>1121407</v>
      </c>
    </row>
    <row r="1072" spans="1:4" x14ac:dyDescent="0.35">
      <c r="A1072" s="1">
        <v>2016</v>
      </c>
      <c r="B1072" t="s">
        <v>100</v>
      </c>
      <c r="C1072" t="s">
        <v>101</v>
      </c>
      <c r="D1072">
        <v>762743</v>
      </c>
    </row>
    <row r="1073" spans="1:4" x14ac:dyDescent="0.35">
      <c r="A1073" s="1">
        <v>2016</v>
      </c>
      <c r="B1073" t="s">
        <v>26</v>
      </c>
      <c r="C1073" t="s">
        <v>27</v>
      </c>
      <c r="D1073">
        <v>1835903</v>
      </c>
    </row>
    <row r="1074" spans="1:4" x14ac:dyDescent="0.35">
      <c r="A1074" s="1">
        <v>2016</v>
      </c>
      <c r="B1074" t="s">
        <v>40</v>
      </c>
      <c r="C1074" t="s">
        <v>41</v>
      </c>
      <c r="D1074">
        <v>237242</v>
      </c>
    </row>
    <row r="1075" spans="1:4" x14ac:dyDescent="0.35">
      <c r="A1075" s="1">
        <v>2016</v>
      </c>
      <c r="B1075" t="s">
        <v>42</v>
      </c>
      <c r="C1075" t="s">
        <v>43</v>
      </c>
      <c r="D1075">
        <v>555023</v>
      </c>
    </row>
    <row r="1076" spans="1:4" x14ac:dyDescent="0.35">
      <c r="A1076" s="1">
        <v>2016</v>
      </c>
      <c r="B1076" t="s">
        <v>196</v>
      </c>
      <c r="C1076" t="s">
        <v>197</v>
      </c>
      <c r="D1076">
        <v>567561</v>
      </c>
    </row>
    <row r="1077" spans="1:4" x14ac:dyDescent="0.35">
      <c r="A1077" s="1">
        <v>2016</v>
      </c>
      <c r="B1077" t="s">
        <v>28</v>
      </c>
      <c r="C1077" t="s">
        <v>29</v>
      </c>
      <c r="D1077">
        <v>429681</v>
      </c>
    </row>
    <row r="1078" spans="1:4" x14ac:dyDescent="0.35">
      <c r="A1078" s="1">
        <v>2016</v>
      </c>
      <c r="B1078" t="s">
        <v>30</v>
      </c>
      <c r="C1078" t="s">
        <v>31</v>
      </c>
      <c r="D1078">
        <v>801416</v>
      </c>
    </row>
    <row r="1079" spans="1:4" x14ac:dyDescent="0.35">
      <c r="A1079" s="1">
        <v>2016</v>
      </c>
      <c r="B1079" t="s">
        <v>114</v>
      </c>
      <c r="C1079" t="s">
        <v>115</v>
      </c>
      <c r="D1079">
        <v>2190327</v>
      </c>
    </row>
    <row r="1080" spans="1:4" x14ac:dyDescent="0.35">
      <c r="A1080" s="1">
        <v>2016</v>
      </c>
      <c r="B1080" t="s">
        <v>138</v>
      </c>
      <c r="C1080" t="s">
        <v>139</v>
      </c>
      <c r="D1080">
        <v>1255755</v>
      </c>
    </row>
    <row r="1081" spans="1:4" x14ac:dyDescent="0.35">
      <c r="A1081" s="1">
        <v>2016</v>
      </c>
      <c r="B1081" t="s">
        <v>116</v>
      </c>
      <c r="C1081" t="s">
        <v>117</v>
      </c>
      <c r="D1081">
        <v>1397665</v>
      </c>
    </row>
    <row r="1082" spans="1:4" x14ac:dyDescent="0.35">
      <c r="A1082" s="1">
        <v>2016</v>
      </c>
      <c r="B1082" t="s">
        <v>118</v>
      </c>
      <c r="C1082" t="s">
        <v>119</v>
      </c>
      <c r="D1082">
        <v>1431808</v>
      </c>
    </row>
    <row r="1083" spans="1:4" x14ac:dyDescent="0.35">
      <c r="A1083" s="1">
        <v>2016</v>
      </c>
      <c r="B1083" t="s">
        <v>158</v>
      </c>
      <c r="C1083" t="s">
        <v>159</v>
      </c>
      <c r="D1083">
        <v>374743</v>
      </c>
    </row>
    <row r="1084" spans="1:4" x14ac:dyDescent="0.35">
      <c r="A1084" s="1">
        <v>2016</v>
      </c>
      <c r="B1084" t="s">
        <v>112</v>
      </c>
      <c r="C1084" t="s">
        <v>113</v>
      </c>
      <c r="D1084">
        <v>572744</v>
      </c>
    </row>
    <row r="1085" spans="1:4" x14ac:dyDescent="0.35">
      <c r="A1085" s="1">
        <v>2016</v>
      </c>
      <c r="B1085" t="s">
        <v>186</v>
      </c>
      <c r="C1085" t="s">
        <v>187</v>
      </c>
      <c r="D1085">
        <v>386448</v>
      </c>
    </row>
    <row r="1086" spans="1:4" x14ac:dyDescent="0.35">
      <c r="A1086" s="1">
        <v>2016</v>
      </c>
      <c r="B1086" t="s">
        <v>188</v>
      </c>
      <c r="C1086" t="s">
        <v>189</v>
      </c>
      <c r="D1086">
        <v>256897</v>
      </c>
    </row>
    <row r="1087" spans="1:4" x14ac:dyDescent="0.35">
      <c r="A1087" s="1">
        <v>2016</v>
      </c>
      <c r="B1087" t="s">
        <v>208</v>
      </c>
      <c r="C1087" t="s">
        <v>209</v>
      </c>
      <c r="D1087">
        <v>1055821</v>
      </c>
    </row>
    <row r="1088" spans="1:4" x14ac:dyDescent="0.35">
      <c r="A1088" s="1">
        <v>2016</v>
      </c>
      <c r="B1088" t="s">
        <v>210</v>
      </c>
      <c r="C1088" t="s">
        <v>211</v>
      </c>
      <c r="D1088">
        <v>559014</v>
      </c>
    </row>
    <row r="1089" spans="1:4" x14ac:dyDescent="0.35">
      <c r="A1089" s="1">
        <v>2016</v>
      </c>
      <c r="B1089" t="s">
        <v>198</v>
      </c>
      <c r="C1089" t="s">
        <v>199</v>
      </c>
      <c r="D1089">
        <v>670597</v>
      </c>
    </row>
    <row r="1090" spans="1:4" x14ac:dyDescent="0.35">
      <c r="A1090" s="1">
        <v>2016</v>
      </c>
      <c r="B1090" t="s">
        <v>160</v>
      </c>
      <c r="C1090" t="s">
        <v>161</v>
      </c>
      <c r="D1090">
        <v>436069</v>
      </c>
    </row>
    <row r="1091" spans="1:4" x14ac:dyDescent="0.35">
      <c r="A1091" s="1">
        <v>2016</v>
      </c>
      <c r="B1091" t="s">
        <v>162</v>
      </c>
      <c r="C1091" t="s">
        <v>163</v>
      </c>
      <c r="D1091">
        <v>374978</v>
      </c>
    </row>
    <row r="1092" spans="1:4" x14ac:dyDescent="0.35">
      <c r="A1092" s="1">
        <v>2016</v>
      </c>
      <c r="B1092" t="s">
        <v>102</v>
      </c>
      <c r="C1092" t="s">
        <v>103</v>
      </c>
      <c r="D1092">
        <v>369641</v>
      </c>
    </row>
    <row r="1093" spans="1:4" x14ac:dyDescent="0.35">
      <c r="A1093" s="1">
        <v>2016</v>
      </c>
      <c r="B1093" t="s">
        <v>44</v>
      </c>
      <c r="C1093" t="s">
        <v>45</v>
      </c>
      <c r="D1093">
        <v>340544</v>
      </c>
    </row>
    <row r="1094" spans="1:4" x14ac:dyDescent="0.35">
      <c r="A1094" s="1">
        <v>2016</v>
      </c>
      <c r="B1094" t="s">
        <v>46</v>
      </c>
      <c r="C1094" t="s">
        <v>221</v>
      </c>
      <c r="D1094">
        <v>144089</v>
      </c>
    </row>
    <row r="1095" spans="1:4" x14ac:dyDescent="0.35">
      <c r="A1095" s="1">
        <v>2016</v>
      </c>
      <c r="B1095" t="s">
        <v>120</v>
      </c>
      <c r="C1095" t="s">
        <v>121</v>
      </c>
      <c r="D1095">
        <v>1287330</v>
      </c>
    </row>
    <row r="1096" spans="1:4" x14ac:dyDescent="0.35">
      <c r="A1096" s="1">
        <v>2016</v>
      </c>
      <c r="B1096" t="s">
        <v>122</v>
      </c>
      <c r="C1096" t="s">
        <v>222</v>
      </c>
      <c r="D1096">
        <v>1603268</v>
      </c>
    </row>
    <row r="1097" spans="1:4" x14ac:dyDescent="0.35">
      <c r="A1097" s="1">
        <v>2016</v>
      </c>
      <c r="B1097" t="s">
        <v>124</v>
      </c>
      <c r="C1097" t="s">
        <v>125</v>
      </c>
      <c r="D1097">
        <v>1606660</v>
      </c>
    </row>
    <row r="1098" spans="1:4" x14ac:dyDescent="0.35">
      <c r="A1098" s="1">
        <v>2016</v>
      </c>
      <c r="B1098" t="s">
        <v>126</v>
      </c>
      <c r="C1098" t="s">
        <v>127</v>
      </c>
      <c r="D1098">
        <v>1378151</v>
      </c>
    </row>
    <row r="1099" spans="1:4" x14ac:dyDescent="0.35">
      <c r="A1099" s="1">
        <v>2016</v>
      </c>
      <c r="B1099" t="s">
        <v>128</v>
      </c>
      <c r="C1099" t="s">
        <v>129</v>
      </c>
      <c r="D1099">
        <v>1221923</v>
      </c>
    </row>
    <row r="1100" spans="1:4" x14ac:dyDescent="0.35">
      <c r="A1100" s="1">
        <v>2016</v>
      </c>
      <c r="B1100" t="s">
        <v>223</v>
      </c>
      <c r="D1100">
        <v>64468792</v>
      </c>
    </row>
    <row r="1101" spans="1:4" x14ac:dyDescent="0.35">
      <c r="A1101" s="1">
        <v>2016</v>
      </c>
      <c r="B1101">
        <v>971</v>
      </c>
      <c r="C1101" t="s">
        <v>224</v>
      </c>
      <c r="D1101">
        <v>394110</v>
      </c>
    </row>
    <row r="1102" spans="1:4" x14ac:dyDescent="0.35">
      <c r="A1102" s="1">
        <v>2016</v>
      </c>
      <c r="B1102">
        <v>972</v>
      </c>
      <c r="C1102" t="s">
        <v>225</v>
      </c>
      <c r="D1102">
        <v>376480</v>
      </c>
    </row>
    <row r="1103" spans="1:4" x14ac:dyDescent="0.35">
      <c r="A1103" s="1">
        <v>2016</v>
      </c>
      <c r="B1103">
        <v>973</v>
      </c>
      <c r="C1103" t="s">
        <v>77</v>
      </c>
      <c r="D1103">
        <v>269352</v>
      </c>
    </row>
    <row r="1104" spans="1:4" x14ac:dyDescent="0.35">
      <c r="A1104" s="1">
        <v>2016</v>
      </c>
      <c r="B1104">
        <v>974</v>
      </c>
      <c r="C1104" t="s">
        <v>79</v>
      </c>
      <c r="D1104">
        <v>852924</v>
      </c>
    </row>
    <row r="1105" spans="1:4" x14ac:dyDescent="0.35">
      <c r="A1105" s="1">
        <v>2016</v>
      </c>
      <c r="B1105">
        <v>976</v>
      </c>
      <c r="C1105" t="s">
        <v>215</v>
      </c>
      <c r="D1105">
        <v>240987</v>
      </c>
    </row>
    <row r="1106" spans="1:4" x14ac:dyDescent="0.35">
      <c r="A1106" s="1">
        <v>2016</v>
      </c>
      <c r="B1106" t="s">
        <v>226</v>
      </c>
      <c r="D1106">
        <v>2133853</v>
      </c>
    </row>
    <row r="1107" spans="1:4" x14ac:dyDescent="0.35">
      <c r="A1107" s="1">
        <v>2016</v>
      </c>
      <c r="B1107" t="s">
        <v>227</v>
      </c>
      <c r="D1107">
        <v>66602645</v>
      </c>
    </row>
    <row r="1108" spans="1:4" x14ac:dyDescent="0.35">
      <c r="A1108" s="1">
        <v>2016</v>
      </c>
    </row>
    <row r="1109" spans="1:4" x14ac:dyDescent="0.35">
      <c r="A1109" s="1">
        <v>2016</v>
      </c>
      <c r="B1109" t="s">
        <v>240</v>
      </c>
    </row>
    <row r="1110" spans="1:4" x14ac:dyDescent="0.35">
      <c r="A1110" s="1">
        <v>2015</v>
      </c>
      <c r="B1110" t="s">
        <v>229</v>
      </c>
    </row>
    <row r="1111" spans="1:4" x14ac:dyDescent="0.35">
      <c r="A1111" s="1">
        <v>2015</v>
      </c>
      <c r="B1111" t="s">
        <v>246</v>
      </c>
    </row>
    <row r="1112" spans="1:4" x14ac:dyDescent="0.35">
      <c r="A1112" s="1">
        <v>2015</v>
      </c>
    </row>
    <row r="1113" spans="1:4" x14ac:dyDescent="0.35">
      <c r="A1113" s="1">
        <v>2015</v>
      </c>
      <c r="B1113" t="s">
        <v>231</v>
      </c>
    </row>
    <row r="1114" spans="1:4" x14ac:dyDescent="0.35">
      <c r="A1114" s="1">
        <v>2015</v>
      </c>
      <c r="D1114" t="s">
        <v>232</v>
      </c>
    </row>
    <row r="1115" spans="1:4" x14ac:dyDescent="0.35">
      <c r="A1115" s="1">
        <v>2015</v>
      </c>
      <c r="B1115" t="s">
        <v>5</v>
      </c>
      <c r="C1115" t="s">
        <v>6</v>
      </c>
      <c r="D1115">
        <v>631877</v>
      </c>
    </row>
    <row r="1116" spans="1:4" x14ac:dyDescent="0.35">
      <c r="A1116" s="1">
        <v>2015</v>
      </c>
      <c r="B1116" t="s">
        <v>104</v>
      </c>
      <c r="C1116" t="s">
        <v>105</v>
      </c>
      <c r="D1116">
        <v>538659</v>
      </c>
    </row>
    <row r="1117" spans="1:4" x14ac:dyDescent="0.35">
      <c r="A1117" s="1">
        <v>2015</v>
      </c>
      <c r="B1117" t="s">
        <v>10</v>
      </c>
      <c r="C1117" t="s">
        <v>11</v>
      </c>
      <c r="D1117">
        <v>341613</v>
      </c>
    </row>
    <row r="1118" spans="1:4" x14ac:dyDescent="0.35">
      <c r="A1118" s="1">
        <v>2015</v>
      </c>
      <c r="B1118" t="s">
        <v>200</v>
      </c>
      <c r="C1118" t="s">
        <v>201</v>
      </c>
      <c r="D1118">
        <v>161799</v>
      </c>
    </row>
    <row r="1119" spans="1:4" x14ac:dyDescent="0.35">
      <c r="A1119" s="1">
        <v>2015</v>
      </c>
      <c r="B1119" t="s">
        <v>202</v>
      </c>
      <c r="C1119" t="s">
        <v>203</v>
      </c>
      <c r="D1119">
        <v>140916</v>
      </c>
    </row>
    <row r="1120" spans="1:4" x14ac:dyDescent="0.35">
      <c r="A1120" s="1">
        <v>2015</v>
      </c>
      <c r="B1120" t="s">
        <v>204</v>
      </c>
      <c r="C1120" t="s">
        <v>205</v>
      </c>
      <c r="D1120">
        <v>1082440</v>
      </c>
    </row>
    <row r="1121" spans="1:4" x14ac:dyDescent="0.35">
      <c r="A1121" s="1">
        <v>2015</v>
      </c>
      <c r="B1121" t="s">
        <v>12</v>
      </c>
      <c r="C1121" t="s">
        <v>13</v>
      </c>
      <c r="D1121">
        <v>324209</v>
      </c>
    </row>
    <row r="1122" spans="1:4" x14ac:dyDescent="0.35">
      <c r="A1122" s="1">
        <v>2015</v>
      </c>
      <c r="B1122" t="s">
        <v>84</v>
      </c>
      <c r="C1122" t="s">
        <v>85</v>
      </c>
      <c r="D1122">
        <v>277752</v>
      </c>
    </row>
    <row r="1123" spans="1:4" x14ac:dyDescent="0.35">
      <c r="A1123" s="1">
        <v>2015</v>
      </c>
      <c r="B1123" t="s">
        <v>164</v>
      </c>
      <c r="C1123" t="s">
        <v>165</v>
      </c>
      <c r="D1123">
        <v>152499</v>
      </c>
    </row>
    <row r="1124" spans="1:4" x14ac:dyDescent="0.35">
      <c r="A1124" s="1">
        <v>2015</v>
      </c>
      <c r="B1124" t="s">
        <v>86</v>
      </c>
      <c r="C1124" t="s">
        <v>87</v>
      </c>
      <c r="D1124">
        <v>309056</v>
      </c>
    </row>
    <row r="1125" spans="1:4" x14ac:dyDescent="0.35">
      <c r="A1125" s="1">
        <v>2015</v>
      </c>
      <c r="B1125" t="s">
        <v>166</v>
      </c>
      <c r="C1125" t="s">
        <v>167</v>
      </c>
      <c r="D1125">
        <v>366957</v>
      </c>
    </row>
    <row r="1126" spans="1:4" x14ac:dyDescent="0.35">
      <c r="A1126" s="1">
        <v>2015</v>
      </c>
      <c r="B1126" t="s">
        <v>168</v>
      </c>
      <c r="C1126" t="s">
        <v>169</v>
      </c>
      <c r="D1126">
        <v>279169</v>
      </c>
    </row>
    <row r="1127" spans="1:4" x14ac:dyDescent="0.35">
      <c r="A1127" s="1">
        <v>2015</v>
      </c>
      <c r="B1127" t="s">
        <v>206</v>
      </c>
      <c r="C1127" t="s">
        <v>207</v>
      </c>
      <c r="D1127">
        <v>2016622</v>
      </c>
    </row>
    <row r="1128" spans="1:4" x14ac:dyDescent="0.35">
      <c r="A1128" s="1">
        <v>2015</v>
      </c>
      <c r="B1128" t="s">
        <v>130</v>
      </c>
      <c r="C1128" t="s">
        <v>131</v>
      </c>
      <c r="D1128">
        <v>693579</v>
      </c>
    </row>
    <row r="1129" spans="1:4" x14ac:dyDescent="0.35">
      <c r="A1129" s="1">
        <v>2015</v>
      </c>
      <c r="B1129" t="s">
        <v>14</v>
      </c>
      <c r="C1129" t="s">
        <v>15</v>
      </c>
      <c r="D1129">
        <v>146219</v>
      </c>
    </row>
    <row r="1130" spans="1:4" x14ac:dyDescent="0.35">
      <c r="A1130" s="1">
        <v>2015</v>
      </c>
      <c r="B1130" t="s">
        <v>140</v>
      </c>
      <c r="C1130" t="s">
        <v>141</v>
      </c>
      <c r="D1130">
        <v>353613</v>
      </c>
    </row>
    <row r="1131" spans="1:4" x14ac:dyDescent="0.35">
      <c r="A1131" s="1">
        <v>2015</v>
      </c>
      <c r="B1131" t="s">
        <v>142</v>
      </c>
      <c r="C1131" t="s">
        <v>143</v>
      </c>
      <c r="D1131">
        <v>639938</v>
      </c>
    </row>
    <row r="1132" spans="1:4" x14ac:dyDescent="0.35">
      <c r="A1132" s="1">
        <v>2015</v>
      </c>
      <c r="B1132" t="s">
        <v>56</v>
      </c>
      <c r="C1132" t="s">
        <v>57</v>
      </c>
      <c r="D1132">
        <v>308992</v>
      </c>
    </row>
    <row r="1133" spans="1:4" x14ac:dyDescent="0.35">
      <c r="A1133" s="1">
        <v>2015</v>
      </c>
      <c r="B1133" t="s">
        <v>144</v>
      </c>
      <c r="C1133" t="s">
        <v>145</v>
      </c>
      <c r="D1133">
        <v>241871</v>
      </c>
    </row>
    <row r="1134" spans="1:4" x14ac:dyDescent="0.35">
      <c r="A1134" s="1">
        <v>2015</v>
      </c>
      <c r="B1134" t="s">
        <v>68</v>
      </c>
      <c r="C1134" t="s">
        <v>69</v>
      </c>
      <c r="D1134">
        <v>152730</v>
      </c>
    </row>
    <row r="1135" spans="1:4" x14ac:dyDescent="0.35">
      <c r="A1135" s="1">
        <v>2015</v>
      </c>
      <c r="B1135" t="s">
        <v>70</v>
      </c>
      <c r="C1135" t="s">
        <v>71</v>
      </c>
      <c r="D1135">
        <v>174553</v>
      </c>
    </row>
    <row r="1136" spans="1:4" x14ac:dyDescent="0.35">
      <c r="A1136" s="1">
        <v>2015</v>
      </c>
      <c r="B1136" t="s">
        <v>32</v>
      </c>
      <c r="C1136" t="s">
        <v>219</v>
      </c>
      <c r="D1136">
        <v>533147</v>
      </c>
    </row>
    <row r="1137" spans="1:4" x14ac:dyDescent="0.35">
      <c r="A1137" s="1">
        <v>2015</v>
      </c>
      <c r="B1137" t="s">
        <v>48</v>
      </c>
      <c r="C1137" t="s">
        <v>220</v>
      </c>
      <c r="D1137">
        <v>598357</v>
      </c>
    </row>
    <row r="1138" spans="1:4" x14ac:dyDescent="0.35">
      <c r="A1138" s="1">
        <v>2015</v>
      </c>
      <c r="B1138" t="s">
        <v>146</v>
      </c>
      <c r="C1138" t="s">
        <v>147</v>
      </c>
      <c r="D1138">
        <v>120365</v>
      </c>
    </row>
    <row r="1139" spans="1:4" x14ac:dyDescent="0.35">
      <c r="A1139" s="1">
        <v>2015</v>
      </c>
      <c r="B1139" t="s">
        <v>148</v>
      </c>
      <c r="C1139" t="s">
        <v>149</v>
      </c>
      <c r="D1139">
        <v>415417</v>
      </c>
    </row>
    <row r="1140" spans="1:4" x14ac:dyDescent="0.35">
      <c r="A1140" s="1">
        <v>2015</v>
      </c>
      <c r="B1140" t="s">
        <v>34</v>
      </c>
      <c r="C1140" t="s">
        <v>35</v>
      </c>
      <c r="D1140">
        <v>536959</v>
      </c>
    </row>
    <row r="1141" spans="1:4" x14ac:dyDescent="0.35">
      <c r="A1141" s="1">
        <v>2015</v>
      </c>
      <c r="B1141" t="s">
        <v>16</v>
      </c>
      <c r="C1141" t="s">
        <v>17</v>
      </c>
      <c r="D1141">
        <v>504637</v>
      </c>
    </row>
    <row r="1142" spans="1:4" x14ac:dyDescent="0.35">
      <c r="A1142" s="1">
        <v>2015</v>
      </c>
      <c r="B1142" t="s">
        <v>132</v>
      </c>
      <c r="C1142" t="s">
        <v>133</v>
      </c>
      <c r="D1142">
        <v>601948</v>
      </c>
    </row>
    <row r="1143" spans="1:4" x14ac:dyDescent="0.35">
      <c r="A1143" s="1">
        <v>2015</v>
      </c>
      <c r="B1143" t="s">
        <v>58</v>
      </c>
      <c r="C1143" t="s">
        <v>59</v>
      </c>
      <c r="D1143">
        <v>434035</v>
      </c>
    </row>
    <row r="1144" spans="1:4" x14ac:dyDescent="0.35">
      <c r="A1144" s="1">
        <v>2015</v>
      </c>
      <c r="B1144" t="s">
        <v>50</v>
      </c>
      <c r="C1144" t="s">
        <v>51</v>
      </c>
      <c r="D1144">
        <v>907796</v>
      </c>
    </row>
    <row r="1145" spans="1:4" x14ac:dyDescent="0.35">
      <c r="A1145" s="1">
        <v>2015</v>
      </c>
      <c r="B1145" t="s">
        <v>170</v>
      </c>
      <c r="C1145" t="s">
        <v>171</v>
      </c>
      <c r="D1145">
        <v>738189</v>
      </c>
    </row>
    <row r="1146" spans="1:4" x14ac:dyDescent="0.35">
      <c r="A1146" s="1">
        <v>2015</v>
      </c>
      <c r="B1146" t="s">
        <v>172</v>
      </c>
      <c r="C1146" t="s">
        <v>173</v>
      </c>
      <c r="D1146">
        <v>1335103</v>
      </c>
    </row>
    <row r="1147" spans="1:4" x14ac:dyDescent="0.35">
      <c r="A1147" s="1">
        <v>2015</v>
      </c>
      <c r="B1147" t="s">
        <v>174</v>
      </c>
      <c r="C1147" t="s">
        <v>175</v>
      </c>
      <c r="D1147">
        <v>190932</v>
      </c>
    </row>
    <row r="1148" spans="1:4" x14ac:dyDescent="0.35">
      <c r="A1148" s="1">
        <v>2015</v>
      </c>
      <c r="B1148" t="s">
        <v>150</v>
      </c>
      <c r="C1148" t="s">
        <v>151</v>
      </c>
      <c r="D1148">
        <v>1548478</v>
      </c>
    </row>
    <row r="1149" spans="1:4" x14ac:dyDescent="0.35">
      <c r="A1149" s="1">
        <v>2015</v>
      </c>
      <c r="B1149" t="s">
        <v>176</v>
      </c>
      <c r="C1149" t="s">
        <v>177</v>
      </c>
      <c r="D1149">
        <v>1120190</v>
      </c>
    </row>
    <row r="1150" spans="1:4" x14ac:dyDescent="0.35">
      <c r="A1150" s="1">
        <v>2015</v>
      </c>
      <c r="B1150" t="s">
        <v>52</v>
      </c>
      <c r="C1150" t="s">
        <v>53</v>
      </c>
      <c r="D1150">
        <v>1042884</v>
      </c>
    </row>
    <row r="1151" spans="1:4" x14ac:dyDescent="0.35">
      <c r="A1151" s="1">
        <v>2015</v>
      </c>
      <c r="B1151" t="s">
        <v>60</v>
      </c>
      <c r="C1151" t="s">
        <v>61</v>
      </c>
      <c r="D1151">
        <v>224200</v>
      </c>
    </row>
    <row r="1152" spans="1:4" x14ac:dyDescent="0.35">
      <c r="A1152" s="1">
        <v>2015</v>
      </c>
      <c r="B1152" t="s">
        <v>62</v>
      </c>
      <c r="C1152" t="s">
        <v>63</v>
      </c>
      <c r="D1152">
        <v>604966</v>
      </c>
    </row>
    <row r="1153" spans="1:4" x14ac:dyDescent="0.35">
      <c r="A1153" s="1">
        <v>2015</v>
      </c>
      <c r="B1153" t="s">
        <v>18</v>
      </c>
      <c r="C1153" t="s">
        <v>19</v>
      </c>
      <c r="D1153">
        <v>1251060</v>
      </c>
    </row>
    <row r="1154" spans="1:4" x14ac:dyDescent="0.35">
      <c r="A1154" s="1">
        <v>2015</v>
      </c>
      <c r="B1154" t="s">
        <v>36</v>
      </c>
      <c r="C1154" t="s">
        <v>37</v>
      </c>
      <c r="D1154">
        <v>260587</v>
      </c>
    </row>
    <row r="1155" spans="1:4" x14ac:dyDescent="0.35">
      <c r="A1155" s="1">
        <v>2015</v>
      </c>
      <c r="B1155" t="s">
        <v>152</v>
      </c>
      <c r="C1155" t="s">
        <v>153</v>
      </c>
      <c r="D1155">
        <v>403234</v>
      </c>
    </row>
    <row r="1156" spans="1:4" x14ac:dyDescent="0.35">
      <c r="A1156" s="1">
        <v>2015</v>
      </c>
      <c r="B1156" t="s">
        <v>64</v>
      </c>
      <c r="C1156" t="s">
        <v>65</v>
      </c>
      <c r="D1156">
        <v>333050</v>
      </c>
    </row>
    <row r="1157" spans="1:4" x14ac:dyDescent="0.35">
      <c r="A1157" s="1">
        <v>2015</v>
      </c>
      <c r="B1157" t="s">
        <v>20</v>
      </c>
      <c r="C1157" t="s">
        <v>21</v>
      </c>
      <c r="D1157">
        <v>759411</v>
      </c>
    </row>
    <row r="1158" spans="1:4" x14ac:dyDescent="0.35">
      <c r="A1158" s="1">
        <v>2015</v>
      </c>
      <c r="B1158" t="s">
        <v>22</v>
      </c>
      <c r="C1158" t="s">
        <v>23</v>
      </c>
      <c r="D1158">
        <v>227034</v>
      </c>
    </row>
    <row r="1159" spans="1:4" x14ac:dyDescent="0.35">
      <c r="A1159" s="1">
        <v>2015</v>
      </c>
      <c r="B1159" t="s">
        <v>190</v>
      </c>
      <c r="C1159" t="s">
        <v>191</v>
      </c>
      <c r="D1159">
        <v>1365227</v>
      </c>
    </row>
    <row r="1160" spans="1:4" x14ac:dyDescent="0.35">
      <c r="A1160" s="1">
        <v>2015</v>
      </c>
      <c r="B1160" t="s">
        <v>66</v>
      </c>
      <c r="C1160" t="s">
        <v>67</v>
      </c>
      <c r="D1160">
        <v>673349</v>
      </c>
    </row>
    <row r="1161" spans="1:4" x14ac:dyDescent="0.35">
      <c r="A1161" s="1">
        <v>2015</v>
      </c>
      <c r="B1161" t="s">
        <v>178</v>
      </c>
      <c r="C1161" t="s">
        <v>179</v>
      </c>
      <c r="D1161">
        <v>173400</v>
      </c>
    </row>
    <row r="1162" spans="1:4" x14ac:dyDescent="0.35">
      <c r="A1162" s="1">
        <v>2015</v>
      </c>
      <c r="B1162" t="s">
        <v>154</v>
      </c>
      <c r="C1162" t="s">
        <v>155</v>
      </c>
      <c r="D1162">
        <v>333417</v>
      </c>
    </row>
    <row r="1163" spans="1:4" x14ac:dyDescent="0.35">
      <c r="A1163" s="1">
        <v>2015</v>
      </c>
      <c r="B1163" t="s">
        <v>180</v>
      </c>
      <c r="C1163" t="s">
        <v>181</v>
      </c>
      <c r="D1163">
        <v>76309</v>
      </c>
    </row>
    <row r="1164" spans="1:4" x14ac:dyDescent="0.35">
      <c r="A1164" s="1">
        <v>2015</v>
      </c>
      <c r="B1164" t="s">
        <v>192</v>
      </c>
      <c r="C1164" t="s">
        <v>193</v>
      </c>
      <c r="D1164">
        <v>810186</v>
      </c>
    </row>
    <row r="1165" spans="1:4" x14ac:dyDescent="0.35">
      <c r="A1165" s="1">
        <v>2015</v>
      </c>
      <c r="B1165" t="s">
        <v>134</v>
      </c>
      <c r="C1165" t="s">
        <v>135</v>
      </c>
      <c r="D1165">
        <v>499287</v>
      </c>
    </row>
    <row r="1166" spans="1:4" x14ac:dyDescent="0.35">
      <c r="A1166" s="1">
        <v>2015</v>
      </c>
      <c r="B1166" t="s">
        <v>88</v>
      </c>
      <c r="C1166" t="s">
        <v>89</v>
      </c>
      <c r="D1166">
        <v>572293</v>
      </c>
    </row>
    <row r="1167" spans="1:4" x14ac:dyDescent="0.35">
      <c r="A1167" s="1">
        <v>2015</v>
      </c>
      <c r="B1167" t="s">
        <v>90</v>
      </c>
      <c r="C1167" t="s">
        <v>91</v>
      </c>
      <c r="D1167">
        <v>179154</v>
      </c>
    </row>
    <row r="1168" spans="1:4" x14ac:dyDescent="0.35">
      <c r="A1168" s="1">
        <v>2015</v>
      </c>
      <c r="B1168" t="s">
        <v>194</v>
      </c>
      <c r="C1168" t="s">
        <v>195</v>
      </c>
      <c r="D1168">
        <v>307940</v>
      </c>
    </row>
    <row r="1169" spans="1:4" x14ac:dyDescent="0.35">
      <c r="A1169" s="1">
        <v>2015</v>
      </c>
      <c r="B1169" t="s">
        <v>92</v>
      </c>
      <c r="C1169" t="s">
        <v>93</v>
      </c>
      <c r="D1169">
        <v>734403</v>
      </c>
    </row>
    <row r="1170" spans="1:4" x14ac:dyDescent="0.35">
      <c r="A1170" s="1">
        <v>2015</v>
      </c>
      <c r="B1170" t="s">
        <v>94</v>
      </c>
      <c r="C1170" t="s">
        <v>95</v>
      </c>
      <c r="D1170">
        <v>190626</v>
      </c>
    </row>
    <row r="1171" spans="1:4" x14ac:dyDescent="0.35">
      <c r="A1171" s="1">
        <v>2015</v>
      </c>
      <c r="B1171" t="s">
        <v>54</v>
      </c>
      <c r="C1171" t="s">
        <v>55</v>
      </c>
      <c r="D1171">
        <v>744813</v>
      </c>
    </row>
    <row r="1172" spans="1:4" x14ac:dyDescent="0.35">
      <c r="A1172" s="1">
        <v>2015</v>
      </c>
      <c r="B1172" t="s">
        <v>96</v>
      </c>
      <c r="C1172" t="s">
        <v>97</v>
      </c>
      <c r="D1172">
        <v>1044486</v>
      </c>
    </row>
    <row r="1173" spans="1:4" x14ac:dyDescent="0.35">
      <c r="A1173" s="1">
        <v>2015</v>
      </c>
      <c r="B1173" t="s">
        <v>38</v>
      </c>
      <c r="C1173" t="s">
        <v>39</v>
      </c>
      <c r="D1173">
        <v>211747</v>
      </c>
    </row>
    <row r="1174" spans="1:4" x14ac:dyDescent="0.35">
      <c r="A1174" s="1">
        <v>2015</v>
      </c>
      <c r="B1174" t="s">
        <v>106</v>
      </c>
      <c r="C1174" t="s">
        <v>107</v>
      </c>
      <c r="D1174">
        <v>2605238</v>
      </c>
    </row>
    <row r="1175" spans="1:4" x14ac:dyDescent="0.35">
      <c r="A1175" s="1">
        <v>2015</v>
      </c>
      <c r="B1175" t="s">
        <v>108</v>
      </c>
      <c r="C1175" t="s">
        <v>109</v>
      </c>
      <c r="D1175">
        <v>821552</v>
      </c>
    </row>
    <row r="1176" spans="1:4" x14ac:dyDescent="0.35">
      <c r="A1176" s="1">
        <v>2015</v>
      </c>
      <c r="B1176" t="s">
        <v>136</v>
      </c>
      <c r="C1176" t="s">
        <v>137</v>
      </c>
      <c r="D1176">
        <v>286618</v>
      </c>
    </row>
    <row r="1177" spans="1:4" x14ac:dyDescent="0.35">
      <c r="A1177" s="1">
        <v>2015</v>
      </c>
      <c r="B1177" t="s">
        <v>110</v>
      </c>
      <c r="C1177" t="s">
        <v>111</v>
      </c>
      <c r="D1177">
        <v>1472648</v>
      </c>
    </row>
    <row r="1178" spans="1:4" x14ac:dyDescent="0.35">
      <c r="A1178" s="1">
        <v>2015</v>
      </c>
      <c r="B1178" t="s">
        <v>24</v>
      </c>
      <c r="C1178" t="s">
        <v>25</v>
      </c>
      <c r="D1178">
        <v>647501</v>
      </c>
    </row>
    <row r="1179" spans="1:4" x14ac:dyDescent="0.35">
      <c r="A1179" s="1">
        <v>2015</v>
      </c>
      <c r="B1179" t="s">
        <v>156</v>
      </c>
      <c r="C1179" t="s">
        <v>157</v>
      </c>
      <c r="D1179">
        <v>670032</v>
      </c>
    </row>
    <row r="1180" spans="1:4" x14ac:dyDescent="0.35">
      <c r="A1180" s="1">
        <v>2015</v>
      </c>
      <c r="B1180" t="s">
        <v>182</v>
      </c>
      <c r="C1180" t="s">
        <v>183</v>
      </c>
      <c r="D1180">
        <v>228582</v>
      </c>
    </row>
    <row r="1181" spans="1:4" x14ac:dyDescent="0.35">
      <c r="A1181" s="1">
        <v>2015</v>
      </c>
      <c r="B1181" t="s">
        <v>184</v>
      </c>
      <c r="C1181" t="s">
        <v>185</v>
      </c>
      <c r="D1181">
        <v>471038</v>
      </c>
    </row>
    <row r="1182" spans="1:4" x14ac:dyDescent="0.35">
      <c r="A1182" s="1">
        <v>2015</v>
      </c>
      <c r="B1182" t="s">
        <v>98</v>
      </c>
      <c r="C1182" t="s">
        <v>99</v>
      </c>
      <c r="D1182">
        <v>1116658</v>
      </c>
    </row>
    <row r="1183" spans="1:4" x14ac:dyDescent="0.35">
      <c r="A1183" s="1">
        <v>2015</v>
      </c>
      <c r="B1183" t="s">
        <v>100</v>
      </c>
      <c r="C1183" t="s">
        <v>101</v>
      </c>
      <c r="D1183">
        <v>762607</v>
      </c>
    </row>
    <row r="1184" spans="1:4" x14ac:dyDescent="0.35">
      <c r="A1184" s="1">
        <v>2015</v>
      </c>
      <c r="B1184" t="s">
        <v>26</v>
      </c>
      <c r="C1184" t="s">
        <v>27</v>
      </c>
      <c r="D1184">
        <v>1821995</v>
      </c>
    </row>
    <row r="1185" spans="1:4" x14ac:dyDescent="0.35">
      <c r="A1185" s="1">
        <v>2015</v>
      </c>
      <c r="B1185" t="s">
        <v>40</v>
      </c>
      <c r="C1185" t="s">
        <v>41</v>
      </c>
      <c r="D1185">
        <v>237706</v>
      </c>
    </row>
    <row r="1186" spans="1:4" x14ac:dyDescent="0.35">
      <c r="A1186" s="1">
        <v>2015</v>
      </c>
      <c r="B1186" t="s">
        <v>42</v>
      </c>
      <c r="C1186" t="s">
        <v>43</v>
      </c>
      <c r="D1186">
        <v>555408</v>
      </c>
    </row>
    <row r="1187" spans="1:4" x14ac:dyDescent="0.35">
      <c r="A1187" s="1">
        <v>2015</v>
      </c>
      <c r="B1187" t="s">
        <v>196</v>
      </c>
      <c r="C1187" t="s">
        <v>197</v>
      </c>
      <c r="D1187">
        <v>568445</v>
      </c>
    </row>
    <row r="1188" spans="1:4" x14ac:dyDescent="0.35">
      <c r="A1188" s="1">
        <v>2015</v>
      </c>
      <c r="B1188" t="s">
        <v>28</v>
      </c>
      <c r="C1188" t="s">
        <v>29</v>
      </c>
      <c r="D1188">
        <v>428204</v>
      </c>
    </row>
    <row r="1189" spans="1:4" x14ac:dyDescent="0.35">
      <c r="A1189" s="1">
        <v>2015</v>
      </c>
      <c r="B1189" t="s">
        <v>30</v>
      </c>
      <c r="C1189" t="s">
        <v>31</v>
      </c>
      <c r="D1189">
        <v>793938</v>
      </c>
    </row>
    <row r="1190" spans="1:4" x14ac:dyDescent="0.35">
      <c r="A1190" s="1">
        <v>2015</v>
      </c>
      <c r="B1190" t="s">
        <v>114</v>
      </c>
      <c r="C1190" t="s">
        <v>115</v>
      </c>
      <c r="D1190">
        <v>2206488</v>
      </c>
    </row>
    <row r="1191" spans="1:4" x14ac:dyDescent="0.35">
      <c r="A1191" s="1">
        <v>2015</v>
      </c>
      <c r="B1191" t="s">
        <v>138</v>
      </c>
      <c r="C1191" t="s">
        <v>139</v>
      </c>
      <c r="D1191">
        <v>1257699</v>
      </c>
    </row>
    <row r="1192" spans="1:4" x14ac:dyDescent="0.35">
      <c r="A1192" s="1">
        <v>2015</v>
      </c>
      <c r="B1192" t="s">
        <v>116</v>
      </c>
      <c r="C1192" t="s">
        <v>117</v>
      </c>
      <c r="D1192">
        <v>1390121</v>
      </c>
    </row>
    <row r="1193" spans="1:4" x14ac:dyDescent="0.35">
      <c r="A1193" s="1">
        <v>2015</v>
      </c>
      <c r="B1193" t="s">
        <v>118</v>
      </c>
      <c r="C1193" t="s">
        <v>119</v>
      </c>
      <c r="D1193">
        <v>1427291</v>
      </c>
    </row>
    <row r="1194" spans="1:4" x14ac:dyDescent="0.35">
      <c r="A1194" s="1">
        <v>2015</v>
      </c>
      <c r="B1194" t="s">
        <v>158</v>
      </c>
      <c r="C1194" t="s">
        <v>159</v>
      </c>
      <c r="D1194">
        <v>374435</v>
      </c>
    </row>
    <row r="1195" spans="1:4" x14ac:dyDescent="0.35">
      <c r="A1195" s="1">
        <v>2015</v>
      </c>
      <c r="B1195" t="s">
        <v>112</v>
      </c>
      <c r="C1195" t="s">
        <v>113</v>
      </c>
      <c r="D1195">
        <v>571879</v>
      </c>
    </row>
    <row r="1196" spans="1:4" x14ac:dyDescent="0.35">
      <c r="A1196" s="1">
        <v>2015</v>
      </c>
      <c r="B1196" t="s">
        <v>186</v>
      </c>
      <c r="C1196" t="s">
        <v>187</v>
      </c>
      <c r="D1196">
        <v>386543</v>
      </c>
    </row>
    <row r="1197" spans="1:4" x14ac:dyDescent="0.35">
      <c r="A1197" s="1">
        <v>2015</v>
      </c>
      <c r="B1197" t="s">
        <v>188</v>
      </c>
      <c r="C1197" t="s">
        <v>189</v>
      </c>
      <c r="D1197">
        <v>255274</v>
      </c>
    </row>
    <row r="1198" spans="1:4" x14ac:dyDescent="0.35">
      <c r="A1198" s="1">
        <v>2015</v>
      </c>
      <c r="B1198" t="s">
        <v>208</v>
      </c>
      <c r="C1198" t="s">
        <v>209</v>
      </c>
      <c r="D1198">
        <v>1048652</v>
      </c>
    </row>
    <row r="1199" spans="1:4" x14ac:dyDescent="0.35">
      <c r="A1199" s="1">
        <v>2015</v>
      </c>
      <c r="B1199" t="s">
        <v>210</v>
      </c>
      <c r="C1199" t="s">
        <v>211</v>
      </c>
      <c r="D1199">
        <v>557548</v>
      </c>
    </row>
    <row r="1200" spans="1:4" x14ac:dyDescent="0.35">
      <c r="A1200" s="1">
        <v>2015</v>
      </c>
      <c r="B1200" t="s">
        <v>198</v>
      </c>
      <c r="C1200" t="s">
        <v>199</v>
      </c>
      <c r="D1200">
        <v>666714</v>
      </c>
    </row>
    <row r="1201" spans="1:4" x14ac:dyDescent="0.35">
      <c r="A1201" s="1">
        <v>2015</v>
      </c>
      <c r="B1201" t="s">
        <v>160</v>
      </c>
      <c r="C1201" t="s">
        <v>161</v>
      </c>
      <c r="D1201">
        <v>434887</v>
      </c>
    </row>
    <row r="1202" spans="1:4" x14ac:dyDescent="0.35">
      <c r="A1202" s="1">
        <v>2015</v>
      </c>
      <c r="B1202" t="s">
        <v>162</v>
      </c>
      <c r="C1202" t="s">
        <v>163</v>
      </c>
      <c r="D1202">
        <v>375795</v>
      </c>
    </row>
    <row r="1203" spans="1:4" x14ac:dyDescent="0.35">
      <c r="A1203" s="1">
        <v>2015</v>
      </c>
      <c r="B1203" t="s">
        <v>102</v>
      </c>
      <c r="C1203" t="s">
        <v>103</v>
      </c>
      <c r="D1203">
        <v>372016</v>
      </c>
    </row>
    <row r="1204" spans="1:4" x14ac:dyDescent="0.35">
      <c r="A1204" s="1">
        <v>2015</v>
      </c>
      <c r="B1204" t="s">
        <v>44</v>
      </c>
      <c r="C1204" t="s">
        <v>45</v>
      </c>
      <c r="D1204">
        <v>340903</v>
      </c>
    </row>
    <row r="1205" spans="1:4" x14ac:dyDescent="0.35">
      <c r="A1205" s="1">
        <v>2015</v>
      </c>
      <c r="B1205" t="s">
        <v>46</v>
      </c>
      <c r="C1205" t="s">
        <v>221</v>
      </c>
      <c r="D1205">
        <v>144483</v>
      </c>
    </row>
    <row r="1206" spans="1:4" x14ac:dyDescent="0.35">
      <c r="A1206" s="1">
        <v>2015</v>
      </c>
      <c r="B1206" t="s">
        <v>120</v>
      </c>
      <c r="C1206" t="s">
        <v>121</v>
      </c>
      <c r="D1206">
        <v>1276233</v>
      </c>
    </row>
    <row r="1207" spans="1:4" x14ac:dyDescent="0.35">
      <c r="A1207" s="1">
        <v>2015</v>
      </c>
      <c r="B1207" t="s">
        <v>122</v>
      </c>
      <c r="C1207" t="s">
        <v>222</v>
      </c>
      <c r="D1207">
        <v>1601569</v>
      </c>
    </row>
    <row r="1208" spans="1:4" x14ac:dyDescent="0.35">
      <c r="A1208" s="1">
        <v>2015</v>
      </c>
      <c r="B1208" t="s">
        <v>124</v>
      </c>
      <c r="C1208" t="s">
        <v>125</v>
      </c>
      <c r="D1208">
        <v>1592663</v>
      </c>
    </row>
    <row r="1209" spans="1:4" x14ac:dyDescent="0.35">
      <c r="A1209" s="1">
        <v>2015</v>
      </c>
      <c r="B1209" t="s">
        <v>126</v>
      </c>
      <c r="C1209" t="s">
        <v>127</v>
      </c>
      <c r="D1209">
        <v>1372389</v>
      </c>
    </row>
    <row r="1210" spans="1:4" x14ac:dyDescent="0.35">
      <c r="A1210" s="1">
        <v>2015</v>
      </c>
      <c r="B1210" t="s">
        <v>128</v>
      </c>
      <c r="C1210" t="s">
        <v>129</v>
      </c>
      <c r="D1210">
        <v>1215390</v>
      </c>
    </row>
    <row r="1211" spans="1:4" x14ac:dyDescent="0.35">
      <c r="A1211" s="1">
        <v>2015</v>
      </c>
      <c r="B1211" t="s">
        <v>223</v>
      </c>
      <c r="D1211">
        <v>64300821</v>
      </c>
    </row>
    <row r="1212" spans="1:4" x14ac:dyDescent="0.35">
      <c r="A1212" s="1">
        <v>2015</v>
      </c>
      <c r="B1212">
        <v>971</v>
      </c>
      <c r="C1212" t="s">
        <v>224</v>
      </c>
      <c r="D1212">
        <v>397990</v>
      </c>
    </row>
    <row r="1213" spans="1:4" x14ac:dyDescent="0.35">
      <c r="A1213" s="1">
        <v>2015</v>
      </c>
      <c r="B1213">
        <v>972</v>
      </c>
      <c r="C1213" t="s">
        <v>225</v>
      </c>
      <c r="D1213">
        <v>380877</v>
      </c>
    </row>
    <row r="1214" spans="1:4" x14ac:dyDescent="0.35">
      <c r="A1214" s="1">
        <v>2015</v>
      </c>
      <c r="B1214">
        <v>973</v>
      </c>
      <c r="C1214" t="s">
        <v>77</v>
      </c>
      <c r="D1214">
        <v>259865</v>
      </c>
    </row>
    <row r="1215" spans="1:4" x14ac:dyDescent="0.35">
      <c r="A1215" s="1">
        <v>2015</v>
      </c>
      <c r="B1215">
        <v>974</v>
      </c>
      <c r="C1215" t="s">
        <v>79</v>
      </c>
      <c r="D1215">
        <v>850727</v>
      </c>
    </row>
    <row r="1216" spans="1:4" x14ac:dyDescent="0.35">
      <c r="A1216" s="1">
        <v>2015</v>
      </c>
      <c r="B1216">
        <v>976</v>
      </c>
      <c r="C1216" t="s">
        <v>215</v>
      </c>
      <c r="D1216">
        <v>232189</v>
      </c>
    </row>
    <row r="1217" spans="1:4" x14ac:dyDescent="0.35">
      <c r="A1217" s="1">
        <v>2015</v>
      </c>
      <c r="B1217" t="s">
        <v>226</v>
      </c>
      <c r="D1217">
        <v>2121648</v>
      </c>
    </row>
    <row r="1218" spans="1:4" x14ac:dyDescent="0.35">
      <c r="A1218" s="1">
        <v>2015</v>
      </c>
      <c r="B1218" t="s">
        <v>227</v>
      </c>
      <c r="D1218">
        <v>66422469</v>
      </c>
    </row>
    <row r="1219" spans="1:4" x14ac:dyDescent="0.35">
      <c r="A1219" s="1">
        <v>2015</v>
      </c>
    </row>
    <row r="1220" spans="1:4" x14ac:dyDescent="0.35">
      <c r="A1220" s="1">
        <v>2015</v>
      </c>
      <c r="B1220" t="s">
        <v>240</v>
      </c>
    </row>
    <row r="1221" spans="1:4" x14ac:dyDescent="0.35">
      <c r="A1221" s="1">
        <v>2014</v>
      </c>
      <c r="B1221" t="s">
        <v>229</v>
      </c>
    </row>
    <row r="1222" spans="1:4" x14ac:dyDescent="0.35">
      <c r="A1222" s="1">
        <v>2014</v>
      </c>
      <c r="B1222" t="s">
        <v>247</v>
      </c>
    </row>
    <row r="1223" spans="1:4" x14ac:dyDescent="0.35">
      <c r="A1223" s="1">
        <v>2014</v>
      </c>
    </row>
    <row r="1224" spans="1:4" x14ac:dyDescent="0.35">
      <c r="A1224" s="1">
        <v>2014</v>
      </c>
      <c r="B1224" t="s">
        <v>231</v>
      </c>
    </row>
    <row r="1225" spans="1:4" x14ac:dyDescent="0.35">
      <c r="A1225" s="1">
        <v>2014</v>
      </c>
      <c r="D1225" t="s">
        <v>232</v>
      </c>
    </row>
    <row r="1226" spans="1:4" x14ac:dyDescent="0.35">
      <c r="A1226" s="1">
        <v>2014</v>
      </c>
      <c r="B1226" t="s">
        <v>5</v>
      </c>
      <c r="C1226" t="s">
        <v>6</v>
      </c>
      <c r="D1226">
        <v>626127</v>
      </c>
    </row>
    <row r="1227" spans="1:4" x14ac:dyDescent="0.35">
      <c r="A1227" s="1">
        <v>2014</v>
      </c>
      <c r="B1227" t="s">
        <v>104</v>
      </c>
      <c r="C1227" t="s">
        <v>105</v>
      </c>
      <c r="D1227">
        <v>539783</v>
      </c>
    </row>
    <row r="1228" spans="1:4" x14ac:dyDescent="0.35">
      <c r="A1228" s="1">
        <v>2014</v>
      </c>
      <c r="B1228" t="s">
        <v>10</v>
      </c>
      <c r="C1228" t="s">
        <v>11</v>
      </c>
      <c r="D1228">
        <v>343062</v>
      </c>
    </row>
    <row r="1229" spans="1:4" x14ac:dyDescent="0.35">
      <c r="A1229" s="1">
        <v>2014</v>
      </c>
      <c r="B1229" t="s">
        <v>200</v>
      </c>
      <c r="C1229" t="s">
        <v>201</v>
      </c>
      <c r="D1229">
        <v>161588</v>
      </c>
    </row>
    <row r="1230" spans="1:4" x14ac:dyDescent="0.35">
      <c r="A1230" s="1">
        <v>2014</v>
      </c>
      <c r="B1230" t="s">
        <v>202</v>
      </c>
      <c r="C1230" t="s">
        <v>203</v>
      </c>
      <c r="D1230">
        <v>139883</v>
      </c>
    </row>
    <row r="1231" spans="1:4" x14ac:dyDescent="0.35">
      <c r="A1231" s="1">
        <v>2014</v>
      </c>
      <c r="B1231" t="s">
        <v>204</v>
      </c>
      <c r="C1231" t="s">
        <v>205</v>
      </c>
      <c r="D1231">
        <v>1083312</v>
      </c>
    </row>
    <row r="1232" spans="1:4" x14ac:dyDescent="0.35">
      <c r="A1232" s="1">
        <v>2014</v>
      </c>
      <c r="B1232" t="s">
        <v>12</v>
      </c>
      <c r="C1232" t="s">
        <v>13</v>
      </c>
      <c r="D1232">
        <v>322381</v>
      </c>
    </row>
    <row r="1233" spans="1:4" x14ac:dyDescent="0.35">
      <c r="A1233" s="1">
        <v>2014</v>
      </c>
      <c r="B1233" t="s">
        <v>84</v>
      </c>
      <c r="C1233" t="s">
        <v>85</v>
      </c>
      <c r="D1233">
        <v>279715</v>
      </c>
    </row>
    <row r="1234" spans="1:4" x14ac:dyDescent="0.35">
      <c r="A1234" s="1">
        <v>2014</v>
      </c>
      <c r="B1234" t="s">
        <v>164</v>
      </c>
      <c r="C1234" t="s">
        <v>165</v>
      </c>
      <c r="D1234">
        <v>152574</v>
      </c>
    </row>
    <row r="1235" spans="1:4" x14ac:dyDescent="0.35">
      <c r="A1235" s="1">
        <v>2014</v>
      </c>
      <c r="B1235" t="s">
        <v>86</v>
      </c>
      <c r="C1235" t="s">
        <v>87</v>
      </c>
      <c r="D1235">
        <v>308094</v>
      </c>
    </row>
    <row r="1236" spans="1:4" x14ac:dyDescent="0.35">
      <c r="A1236" s="1">
        <v>2014</v>
      </c>
      <c r="B1236" t="s">
        <v>166</v>
      </c>
      <c r="C1236" t="s">
        <v>167</v>
      </c>
      <c r="D1236">
        <v>365478</v>
      </c>
    </row>
    <row r="1237" spans="1:4" x14ac:dyDescent="0.35">
      <c r="A1237" s="1">
        <v>2014</v>
      </c>
      <c r="B1237" t="s">
        <v>168</v>
      </c>
      <c r="C1237" t="s">
        <v>169</v>
      </c>
      <c r="D1237">
        <v>278644</v>
      </c>
    </row>
    <row r="1238" spans="1:4" x14ac:dyDescent="0.35">
      <c r="A1238" s="1">
        <v>2014</v>
      </c>
      <c r="B1238" t="s">
        <v>206</v>
      </c>
      <c r="C1238" t="s">
        <v>207</v>
      </c>
      <c r="D1238">
        <v>2006069</v>
      </c>
    </row>
    <row r="1239" spans="1:4" x14ac:dyDescent="0.35">
      <c r="A1239" s="1">
        <v>2014</v>
      </c>
      <c r="B1239" t="s">
        <v>130</v>
      </c>
      <c r="C1239" t="s">
        <v>131</v>
      </c>
      <c r="D1239">
        <v>691670</v>
      </c>
    </row>
    <row r="1240" spans="1:4" x14ac:dyDescent="0.35">
      <c r="A1240" s="1">
        <v>2014</v>
      </c>
      <c r="B1240" t="s">
        <v>14</v>
      </c>
      <c r="C1240" t="s">
        <v>15</v>
      </c>
      <c r="D1240">
        <v>146618</v>
      </c>
    </row>
    <row r="1241" spans="1:4" x14ac:dyDescent="0.35">
      <c r="A1241" s="1">
        <v>2014</v>
      </c>
      <c r="B1241" t="s">
        <v>140</v>
      </c>
      <c r="C1241" t="s">
        <v>141</v>
      </c>
      <c r="D1241">
        <v>353853</v>
      </c>
    </row>
    <row r="1242" spans="1:4" x14ac:dyDescent="0.35">
      <c r="A1242" s="1">
        <v>2014</v>
      </c>
      <c r="B1242" t="s">
        <v>142</v>
      </c>
      <c r="C1242" t="s">
        <v>143</v>
      </c>
      <c r="D1242">
        <v>637089</v>
      </c>
    </row>
    <row r="1243" spans="1:4" x14ac:dyDescent="0.35">
      <c r="A1243" s="1">
        <v>2014</v>
      </c>
      <c r="B1243" t="s">
        <v>56</v>
      </c>
      <c r="C1243" t="s">
        <v>57</v>
      </c>
      <c r="D1243">
        <v>310270</v>
      </c>
    </row>
    <row r="1244" spans="1:4" x14ac:dyDescent="0.35">
      <c r="A1244" s="1">
        <v>2014</v>
      </c>
      <c r="B1244" t="s">
        <v>144</v>
      </c>
      <c r="C1244" t="s">
        <v>145</v>
      </c>
      <c r="D1244">
        <v>241340</v>
      </c>
    </row>
    <row r="1245" spans="1:4" x14ac:dyDescent="0.35">
      <c r="A1245" s="1">
        <v>2014</v>
      </c>
      <c r="B1245" t="s">
        <v>68</v>
      </c>
      <c r="C1245" t="s">
        <v>69</v>
      </c>
      <c r="D1245">
        <v>151652</v>
      </c>
    </row>
    <row r="1246" spans="1:4" x14ac:dyDescent="0.35">
      <c r="A1246" s="1">
        <v>2014</v>
      </c>
      <c r="B1246" t="s">
        <v>70</v>
      </c>
      <c r="C1246" t="s">
        <v>71</v>
      </c>
      <c r="D1246">
        <v>172560</v>
      </c>
    </row>
    <row r="1247" spans="1:4" x14ac:dyDescent="0.35">
      <c r="A1247" s="1">
        <v>2014</v>
      </c>
      <c r="B1247" t="s">
        <v>32</v>
      </c>
      <c r="C1247" t="s">
        <v>219</v>
      </c>
      <c r="D1247">
        <v>531380</v>
      </c>
    </row>
    <row r="1248" spans="1:4" x14ac:dyDescent="0.35">
      <c r="A1248" s="1">
        <v>2014</v>
      </c>
      <c r="B1248" t="s">
        <v>48</v>
      </c>
      <c r="C1248" t="s">
        <v>220</v>
      </c>
      <c r="D1248">
        <v>597397</v>
      </c>
    </row>
    <row r="1249" spans="1:4" x14ac:dyDescent="0.35">
      <c r="A1249" s="1">
        <v>2014</v>
      </c>
      <c r="B1249" t="s">
        <v>146</v>
      </c>
      <c r="C1249" t="s">
        <v>147</v>
      </c>
      <c r="D1249">
        <v>120581</v>
      </c>
    </row>
    <row r="1250" spans="1:4" x14ac:dyDescent="0.35">
      <c r="A1250" s="1">
        <v>2014</v>
      </c>
      <c r="B1250" t="s">
        <v>148</v>
      </c>
      <c r="C1250" t="s">
        <v>149</v>
      </c>
      <c r="D1250">
        <v>416350</v>
      </c>
    </row>
    <row r="1251" spans="1:4" x14ac:dyDescent="0.35">
      <c r="A1251" s="1">
        <v>2014</v>
      </c>
      <c r="B1251" t="s">
        <v>34</v>
      </c>
      <c r="C1251" t="s">
        <v>35</v>
      </c>
      <c r="D1251">
        <v>534710</v>
      </c>
    </row>
    <row r="1252" spans="1:4" x14ac:dyDescent="0.35">
      <c r="A1252" s="1">
        <v>2014</v>
      </c>
      <c r="B1252" t="s">
        <v>16</v>
      </c>
      <c r="C1252" t="s">
        <v>17</v>
      </c>
      <c r="D1252">
        <v>499159</v>
      </c>
    </row>
    <row r="1253" spans="1:4" x14ac:dyDescent="0.35">
      <c r="A1253" s="1">
        <v>2014</v>
      </c>
      <c r="B1253" t="s">
        <v>132</v>
      </c>
      <c r="C1253" t="s">
        <v>133</v>
      </c>
      <c r="D1253">
        <v>598347</v>
      </c>
    </row>
    <row r="1254" spans="1:4" x14ac:dyDescent="0.35">
      <c r="A1254" s="1">
        <v>2014</v>
      </c>
      <c r="B1254" t="s">
        <v>58</v>
      </c>
      <c r="C1254" t="s">
        <v>59</v>
      </c>
      <c r="D1254">
        <v>433762</v>
      </c>
    </row>
    <row r="1255" spans="1:4" x14ac:dyDescent="0.35">
      <c r="A1255" s="1">
        <v>2014</v>
      </c>
      <c r="B1255" t="s">
        <v>50</v>
      </c>
      <c r="C1255" t="s">
        <v>51</v>
      </c>
      <c r="D1255">
        <v>905855</v>
      </c>
    </row>
    <row r="1256" spans="1:4" x14ac:dyDescent="0.35">
      <c r="A1256" s="1">
        <v>2014</v>
      </c>
      <c r="B1256" t="s">
        <v>170</v>
      </c>
      <c r="C1256" t="s">
        <v>171</v>
      </c>
      <c r="D1256">
        <v>736029</v>
      </c>
    </row>
    <row r="1257" spans="1:4" x14ac:dyDescent="0.35">
      <c r="A1257" s="1">
        <v>2014</v>
      </c>
      <c r="B1257" t="s">
        <v>172</v>
      </c>
      <c r="C1257" t="s">
        <v>173</v>
      </c>
      <c r="D1257">
        <v>1317668</v>
      </c>
    </row>
    <row r="1258" spans="1:4" x14ac:dyDescent="0.35">
      <c r="A1258" s="1">
        <v>2014</v>
      </c>
      <c r="B1258" t="s">
        <v>174</v>
      </c>
      <c r="C1258" t="s">
        <v>175</v>
      </c>
      <c r="D1258">
        <v>190625</v>
      </c>
    </row>
    <row r="1259" spans="1:4" x14ac:dyDescent="0.35">
      <c r="A1259" s="1">
        <v>2014</v>
      </c>
      <c r="B1259" t="s">
        <v>150</v>
      </c>
      <c r="C1259" t="s">
        <v>151</v>
      </c>
      <c r="D1259">
        <v>1526016</v>
      </c>
    </row>
    <row r="1260" spans="1:4" x14ac:dyDescent="0.35">
      <c r="A1260" s="1">
        <v>2014</v>
      </c>
      <c r="B1260" t="s">
        <v>176</v>
      </c>
      <c r="C1260" t="s">
        <v>177</v>
      </c>
      <c r="D1260">
        <v>1107398</v>
      </c>
    </row>
    <row r="1261" spans="1:4" x14ac:dyDescent="0.35">
      <c r="A1261" s="1">
        <v>2014</v>
      </c>
      <c r="B1261" t="s">
        <v>52</v>
      </c>
      <c r="C1261" t="s">
        <v>53</v>
      </c>
      <c r="D1261">
        <v>1032240</v>
      </c>
    </row>
    <row r="1262" spans="1:4" x14ac:dyDescent="0.35">
      <c r="A1262" s="1">
        <v>2014</v>
      </c>
      <c r="B1262" t="s">
        <v>60</v>
      </c>
      <c r="C1262" t="s">
        <v>61</v>
      </c>
      <c r="D1262">
        <v>226175</v>
      </c>
    </row>
    <row r="1263" spans="1:4" x14ac:dyDescent="0.35">
      <c r="A1263" s="1">
        <v>2014</v>
      </c>
      <c r="B1263" t="s">
        <v>62</v>
      </c>
      <c r="C1263" t="s">
        <v>63</v>
      </c>
      <c r="D1263">
        <v>603924</v>
      </c>
    </row>
    <row r="1264" spans="1:4" x14ac:dyDescent="0.35">
      <c r="A1264" s="1">
        <v>2014</v>
      </c>
      <c r="B1264" t="s">
        <v>18</v>
      </c>
      <c r="C1264" t="s">
        <v>19</v>
      </c>
      <c r="D1264">
        <v>1243597</v>
      </c>
    </row>
    <row r="1265" spans="1:4" x14ac:dyDescent="0.35">
      <c r="A1265" s="1">
        <v>2014</v>
      </c>
      <c r="B1265" t="s">
        <v>36</v>
      </c>
      <c r="C1265" t="s">
        <v>37</v>
      </c>
      <c r="D1265">
        <v>260681</v>
      </c>
    </row>
    <row r="1266" spans="1:4" x14ac:dyDescent="0.35">
      <c r="A1266" s="1">
        <v>2014</v>
      </c>
      <c r="B1266" t="s">
        <v>152</v>
      </c>
      <c r="C1266" t="s">
        <v>153</v>
      </c>
      <c r="D1266">
        <v>400477</v>
      </c>
    </row>
    <row r="1267" spans="1:4" x14ac:dyDescent="0.35">
      <c r="A1267" s="1">
        <v>2014</v>
      </c>
      <c r="B1267" t="s">
        <v>64</v>
      </c>
      <c r="C1267" t="s">
        <v>65</v>
      </c>
      <c r="D1267">
        <v>333567</v>
      </c>
    </row>
    <row r="1268" spans="1:4" x14ac:dyDescent="0.35">
      <c r="A1268" s="1">
        <v>2014</v>
      </c>
      <c r="B1268" t="s">
        <v>20</v>
      </c>
      <c r="C1268" t="s">
        <v>21</v>
      </c>
      <c r="D1268">
        <v>757305</v>
      </c>
    </row>
    <row r="1269" spans="1:4" x14ac:dyDescent="0.35">
      <c r="A1269" s="1">
        <v>2014</v>
      </c>
      <c r="B1269" t="s">
        <v>22</v>
      </c>
      <c r="C1269" t="s">
        <v>23</v>
      </c>
      <c r="D1269">
        <v>226565</v>
      </c>
    </row>
    <row r="1270" spans="1:4" x14ac:dyDescent="0.35">
      <c r="A1270" s="1">
        <v>2014</v>
      </c>
      <c r="B1270" t="s">
        <v>190</v>
      </c>
      <c r="C1270" t="s">
        <v>191</v>
      </c>
      <c r="D1270">
        <v>1346592</v>
      </c>
    </row>
    <row r="1271" spans="1:4" x14ac:dyDescent="0.35">
      <c r="A1271" s="1">
        <v>2014</v>
      </c>
      <c r="B1271" t="s">
        <v>66</v>
      </c>
      <c r="C1271" t="s">
        <v>67</v>
      </c>
      <c r="D1271">
        <v>669737</v>
      </c>
    </row>
    <row r="1272" spans="1:4" x14ac:dyDescent="0.35">
      <c r="A1272" s="1">
        <v>2014</v>
      </c>
      <c r="B1272" t="s">
        <v>178</v>
      </c>
      <c r="C1272" t="s">
        <v>179</v>
      </c>
      <c r="D1272">
        <v>173648</v>
      </c>
    </row>
    <row r="1273" spans="1:4" x14ac:dyDescent="0.35">
      <c r="A1273" s="1">
        <v>2014</v>
      </c>
      <c r="B1273" t="s">
        <v>154</v>
      </c>
      <c r="C1273" t="s">
        <v>155</v>
      </c>
      <c r="D1273">
        <v>333234</v>
      </c>
    </row>
    <row r="1274" spans="1:4" x14ac:dyDescent="0.35">
      <c r="A1274" s="1">
        <v>2014</v>
      </c>
      <c r="B1274" t="s">
        <v>180</v>
      </c>
      <c r="C1274" t="s">
        <v>181</v>
      </c>
      <c r="D1274">
        <v>76360</v>
      </c>
    </row>
    <row r="1275" spans="1:4" x14ac:dyDescent="0.35">
      <c r="A1275" s="1">
        <v>2014</v>
      </c>
      <c r="B1275" t="s">
        <v>192</v>
      </c>
      <c r="C1275" t="s">
        <v>193</v>
      </c>
      <c r="D1275">
        <v>805888</v>
      </c>
    </row>
    <row r="1276" spans="1:4" x14ac:dyDescent="0.35">
      <c r="A1276" s="1">
        <v>2014</v>
      </c>
      <c r="B1276" t="s">
        <v>134</v>
      </c>
      <c r="C1276" t="s">
        <v>135</v>
      </c>
      <c r="D1276">
        <v>499958</v>
      </c>
    </row>
    <row r="1277" spans="1:4" x14ac:dyDescent="0.35">
      <c r="A1277" s="1">
        <v>2014</v>
      </c>
      <c r="B1277" t="s">
        <v>88</v>
      </c>
      <c r="C1277" t="s">
        <v>89</v>
      </c>
      <c r="D1277">
        <v>570817</v>
      </c>
    </row>
    <row r="1278" spans="1:4" x14ac:dyDescent="0.35">
      <c r="A1278" s="1">
        <v>2014</v>
      </c>
      <c r="B1278" t="s">
        <v>90</v>
      </c>
      <c r="C1278" t="s">
        <v>91</v>
      </c>
      <c r="D1278">
        <v>180673</v>
      </c>
    </row>
    <row r="1279" spans="1:4" x14ac:dyDescent="0.35">
      <c r="A1279" s="1">
        <v>2014</v>
      </c>
      <c r="B1279" t="s">
        <v>194</v>
      </c>
      <c r="C1279" t="s">
        <v>195</v>
      </c>
      <c r="D1279">
        <v>307471</v>
      </c>
    </row>
    <row r="1280" spans="1:4" x14ac:dyDescent="0.35">
      <c r="A1280" s="1">
        <v>2014</v>
      </c>
      <c r="B1280" t="s">
        <v>92</v>
      </c>
      <c r="C1280" t="s">
        <v>93</v>
      </c>
      <c r="D1280">
        <v>732153</v>
      </c>
    </row>
    <row r="1281" spans="1:4" x14ac:dyDescent="0.35">
      <c r="A1281" s="1">
        <v>2014</v>
      </c>
      <c r="B1281" t="s">
        <v>94</v>
      </c>
      <c r="C1281" t="s">
        <v>95</v>
      </c>
      <c r="D1281">
        <v>191530</v>
      </c>
    </row>
    <row r="1282" spans="1:4" x14ac:dyDescent="0.35">
      <c r="A1282" s="1">
        <v>2014</v>
      </c>
      <c r="B1282" t="s">
        <v>54</v>
      </c>
      <c r="C1282" t="s">
        <v>55</v>
      </c>
      <c r="D1282">
        <v>741051</v>
      </c>
    </row>
    <row r="1283" spans="1:4" x14ac:dyDescent="0.35">
      <c r="A1283" s="1">
        <v>2014</v>
      </c>
      <c r="B1283" t="s">
        <v>96</v>
      </c>
      <c r="C1283" t="s">
        <v>97</v>
      </c>
      <c r="D1283">
        <v>1045154</v>
      </c>
    </row>
    <row r="1284" spans="1:4" x14ac:dyDescent="0.35">
      <c r="A1284" s="1">
        <v>2014</v>
      </c>
      <c r="B1284" t="s">
        <v>38</v>
      </c>
      <c r="C1284" t="s">
        <v>39</v>
      </c>
      <c r="D1284">
        <v>213569</v>
      </c>
    </row>
    <row r="1285" spans="1:4" x14ac:dyDescent="0.35">
      <c r="A1285" s="1">
        <v>2014</v>
      </c>
      <c r="B1285" t="s">
        <v>106</v>
      </c>
      <c r="C1285" t="s">
        <v>107</v>
      </c>
      <c r="D1285">
        <v>2603472</v>
      </c>
    </row>
    <row r="1286" spans="1:4" x14ac:dyDescent="0.35">
      <c r="A1286" s="1">
        <v>2014</v>
      </c>
      <c r="B1286" t="s">
        <v>108</v>
      </c>
      <c r="C1286" t="s">
        <v>109</v>
      </c>
      <c r="D1286">
        <v>818680</v>
      </c>
    </row>
    <row r="1287" spans="1:4" x14ac:dyDescent="0.35">
      <c r="A1287" s="1">
        <v>2014</v>
      </c>
      <c r="B1287" t="s">
        <v>136</v>
      </c>
      <c r="C1287" t="s">
        <v>137</v>
      </c>
      <c r="D1287">
        <v>287750</v>
      </c>
    </row>
    <row r="1288" spans="1:4" x14ac:dyDescent="0.35">
      <c r="A1288" s="1">
        <v>2014</v>
      </c>
      <c r="B1288" t="s">
        <v>110</v>
      </c>
      <c r="C1288" t="s">
        <v>111</v>
      </c>
      <c r="D1288">
        <v>1472589</v>
      </c>
    </row>
    <row r="1289" spans="1:4" x14ac:dyDescent="0.35">
      <c r="A1289" s="1">
        <v>2014</v>
      </c>
      <c r="B1289" t="s">
        <v>24</v>
      </c>
      <c r="C1289" t="s">
        <v>25</v>
      </c>
      <c r="D1289">
        <v>644216</v>
      </c>
    </row>
    <row r="1290" spans="1:4" x14ac:dyDescent="0.35">
      <c r="A1290" s="1">
        <v>2014</v>
      </c>
      <c r="B1290" t="s">
        <v>156</v>
      </c>
      <c r="C1290" t="s">
        <v>157</v>
      </c>
      <c r="D1290">
        <v>667249</v>
      </c>
    </row>
    <row r="1291" spans="1:4" x14ac:dyDescent="0.35">
      <c r="A1291" s="1">
        <v>2014</v>
      </c>
      <c r="B1291" t="s">
        <v>182</v>
      </c>
      <c r="C1291" t="s">
        <v>183</v>
      </c>
      <c r="D1291">
        <v>228950</v>
      </c>
    </row>
    <row r="1292" spans="1:4" x14ac:dyDescent="0.35">
      <c r="A1292" s="1">
        <v>2014</v>
      </c>
      <c r="B1292" t="s">
        <v>184</v>
      </c>
      <c r="C1292" t="s">
        <v>185</v>
      </c>
      <c r="D1292">
        <v>466327</v>
      </c>
    </row>
    <row r="1293" spans="1:4" x14ac:dyDescent="0.35">
      <c r="A1293" s="1">
        <v>2014</v>
      </c>
      <c r="B1293" t="s">
        <v>98</v>
      </c>
      <c r="C1293" t="s">
        <v>99</v>
      </c>
      <c r="D1293">
        <v>1112815</v>
      </c>
    </row>
    <row r="1294" spans="1:4" x14ac:dyDescent="0.35">
      <c r="A1294" s="1">
        <v>2014</v>
      </c>
      <c r="B1294" t="s">
        <v>100</v>
      </c>
      <c r="C1294" t="s">
        <v>101</v>
      </c>
      <c r="D1294">
        <v>760134</v>
      </c>
    </row>
    <row r="1295" spans="1:4" x14ac:dyDescent="0.35">
      <c r="A1295" s="1">
        <v>2014</v>
      </c>
      <c r="B1295" t="s">
        <v>26</v>
      </c>
      <c r="C1295" t="s">
        <v>27</v>
      </c>
      <c r="D1295">
        <v>1801885</v>
      </c>
    </row>
    <row r="1296" spans="1:4" x14ac:dyDescent="0.35">
      <c r="A1296" s="1">
        <v>2014</v>
      </c>
      <c r="B1296" t="s">
        <v>40</v>
      </c>
      <c r="C1296" t="s">
        <v>41</v>
      </c>
      <c r="D1296">
        <v>238347</v>
      </c>
    </row>
    <row r="1297" spans="1:4" x14ac:dyDescent="0.35">
      <c r="A1297" s="1">
        <v>2014</v>
      </c>
      <c r="B1297" t="s">
        <v>42</v>
      </c>
      <c r="C1297" t="s">
        <v>43</v>
      </c>
      <c r="D1297">
        <v>555788</v>
      </c>
    </row>
    <row r="1298" spans="1:4" x14ac:dyDescent="0.35">
      <c r="A1298" s="1">
        <v>2014</v>
      </c>
      <c r="B1298" t="s">
        <v>196</v>
      </c>
      <c r="C1298" t="s">
        <v>197</v>
      </c>
      <c r="D1298">
        <v>568760</v>
      </c>
    </row>
    <row r="1299" spans="1:4" x14ac:dyDescent="0.35">
      <c r="A1299" s="1">
        <v>2014</v>
      </c>
      <c r="B1299" t="s">
        <v>28</v>
      </c>
      <c r="C1299" t="s">
        <v>29</v>
      </c>
      <c r="D1299">
        <v>426924</v>
      </c>
    </row>
    <row r="1300" spans="1:4" x14ac:dyDescent="0.35">
      <c r="A1300" s="1">
        <v>2014</v>
      </c>
      <c r="B1300" t="s">
        <v>30</v>
      </c>
      <c r="C1300" t="s">
        <v>31</v>
      </c>
      <c r="D1300">
        <v>783127</v>
      </c>
    </row>
    <row r="1301" spans="1:4" x14ac:dyDescent="0.35">
      <c r="A1301" s="1">
        <v>2014</v>
      </c>
      <c r="B1301" t="s">
        <v>114</v>
      </c>
      <c r="C1301" t="s">
        <v>115</v>
      </c>
      <c r="D1301">
        <v>2220445</v>
      </c>
    </row>
    <row r="1302" spans="1:4" x14ac:dyDescent="0.35">
      <c r="A1302" s="1">
        <v>2014</v>
      </c>
      <c r="B1302" t="s">
        <v>138</v>
      </c>
      <c r="C1302" t="s">
        <v>139</v>
      </c>
      <c r="D1302">
        <v>1257920</v>
      </c>
    </row>
    <row r="1303" spans="1:4" x14ac:dyDescent="0.35">
      <c r="A1303" s="1">
        <v>2014</v>
      </c>
      <c r="B1303" t="s">
        <v>116</v>
      </c>
      <c r="C1303" t="s">
        <v>117</v>
      </c>
      <c r="D1303">
        <v>1377846</v>
      </c>
    </row>
    <row r="1304" spans="1:4" x14ac:dyDescent="0.35">
      <c r="A1304" s="1">
        <v>2014</v>
      </c>
      <c r="B1304" t="s">
        <v>118</v>
      </c>
      <c r="C1304" t="s">
        <v>119</v>
      </c>
      <c r="D1304">
        <v>1421670</v>
      </c>
    </row>
    <row r="1305" spans="1:4" x14ac:dyDescent="0.35">
      <c r="A1305" s="1">
        <v>2014</v>
      </c>
      <c r="B1305" t="s">
        <v>158</v>
      </c>
      <c r="C1305" t="s">
        <v>159</v>
      </c>
      <c r="D1305">
        <v>373553</v>
      </c>
    </row>
    <row r="1306" spans="1:4" x14ac:dyDescent="0.35">
      <c r="A1306" s="1">
        <v>2014</v>
      </c>
      <c r="B1306" t="s">
        <v>112</v>
      </c>
      <c r="C1306" t="s">
        <v>113</v>
      </c>
      <c r="D1306">
        <v>571632</v>
      </c>
    </row>
    <row r="1307" spans="1:4" x14ac:dyDescent="0.35">
      <c r="A1307" s="1">
        <v>2014</v>
      </c>
      <c r="B1307" t="s">
        <v>186</v>
      </c>
      <c r="C1307" t="s">
        <v>187</v>
      </c>
      <c r="D1307">
        <v>384474</v>
      </c>
    </row>
    <row r="1308" spans="1:4" x14ac:dyDescent="0.35">
      <c r="A1308" s="1">
        <v>2014</v>
      </c>
      <c r="B1308" t="s">
        <v>188</v>
      </c>
      <c r="C1308" t="s">
        <v>189</v>
      </c>
      <c r="D1308">
        <v>252578</v>
      </c>
    </row>
    <row r="1309" spans="1:4" x14ac:dyDescent="0.35">
      <c r="A1309" s="1">
        <v>2014</v>
      </c>
      <c r="B1309" t="s">
        <v>208</v>
      </c>
      <c r="C1309" t="s">
        <v>209</v>
      </c>
      <c r="D1309">
        <v>1038212</v>
      </c>
    </row>
    <row r="1310" spans="1:4" x14ac:dyDescent="0.35">
      <c r="A1310" s="1">
        <v>2014</v>
      </c>
      <c r="B1310" t="s">
        <v>210</v>
      </c>
      <c r="C1310" t="s">
        <v>211</v>
      </c>
      <c r="D1310">
        <v>554374</v>
      </c>
    </row>
    <row r="1311" spans="1:4" x14ac:dyDescent="0.35">
      <c r="A1311" s="1">
        <v>2014</v>
      </c>
      <c r="B1311" t="s">
        <v>198</v>
      </c>
      <c r="C1311" t="s">
        <v>199</v>
      </c>
      <c r="D1311">
        <v>662122</v>
      </c>
    </row>
    <row r="1312" spans="1:4" x14ac:dyDescent="0.35">
      <c r="A1312" s="1">
        <v>2014</v>
      </c>
      <c r="B1312" t="s">
        <v>160</v>
      </c>
      <c r="C1312" t="s">
        <v>161</v>
      </c>
      <c r="D1312">
        <v>433203</v>
      </c>
    </row>
    <row r="1313" spans="1:4" x14ac:dyDescent="0.35">
      <c r="A1313" s="1">
        <v>2014</v>
      </c>
      <c r="B1313" t="s">
        <v>162</v>
      </c>
      <c r="C1313" t="s">
        <v>163</v>
      </c>
      <c r="D1313">
        <v>376199</v>
      </c>
    </row>
    <row r="1314" spans="1:4" x14ac:dyDescent="0.35">
      <c r="A1314" s="1">
        <v>2014</v>
      </c>
      <c r="B1314" t="s">
        <v>102</v>
      </c>
      <c r="C1314" t="s">
        <v>103</v>
      </c>
      <c r="D1314">
        <v>373560</v>
      </c>
    </row>
    <row r="1315" spans="1:4" x14ac:dyDescent="0.35">
      <c r="A1315" s="1">
        <v>2014</v>
      </c>
      <c r="B1315" t="s">
        <v>44</v>
      </c>
      <c r="C1315" t="s">
        <v>45</v>
      </c>
      <c r="D1315">
        <v>341814</v>
      </c>
    </row>
    <row r="1316" spans="1:4" x14ac:dyDescent="0.35">
      <c r="A1316" s="1">
        <v>2014</v>
      </c>
      <c r="B1316" t="s">
        <v>46</v>
      </c>
      <c r="C1316" t="s">
        <v>221</v>
      </c>
      <c r="D1316">
        <v>144334</v>
      </c>
    </row>
    <row r="1317" spans="1:4" x14ac:dyDescent="0.35">
      <c r="A1317" s="1">
        <v>2014</v>
      </c>
      <c r="B1317" t="s">
        <v>120</v>
      </c>
      <c r="C1317" t="s">
        <v>121</v>
      </c>
      <c r="D1317">
        <v>1268228</v>
      </c>
    </row>
    <row r="1318" spans="1:4" x14ac:dyDescent="0.35">
      <c r="A1318" s="1">
        <v>2014</v>
      </c>
      <c r="B1318" t="s">
        <v>122</v>
      </c>
      <c r="C1318" t="s">
        <v>222</v>
      </c>
      <c r="D1318">
        <v>1597770</v>
      </c>
    </row>
    <row r="1319" spans="1:4" x14ac:dyDescent="0.35">
      <c r="A1319" s="1">
        <v>2014</v>
      </c>
      <c r="B1319" t="s">
        <v>124</v>
      </c>
      <c r="C1319" t="s">
        <v>125</v>
      </c>
      <c r="D1319">
        <v>1571028</v>
      </c>
    </row>
    <row r="1320" spans="1:4" x14ac:dyDescent="0.35">
      <c r="A1320" s="1">
        <v>2014</v>
      </c>
      <c r="B1320" t="s">
        <v>126</v>
      </c>
      <c r="C1320" t="s">
        <v>127</v>
      </c>
      <c r="D1320">
        <v>1365039</v>
      </c>
    </row>
    <row r="1321" spans="1:4" x14ac:dyDescent="0.35">
      <c r="A1321" s="1">
        <v>2014</v>
      </c>
      <c r="B1321" t="s">
        <v>128</v>
      </c>
      <c r="C1321" t="s">
        <v>129</v>
      </c>
      <c r="D1321">
        <v>1205539</v>
      </c>
    </row>
    <row r="1322" spans="1:4" x14ac:dyDescent="0.35">
      <c r="A1322" s="1">
        <v>2014</v>
      </c>
      <c r="B1322" t="s">
        <v>223</v>
      </c>
      <c r="D1322">
        <v>64027958</v>
      </c>
    </row>
    <row r="1323" spans="1:4" x14ac:dyDescent="0.35">
      <c r="A1323" s="1">
        <v>2014</v>
      </c>
      <c r="B1323">
        <v>971</v>
      </c>
      <c r="C1323" t="s">
        <v>224</v>
      </c>
      <c r="D1323">
        <v>400186</v>
      </c>
    </row>
    <row r="1324" spans="1:4" x14ac:dyDescent="0.35">
      <c r="A1324" s="1">
        <v>2014</v>
      </c>
      <c r="B1324">
        <v>972</v>
      </c>
      <c r="C1324" t="s">
        <v>225</v>
      </c>
      <c r="D1324">
        <v>383911</v>
      </c>
    </row>
    <row r="1325" spans="1:4" x14ac:dyDescent="0.35">
      <c r="A1325" s="1">
        <v>2014</v>
      </c>
      <c r="B1325">
        <v>973</v>
      </c>
      <c r="C1325" t="s">
        <v>77</v>
      </c>
      <c r="D1325">
        <v>252338</v>
      </c>
    </row>
    <row r="1326" spans="1:4" x14ac:dyDescent="0.35">
      <c r="A1326" s="1">
        <v>2014</v>
      </c>
      <c r="B1326">
        <v>974</v>
      </c>
      <c r="C1326" t="s">
        <v>79</v>
      </c>
      <c r="D1326">
        <v>842767</v>
      </c>
    </row>
    <row r="1327" spans="1:4" x14ac:dyDescent="0.35">
      <c r="A1327" s="1">
        <v>2014</v>
      </c>
      <c r="B1327">
        <v>976</v>
      </c>
      <c r="C1327" t="s">
        <v>215</v>
      </c>
      <c r="D1327">
        <v>223713</v>
      </c>
    </row>
    <row r="1328" spans="1:4" x14ac:dyDescent="0.35">
      <c r="A1328" s="1">
        <v>2014</v>
      </c>
      <c r="B1328" t="s">
        <v>226</v>
      </c>
      <c r="D1328">
        <v>2102915</v>
      </c>
    </row>
    <row r="1329" spans="1:4" x14ac:dyDescent="0.35">
      <c r="A1329" s="1">
        <v>2014</v>
      </c>
      <c r="B1329" t="s">
        <v>227</v>
      </c>
      <c r="D1329">
        <v>66130873</v>
      </c>
    </row>
    <row r="1330" spans="1:4" x14ac:dyDescent="0.35">
      <c r="A1330" s="1">
        <v>2014</v>
      </c>
    </row>
    <row r="1331" spans="1:4" x14ac:dyDescent="0.35">
      <c r="A1331" s="1">
        <v>2014</v>
      </c>
      <c r="B1331" t="s">
        <v>242</v>
      </c>
    </row>
    <row r="1332" spans="1:4" x14ac:dyDescent="0.35">
      <c r="A1332" s="1">
        <v>2013</v>
      </c>
      <c r="B1332" t="s">
        <v>229</v>
      </c>
    </row>
    <row r="1333" spans="1:4" x14ac:dyDescent="0.35">
      <c r="A1333" s="1">
        <v>2013</v>
      </c>
      <c r="B1333" t="s">
        <v>248</v>
      </c>
    </row>
    <row r="1334" spans="1:4" x14ac:dyDescent="0.35">
      <c r="A1334" s="1">
        <v>2013</v>
      </c>
    </row>
    <row r="1335" spans="1:4" x14ac:dyDescent="0.35">
      <c r="A1335" s="1">
        <v>2013</v>
      </c>
      <c r="B1335" t="s">
        <v>231</v>
      </c>
    </row>
    <row r="1336" spans="1:4" x14ac:dyDescent="0.35">
      <c r="A1336" s="1">
        <v>2013</v>
      </c>
      <c r="D1336" t="s">
        <v>232</v>
      </c>
    </row>
    <row r="1337" spans="1:4" x14ac:dyDescent="0.35">
      <c r="A1337" s="1">
        <v>2013</v>
      </c>
      <c r="B1337" t="s">
        <v>5</v>
      </c>
      <c r="C1337" t="s">
        <v>6</v>
      </c>
      <c r="D1337">
        <v>619497</v>
      </c>
    </row>
    <row r="1338" spans="1:4" x14ac:dyDescent="0.35">
      <c r="A1338" s="1">
        <v>2013</v>
      </c>
      <c r="B1338" t="s">
        <v>104</v>
      </c>
      <c r="C1338" t="s">
        <v>105</v>
      </c>
      <c r="D1338">
        <v>540067</v>
      </c>
    </row>
    <row r="1339" spans="1:4" x14ac:dyDescent="0.35">
      <c r="A1339" s="1">
        <v>2013</v>
      </c>
      <c r="B1339" t="s">
        <v>10</v>
      </c>
      <c r="C1339" t="s">
        <v>11</v>
      </c>
      <c r="D1339">
        <v>343431</v>
      </c>
    </row>
    <row r="1340" spans="1:4" x14ac:dyDescent="0.35">
      <c r="A1340" s="1">
        <v>2013</v>
      </c>
      <c r="B1340" t="s">
        <v>200</v>
      </c>
      <c r="C1340" t="s">
        <v>201</v>
      </c>
      <c r="D1340">
        <v>161916</v>
      </c>
    </row>
    <row r="1341" spans="1:4" x14ac:dyDescent="0.35">
      <c r="A1341" s="1">
        <v>2013</v>
      </c>
      <c r="B1341" t="s">
        <v>202</v>
      </c>
      <c r="C1341" t="s">
        <v>203</v>
      </c>
      <c r="D1341">
        <v>139279</v>
      </c>
    </row>
    <row r="1342" spans="1:4" x14ac:dyDescent="0.35">
      <c r="A1342" s="1">
        <v>2013</v>
      </c>
      <c r="B1342" t="s">
        <v>204</v>
      </c>
      <c r="C1342" t="s">
        <v>205</v>
      </c>
      <c r="D1342">
        <v>1080771</v>
      </c>
    </row>
    <row r="1343" spans="1:4" x14ac:dyDescent="0.35">
      <c r="A1343" s="1">
        <v>2013</v>
      </c>
      <c r="B1343" t="s">
        <v>12</v>
      </c>
      <c r="C1343" t="s">
        <v>13</v>
      </c>
      <c r="D1343">
        <v>320379</v>
      </c>
    </row>
    <row r="1344" spans="1:4" x14ac:dyDescent="0.35">
      <c r="A1344" s="1">
        <v>2013</v>
      </c>
      <c r="B1344" t="s">
        <v>84</v>
      </c>
      <c r="C1344" t="s">
        <v>85</v>
      </c>
      <c r="D1344">
        <v>280907</v>
      </c>
    </row>
    <row r="1345" spans="1:4" x14ac:dyDescent="0.35">
      <c r="A1345" s="1">
        <v>2013</v>
      </c>
      <c r="B1345" t="s">
        <v>164</v>
      </c>
      <c r="C1345" t="s">
        <v>165</v>
      </c>
      <c r="D1345">
        <v>152684</v>
      </c>
    </row>
    <row r="1346" spans="1:4" x14ac:dyDescent="0.35">
      <c r="A1346" s="1">
        <v>2013</v>
      </c>
      <c r="B1346" t="s">
        <v>86</v>
      </c>
      <c r="C1346" t="s">
        <v>87</v>
      </c>
      <c r="D1346">
        <v>306581</v>
      </c>
    </row>
    <row r="1347" spans="1:4" x14ac:dyDescent="0.35">
      <c r="A1347" s="1">
        <v>2013</v>
      </c>
      <c r="B1347" t="s">
        <v>166</v>
      </c>
      <c r="C1347" t="s">
        <v>167</v>
      </c>
      <c r="D1347">
        <v>364877</v>
      </c>
    </row>
    <row r="1348" spans="1:4" x14ac:dyDescent="0.35">
      <c r="A1348" s="1">
        <v>2013</v>
      </c>
      <c r="B1348" t="s">
        <v>168</v>
      </c>
      <c r="C1348" t="s">
        <v>169</v>
      </c>
      <c r="D1348">
        <v>277740</v>
      </c>
    </row>
    <row r="1349" spans="1:4" x14ac:dyDescent="0.35">
      <c r="A1349" s="1">
        <v>2013</v>
      </c>
      <c r="B1349" t="s">
        <v>206</v>
      </c>
      <c r="C1349" t="s">
        <v>207</v>
      </c>
      <c r="D1349">
        <v>1993177</v>
      </c>
    </row>
    <row r="1350" spans="1:4" x14ac:dyDescent="0.35">
      <c r="A1350" s="1">
        <v>2013</v>
      </c>
      <c r="B1350" t="s">
        <v>130</v>
      </c>
      <c r="C1350" t="s">
        <v>131</v>
      </c>
      <c r="D1350">
        <v>689945</v>
      </c>
    </row>
    <row r="1351" spans="1:4" x14ac:dyDescent="0.35">
      <c r="A1351" s="1">
        <v>2013</v>
      </c>
      <c r="B1351" t="s">
        <v>14</v>
      </c>
      <c r="C1351" t="s">
        <v>15</v>
      </c>
      <c r="D1351">
        <v>147035</v>
      </c>
    </row>
    <row r="1352" spans="1:4" x14ac:dyDescent="0.35">
      <c r="A1352" s="1">
        <v>2013</v>
      </c>
      <c r="B1352" t="s">
        <v>140</v>
      </c>
      <c r="C1352" t="s">
        <v>141</v>
      </c>
      <c r="D1352">
        <v>353482</v>
      </c>
    </row>
    <row r="1353" spans="1:4" x14ac:dyDescent="0.35">
      <c r="A1353" s="1">
        <v>2013</v>
      </c>
      <c r="B1353" t="s">
        <v>142</v>
      </c>
      <c r="C1353" t="s">
        <v>143</v>
      </c>
      <c r="D1353">
        <v>633417</v>
      </c>
    </row>
    <row r="1354" spans="1:4" x14ac:dyDescent="0.35">
      <c r="A1354" s="1">
        <v>2013</v>
      </c>
      <c r="B1354" t="s">
        <v>56</v>
      </c>
      <c r="C1354" t="s">
        <v>57</v>
      </c>
      <c r="D1354">
        <v>311650</v>
      </c>
    </row>
    <row r="1355" spans="1:4" x14ac:dyDescent="0.35">
      <c r="A1355" s="1">
        <v>2013</v>
      </c>
      <c r="B1355" t="s">
        <v>144</v>
      </c>
      <c r="C1355" t="s">
        <v>145</v>
      </c>
      <c r="D1355">
        <v>240781</v>
      </c>
    </row>
    <row r="1356" spans="1:4" x14ac:dyDescent="0.35">
      <c r="A1356" s="1">
        <v>2013</v>
      </c>
      <c r="B1356" t="s">
        <v>68</v>
      </c>
      <c r="C1356" t="s">
        <v>69</v>
      </c>
      <c r="D1356">
        <v>149234</v>
      </c>
    </row>
    <row r="1357" spans="1:4" x14ac:dyDescent="0.35">
      <c r="A1357" s="1">
        <v>2013</v>
      </c>
      <c r="B1357" t="s">
        <v>70</v>
      </c>
      <c r="C1357" t="s">
        <v>71</v>
      </c>
      <c r="D1357">
        <v>170974</v>
      </c>
    </row>
    <row r="1358" spans="1:4" x14ac:dyDescent="0.35">
      <c r="A1358" s="1">
        <v>2013</v>
      </c>
      <c r="B1358" t="s">
        <v>32</v>
      </c>
      <c r="C1358" t="s">
        <v>219</v>
      </c>
      <c r="D1358">
        <v>529761</v>
      </c>
    </row>
    <row r="1359" spans="1:4" x14ac:dyDescent="0.35">
      <c r="A1359" s="1">
        <v>2013</v>
      </c>
      <c r="B1359" t="s">
        <v>48</v>
      </c>
      <c r="C1359" t="s">
        <v>220</v>
      </c>
      <c r="D1359">
        <v>597085</v>
      </c>
    </row>
    <row r="1360" spans="1:4" x14ac:dyDescent="0.35">
      <c r="A1360" s="1">
        <v>2013</v>
      </c>
      <c r="B1360" t="s">
        <v>146</v>
      </c>
      <c r="C1360" t="s">
        <v>147</v>
      </c>
      <c r="D1360">
        <v>120872</v>
      </c>
    </row>
    <row r="1361" spans="1:4" x14ac:dyDescent="0.35">
      <c r="A1361" s="1">
        <v>2013</v>
      </c>
      <c r="B1361" t="s">
        <v>148</v>
      </c>
      <c r="C1361" t="s">
        <v>149</v>
      </c>
      <c r="D1361">
        <v>416909</v>
      </c>
    </row>
    <row r="1362" spans="1:4" x14ac:dyDescent="0.35">
      <c r="A1362" s="1">
        <v>2013</v>
      </c>
      <c r="B1362" t="s">
        <v>34</v>
      </c>
      <c r="C1362" t="s">
        <v>35</v>
      </c>
      <c r="D1362">
        <v>533320</v>
      </c>
    </row>
    <row r="1363" spans="1:4" x14ac:dyDescent="0.35">
      <c r="A1363" s="1">
        <v>2013</v>
      </c>
      <c r="B1363" t="s">
        <v>16</v>
      </c>
      <c r="C1363" t="s">
        <v>17</v>
      </c>
      <c r="D1363">
        <v>494712</v>
      </c>
    </row>
    <row r="1364" spans="1:4" x14ac:dyDescent="0.35">
      <c r="A1364" s="1">
        <v>2013</v>
      </c>
      <c r="B1364" t="s">
        <v>132</v>
      </c>
      <c r="C1364" t="s">
        <v>133</v>
      </c>
      <c r="D1364">
        <v>595043</v>
      </c>
    </row>
    <row r="1365" spans="1:4" x14ac:dyDescent="0.35">
      <c r="A1365" s="1">
        <v>2013</v>
      </c>
      <c r="B1365" t="s">
        <v>58</v>
      </c>
      <c r="C1365" t="s">
        <v>59</v>
      </c>
      <c r="D1365">
        <v>432967</v>
      </c>
    </row>
    <row r="1366" spans="1:4" x14ac:dyDescent="0.35">
      <c r="A1366" s="1">
        <v>2013</v>
      </c>
      <c r="B1366" t="s">
        <v>50</v>
      </c>
      <c r="C1366" t="s">
        <v>51</v>
      </c>
      <c r="D1366">
        <v>903921</v>
      </c>
    </row>
    <row r="1367" spans="1:4" x14ac:dyDescent="0.35">
      <c r="A1367" s="1">
        <v>2013</v>
      </c>
      <c r="B1367" t="s">
        <v>170</v>
      </c>
      <c r="C1367" t="s">
        <v>171</v>
      </c>
      <c r="D1367">
        <v>733201</v>
      </c>
    </row>
    <row r="1368" spans="1:4" x14ac:dyDescent="0.35">
      <c r="A1368" s="1">
        <v>2013</v>
      </c>
      <c r="B1368" t="s">
        <v>172</v>
      </c>
      <c r="C1368" t="s">
        <v>173</v>
      </c>
      <c r="D1368">
        <v>1298562</v>
      </c>
    </row>
    <row r="1369" spans="1:4" x14ac:dyDescent="0.35">
      <c r="A1369" s="1">
        <v>2013</v>
      </c>
      <c r="B1369" t="s">
        <v>174</v>
      </c>
      <c r="C1369" t="s">
        <v>175</v>
      </c>
      <c r="D1369">
        <v>190276</v>
      </c>
    </row>
    <row r="1370" spans="1:4" x14ac:dyDescent="0.35">
      <c r="A1370" s="1">
        <v>2013</v>
      </c>
      <c r="B1370" t="s">
        <v>150</v>
      </c>
      <c r="C1370" t="s">
        <v>151</v>
      </c>
      <c r="D1370">
        <v>1505517</v>
      </c>
    </row>
    <row r="1371" spans="1:4" x14ac:dyDescent="0.35">
      <c r="A1371" s="1">
        <v>2013</v>
      </c>
      <c r="B1371" t="s">
        <v>176</v>
      </c>
      <c r="C1371" t="s">
        <v>177</v>
      </c>
      <c r="D1371">
        <v>1092331</v>
      </c>
    </row>
    <row r="1372" spans="1:4" x14ac:dyDescent="0.35">
      <c r="A1372" s="1">
        <v>2013</v>
      </c>
      <c r="B1372" t="s">
        <v>52</v>
      </c>
      <c r="C1372" t="s">
        <v>53</v>
      </c>
      <c r="D1372">
        <v>1019923</v>
      </c>
    </row>
    <row r="1373" spans="1:4" x14ac:dyDescent="0.35">
      <c r="A1373" s="1">
        <v>2013</v>
      </c>
      <c r="B1373" t="s">
        <v>60</v>
      </c>
      <c r="C1373" t="s">
        <v>61</v>
      </c>
      <c r="D1373">
        <v>228091</v>
      </c>
    </row>
    <row r="1374" spans="1:4" x14ac:dyDescent="0.35">
      <c r="A1374" s="1">
        <v>2013</v>
      </c>
      <c r="B1374" t="s">
        <v>62</v>
      </c>
      <c r="C1374" t="s">
        <v>63</v>
      </c>
      <c r="D1374">
        <v>600252</v>
      </c>
    </row>
    <row r="1375" spans="1:4" x14ac:dyDescent="0.35">
      <c r="A1375" s="1">
        <v>2013</v>
      </c>
      <c r="B1375" t="s">
        <v>18</v>
      </c>
      <c r="C1375" t="s">
        <v>19</v>
      </c>
      <c r="D1375">
        <v>1235387</v>
      </c>
    </row>
    <row r="1376" spans="1:4" x14ac:dyDescent="0.35">
      <c r="A1376" s="1">
        <v>2013</v>
      </c>
      <c r="B1376" t="s">
        <v>36</v>
      </c>
      <c r="C1376" t="s">
        <v>37</v>
      </c>
      <c r="D1376">
        <v>260502</v>
      </c>
    </row>
    <row r="1377" spans="1:4" x14ac:dyDescent="0.35">
      <c r="A1377" s="1">
        <v>2013</v>
      </c>
      <c r="B1377" t="s">
        <v>152</v>
      </c>
      <c r="C1377" t="s">
        <v>153</v>
      </c>
      <c r="D1377">
        <v>397226</v>
      </c>
    </row>
    <row r="1378" spans="1:4" x14ac:dyDescent="0.35">
      <c r="A1378" s="1">
        <v>2013</v>
      </c>
      <c r="B1378" t="s">
        <v>64</v>
      </c>
      <c r="C1378" t="s">
        <v>65</v>
      </c>
      <c r="D1378">
        <v>332001</v>
      </c>
    </row>
    <row r="1379" spans="1:4" x14ac:dyDescent="0.35">
      <c r="A1379" s="1">
        <v>2013</v>
      </c>
      <c r="B1379" t="s">
        <v>20</v>
      </c>
      <c r="C1379" t="s">
        <v>21</v>
      </c>
      <c r="D1379">
        <v>756715</v>
      </c>
    </row>
    <row r="1380" spans="1:4" x14ac:dyDescent="0.35">
      <c r="A1380" s="1">
        <v>2013</v>
      </c>
      <c r="B1380" t="s">
        <v>22</v>
      </c>
      <c r="C1380" t="s">
        <v>23</v>
      </c>
      <c r="D1380">
        <v>226203</v>
      </c>
    </row>
    <row r="1381" spans="1:4" x14ac:dyDescent="0.35">
      <c r="A1381" s="1">
        <v>2013</v>
      </c>
      <c r="B1381" t="s">
        <v>190</v>
      </c>
      <c r="C1381" t="s">
        <v>191</v>
      </c>
      <c r="D1381">
        <v>1328620</v>
      </c>
    </row>
    <row r="1382" spans="1:4" x14ac:dyDescent="0.35">
      <c r="A1382" s="1">
        <v>2013</v>
      </c>
      <c r="B1382" t="s">
        <v>66</v>
      </c>
      <c r="C1382" t="s">
        <v>67</v>
      </c>
      <c r="D1382">
        <v>665587</v>
      </c>
    </row>
    <row r="1383" spans="1:4" x14ac:dyDescent="0.35">
      <c r="A1383" s="1">
        <v>2013</v>
      </c>
      <c r="B1383" t="s">
        <v>178</v>
      </c>
      <c r="C1383" t="s">
        <v>179</v>
      </c>
      <c r="D1383">
        <v>173758</v>
      </c>
    </row>
    <row r="1384" spans="1:4" x14ac:dyDescent="0.35">
      <c r="A1384" s="1">
        <v>2013</v>
      </c>
      <c r="B1384" t="s">
        <v>154</v>
      </c>
      <c r="C1384" t="s">
        <v>155</v>
      </c>
      <c r="D1384">
        <v>333180</v>
      </c>
    </row>
    <row r="1385" spans="1:4" x14ac:dyDescent="0.35">
      <c r="A1385" s="1">
        <v>2013</v>
      </c>
      <c r="B1385" t="s">
        <v>180</v>
      </c>
      <c r="C1385" t="s">
        <v>181</v>
      </c>
      <c r="D1385">
        <v>76607</v>
      </c>
    </row>
    <row r="1386" spans="1:4" x14ac:dyDescent="0.35">
      <c r="A1386" s="1">
        <v>2013</v>
      </c>
      <c r="B1386" t="s">
        <v>192</v>
      </c>
      <c r="C1386" t="s">
        <v>193</v>
      </c>
      <c r="D1386">
        <v>800191</v>
      </c>
    </row>
    <row r="1387" spans="1:4" x14ac:dyDescent="0.35">
      <c r="A1387" s="1">
        <v>2013</v>
      </c>
      <c r="B1387" t="s">
        <v>134</v>
      </c>
      <c r="C1387" t="s">
        <v>135</v>
      </c>
      <c r="D1387">
        <v>499919</v>
      </c>
    </row>
    <row r="1388" spans="1:4" x14ac:dyDescent="0.35">
      <c r="A1388" s="1">
        <v>2013</v>
      </c>
      <c r="B1388" t="s">
        <v>88</v>
      </c>
      <c r="C1388" t="s">
        <v>89</v>
      </c>
      <c r="D1388">
        <v>569999</v>
      </c>
    </row>
    <row r="1389" spans="1:4" x14ac:dyDescent="0.35">
      <c r="A1389" s="1">
        <v>2013</v>
      </c>
      <c r="B1389" t="s">
        <v>90</v>
      </c>
      <c r="C1389" t="s">
        <v>91</v>
      </c>
      <c r="D1389">
        <v>181521</v>
      </c>
    </row>
    <row r="1390" spans="1:4" x14ac:dyDescent="0.35">
      <c r="A1390" s="1">
        <v>2013</v>
      </c>
      <c r="B1390" t="s">
        <v>194</v>
      </c>
      <c r="C1390" t="s">
        <v>195</v>
      </c>
      <c r="D1390">
        <v>307500</v>
      </c>
    </row>
    <row r="1391" spans="1:4" x14ac:dyDescent="0.35">
      <c r="A1391" s="1">
        <v>2013</v>
      </c>
      <c r="B1391" t="s">
        <v>92</v>
      </c>
      <c r="C1391" t="s">
        <v>93</v>
      </c>
      <c r="D1391">
        <v>731004</v>
      </c>
    </row>
    <row r="1392" spans="1:4" x14ac:dyDescent="0.35">
      <c r="A1392" s="1">
        <v>2013</v>
      </c>
      <c r="B1392" t="s">
        <v>94</v>
      </c>
      <c r="C1392" t="s">
        <v>95</v>
      </c>
      <c r="D1392">
        <v>192094</v>
      </c>
    </row>
    <row r="1393" spans="1:4" x14ac:dyDescent="0.35">
      <c r="A1393" s="1">
        <v>2013</v>
      </c>
      <c r="B1393" t="s">
        <v>54</v>
      </c>
      <c r="C1393" t="s">
        <v>55</v>
      </c>
      <c r="D1393">
        <v>737778</v>
      </c>
    </row>
    <row r="1394" spans="1:4" x14ac:dyDescent="0.35">
      <c r="A1394" s="1">
        <v>2013</v>
      </c>
      <c r="B1394" t="s">
        <v>96</v>
      </c>
      <c r="C1394" t="s">
        <v>97</v>
      </c>
      <c r="D1394">
        <v>1046873</v>
      </c>
    </row>
    <row r="1395" spans="1:4" x14ac:dyDescent="0.35">
      <c r="A1395" s="1">
        <v>2013</v>
      </c>
      <c r="B1395" t="s">
        <v>38</v>
      </c>
      <c r="C1395" t="s">
        <v>39</v>
      </c>
      <c r="D1395">
        <v>215221</v>
      </c>
    </row>
    <row r="1396" spans="1:4" x14ac:dyDescent="0.35">
      <c r="A1396" s="1">
        <v>2013</v>
      </c>
      <c r="B1396" t="s">
        <v>106</v>
      </c>
      <c r="C1396" t="s">
        <v>107</v>
      </c>
      <c r="D1396">
        <v>2595536</v>
      </c>
    </row>
    <row r="1397" spans="1:4" x14ac:dyDescent="0.35">
      <c r="A1397" s="1">
        <v>2013</v>
      </c>
      <c r="B1397" t="s">
        <v>108</v>
      </c>
      <c r="C1397" t="s">
        <v>109</v>
      </c>
      <c r="D1397">
        <v>815400</v>
      </c>
    </row>
    <row r="1398" spans="1:4" x14ac:dyDescent="0.35">
      <c r="A1398" s="1">
        <v>2013</v>
      </c>
      <c r="B1398" t="s">
        <v>136</v>
      </c>
      <c r="C1398" t="s">
        <v>137</v>
      </c>
      <c r="D1398">
        <v>288848</v>
      </c>
    </row>
    <row r="1399" spans="1:4" x14ac:dyDescent="0.35">
      <c r="A1399" s="1">
        <v>2013</v>
      </c>
      <c r="B1399" t="s">
        <v>110</v>
      </c>
      <c r="C1399" t="s">
        <v>111</v>
      </c>
      <c r="D1399">
        <v>1465205</v>
      </c>
    </row>
    <row r="1400" spans="1:4" x14ac:dyDescent="0.35">
      <c r="A1400" s="1">
        <v>2013</v>
      </c>
      <c r="B1400" t="s">
        <v>24</v>
      </c>
      <c r="C1400" t="s">
        <v>25</v>
      </c>
      <c r="D1400">
        <v>640999</v>
      </c>
    </row>
    <row r="1401" spans="1:4" x14ac:dyDescent="0.35">
      <c r="A1401" s="1">
        <v>2013</v>
      </c>
      <c r="B1401" t="s">
        <v>156</v>
      </c>
      <c r="C1401" t="s">
        <v>157</v>
      </c>
      <c r="D1401">
        <v>664057</v>
      </c>
    </row>
    <row r="1402" spans="1:4" x14ac:dyDescent="0.35">
      <c r="A1402" s="1">
        <v>2013</v>
      </c>
      <c r="B1402" t="s">
        <v>182</v>
      </c>
      <c r="C1402" t="s">
        <v>183</v>
      </c>
      <c r="D1402">
        <v>228868</v>
      </c>
    </row>
    <row r="1403" spans="1:4" x14ac:dyDescent="0.35">
      <c r="A1403" s="1">
        <v>2013</v>
      </c>
      <c r="B1403" t="s">
        <v>184</v>
      </c>
      <c r="C1403" t="s">
        <v>185</v>
      </c>
      <c r="D1403">
        <v>462705</v>
      </c>
    </row>
    <row r="1404" spans="1:4" x14ac:dyDescent="0.35">
      <c r="A1404" s="1">
        <v>2013</v>
      </c>
      <c r="B1404" t="s">
        <v>98</v>
      </c>
      <c r="C1404" t="s">
        <v>99</v>
      </c>
      <c r="D1404">
        <v>1109460</v>
      </c>
    </row>
    <row r="1405" spans="1:4" x14ac:dyDescent="0.35">
      <c r="A1405" s="1">
        <v>2013</v>
      </c>
      <c r="B1405" t="s">
        <v>100</v>
      </c>
      <c r="C1405" t="s">
        <v>101</v>
      </c>
      <c r="D1405">
        <v>758723</v>
      </c>
    </row>
    <row r="1406" spans="1:4" x14ac:dyDescent="0.35">
      <c r="A1406" s="1">
        <v>2013</v>
      </c>
      <c r="B1406" t="s">
        <v>26</v>
      </c>
      <c r="C1406" t="s">
        <v>27</v>
      </c>
      <c r="D1406">
        <v>1779845</v>
      </c>
    </row>
    <row r="1407" spans="1:4" x14ac:dyDescent="0.35">
      <c r="A1407" s="1">
        <v>2013</v>
      </c>
      <c r="B1407" t="s">
        <v>40</v>
      </c>
      <c r="C1407" t="s">
        <v>41</v>
      </c>
      <c r="D1407">
        <v>238956</v>
      </c>
    </row>
    <row r="1408" spans="1:4" x14ac:dyDescent="0.35">
      <c r="A1408" s="1">
        <v>2013</v>
      </c>
      <c r="B1408" t="s">
        <v>42</v>
      </c>
      <c r="C1408" t="s">
        <v>43</v>
      </c>
      <c r="D1408">
        <v>556222</v>
      </c>
    </row>
    <row r="1409" spans="1:4" x14ac:dyDescent="0.35">
      <c r="A1409" s="1">
        <v>2013</v>
      </c>
      <c r="B1409" t="s">
        <v>196</v>
      </c>
      <c r="C1409" t="s">
        <v>197</v>
      </c>
      <c r="D1409">
        <v>569035</v>
      </c>
    </row>
    <row r="1410" spans="1:4" x14ac:dyDescent="0.35">
      <c r="A1410" s="1">
        <v>2013</v>
      </c>
      <c r="B1410" t="s">
        <v>28</v>
      </c>
      <c r="C1410" t="s">
        <v>29</v>
      </c>
      <c r="D1410">
        <v>423715</v>
      </c>
    </row>
    <row r="1411" spans="1:4" x14ac:dyDescent="0.35">
      <c r="A1411" s="1">
        <v>2013</v>
      </c>
      <c r="B1411" t="s">
        <v>30</v>
      </c>
      <c r="C1411" t="s">
        <v>31</v>
      </c>
      <c r="D1411">
        <v>769677</v>
      </c>
    </row>
    <row r="1412" spans="1:4" x14ac:dyDescent="0.35">
      <c r="A1412" s="1">
        <v>2013</v>
      </c>
      <c r="B1412" t="s">
        <v>114</v>
      </c>
      <c r="C1412" t="s">
        <v>115</v>
      </c>
      <c r="D1412">
        <v>2229621</v>
      </c>
    </row>
    <row r="1413" spans="1:4" x14ac:dyDescent="0.35">
      <c r="A1413" s="1">
        <v>2013</v>
      </c>
      <c r="B1413" t="s">
        <v>138</v>
      </c>
      <c r="C1413" t="s">
        <v>139</v>
      </c>
      <c r="D1413">
        <v>1254609</v>
      </c>
    </row>
    <row r="1414" spans="1:4" x14ac:dyDescent="0.35">
      <c r="A1414" s="1">
        <v>2013</v>
      </c>
      <c r="B1414" t="s">
        <v>116</v>
      </c>
      <c r="C1414" t="s">
        <v>117</v>
      </c>
      <c r="D1414">
        <v>1365200</v>
      </c>
    </row>
    <row r="1415" spans="1:4" x14ac:dyDescent="0.35">
      <c r="A1415" s="1">
        <v>2013</v>
      </c>
      <c r="B1415" t="s">
        <v>118</v>
      </c>
      <c r="C1415" t="s">
        <v>119</v>
      </c>
      <c r="D1415">
        <v>1418484</v>
      </c>
    </row>
    <row r="1416" spans="1:4" x14ac:dyDescent="0.35">
      <c r="A1416" s="1">
        <v>2013</v>
      </c>
      <c r="B1416" t="s">
        <v>158</v>
      </c>
      <c r="C1416" t="s">
        <v>159</v>
      </c>
      <c r="D1416">
        <v>371632</v>
      </c>
    </row>
    <row r="1417" spans="1:4" x14ac:dyDescent="0.35">
      <c r="A1417" s="1">
        <v>2013</v>
      </c>
      <c r="B1417" t="s">
        <v>112</v>
      </c>
      <c r="C1417" t="s">
        <v>113</v>
      </c>
      <c r="D1417">
        <v>571675</v>
      </c>
    </row>
    <row r="1418" spans="1:4" x14ac:dyDescent="0.35">
      <c r="A1418" s="1">
        <v>2013</v>
      </c>
      <c r="B1418" t="s">
        <v>186</v>
      </c>
      <c r="C1418" t="s">
        <v>187</v>
      </c>
      <c r="D1418">
        <v>381927</v>
      </c>
    </row>
    <row r="1419" spans="1:4" x14ac:dyDescent="0.35">
      <c r="A1419" s="1">
        <v>2013</v>
      </c>
      <c r="B1419" t="s">
        <v>188</v>
      </c>
      <c r="C1419" t="s">
        <v>189</v>
      </c>
      <c r="D1419">
        <v>250342</v>
      </c>
    </row>
    <row r="1420" spans="1:4" x14ac:dyDescent="0.35">
      <c r="A1420" s="1">
        <v>2013</v>
      </c>
      <c r="B1420" t="s">
        <v>208</v>
      </c>
      <c r="C1420" t="s">
        <v>209</v>
      </c>
      <c r="D1420">
        <v>1028583</v>
      </c>
    </row>
    <row r="1421" spans="1:4" x14ac:dyDescent="0.35">
      <c r="A1421" s="1">
        <v>2013</v>
      </c>
      <c r="B1421" t="s">
        <v>210</v>
      </c>
      <c r="C1421" t="s">
        <v>211</v>
      </c>
      <c r="D1421">
        <v>549949</v>
      </c>
    </row>
    <row r="1422" spans="1:4" x14ac:dyDescent="0.35">
      <c r="A1422" s="1">
        <v>2013</v>
      </c>
      <c r="B1422" t="s">
        <v>198</v>
      </c>
      <c r="C1422" t="s">
        <v>199</v>
      </c>
      <c r="D1422">
        <v>655506</v>
      </c>
    </row>
    <row r="1423" spans="1:4" x14ac:dyDescent="0.35">
      <c r="A1423" s="1">
        <v>2013</v>
      </c>
      <c r="B1423" t="s">
        <v>160</v>
      </c>
      <c r="C1423" t="s">
        <v>161</v>
      </c>
      <c r="D1423">
        <v>431248</v>
      </c>
    </row>
    <row r="1424" spans="1:4" x14ac:dyDescent="0.35">
      <c r="A1424" s="1">
        <v>2013</v>
      </c>
      <c r="B1424" t="s">
        <v>162</v>
      </c>
      <c r="C1424" t="s">
        <v>163</v>
      </c>
      <c r="D1424">
        <v>375856</v>
      </c>
    </row>
    <row r="1425" spans="1:4" x14ac:dyDescent="0.35">
      <c r="A1425" s="1">
        <v>2013</v>
      </c>
      <c r="B1425" t="s">
        <v>102</v>
      </c>
      <c r="C1425" t="s">
        <v>103</v>
      </c>
      <c r="D1425">
        <v>375226</v>
      </c>
    </row>
    <row r="1426" spans="1:4" x14ac:dyDescent="0.35">
      <c r="A1426" s="1">
        <v>2013</v>
      </c>
      <c r="B1426" t="s">
        <v>44</v>
      </c>
      <c r="C1426" t="s">
        <v>45</v>
      </c>
      <c r="D1426">
        <v>341483</v>
      </c>
    </row>
    <row r="1427" spans="1:4" x14ac:dyDescent="0.35">
      <c r="A1427" s="1">
        <v>2013</v>
      </c>
      <c r="B1427" t="s">
        <v>46</v>
      </c>
      <c r="C1427" t="s">
        <v>221</v>
      </c>
      <c r="D1427">
        <v>144318</v>
      </c>
    </row>
    <row r="1428" spans="1:4" x14ac:dyDescent="0.35">
      <c r="A1428" s="1">
        <v>2013</v>
      </c>
      <c r="B1428" t="s">
        <v>120</v>
      </c>
      <c r="C1428" t="s">
        <v>121</v>
      </c>
      <c r="D1428">
        <v>1253931</v>
      </c>
    </row>
    <row r="1429" spans="1:4" x14ac:dyDescent="0.35">
      <c r="A1429" s="1">
        <v>2013</v>
      </c>
      <c r="B1429" t="s">
        <v>122</v>
      </c>
      <c r="C1429" t="s">
        <v>222</v>
      </c>
      <c r="D1429">
        <v>1591403</v>
      </c>
    </row>
    <row r="1430" spans="1:4" x14ac:dyDescent="0.35">
      <c r="A1430" s="1">
        <v>2013</v>
      </c>
      <c r="B1430" t="s">
        <v>124</v>
      </c>
      <c r="C1430" t="s">
        <v>125</v>
      </c>
      <c r="D1430">
        <v>1552482</v>
      </c>
    </row>
    <row r="1431" spans="1:4" x14ac:dyDescent="0.35">
      <c r="A1431" s="1">
        <v>2013</v>
      </c>
      <c r="B1431" t="s">
        <v>126</v>
      </c>
      <c r="C1431" t="s">
        <v>127</v>
      </c>
      <c r="D1431">
        <v>1354005</v>
      </c>
    </row>
    <row r="1432" spans="1:4" x14ac:dyDescent="0.35">
      <c r="A1432" s="1">
        <v>2013</v>
      </c>
      <c r="B1432" t="s">
        <v>128</v>
      </c>
      <c r="C1432" t="s">
        <v>129</v>
      </c>
      <c r="D1432">
        <v>1194681</v>
      </c>
    </row>
    <row r="1433" spans="1:4" x14ac:dyDescent="0.35">
      <c r="A1433" s="1">
        <v>2013</v>
      </c>
      <c r="B1433" t="s">
        <v>223</v>
      </c>
      <c r="D1433">
        <v>63697865</v>
      </c>
    </row>
    <row r="1434" spans="1:4" x14ac:dyDescent="0.35">
      <c r="A1434" s="1">
        <v>2013</v>
      </c>
      <c r="B1434">
        <v>971</v>
      </c>
      <c r="C1434" t="s">
        <v>224</v>
      </c>
      <c r="D1434">
        <v>402119</v>
      </c>
    </row>
    <row r="1435" spans="1:4" x14ac:dyDescent="0.35">
      <c r="A1435" s="1">
        <v>2013</v>
      </c>
      <c r="B1435">
        <v>972</v>
      </c>
      <c r="C1435" t="s">
        <v>225</v>
      </c>
      <c r="D1435">
        <v>385551</v>
      </c>
    </row>
    <row r="1436" spans="1:4" x14ac:dyDescent="0.35">
      <c r="A1436" s="1">
        <v>2013</v>
      </c>
      <c r="B1436">
        <v>973</v>
      </c>
      <c r="C1436" t="s">
        <v>77</v>
      </c>
      <c r="D1436">
        <v>244118</v>
      </c>
    </row>
    <row r="1437" spans="1:4" x14ac:dyDescent="0.35">
      <c r="A1437" s="1">
        <v>2013</v>
      </c>
      <c r="B1437">
        <v>974</v>
      </c>
      <c r="C1437" t="s">
        <v>79</v>
      </c>
      <c r="D1437">
        <v>835103</v>
      </c>
    </row>
    <row r="1438" spans="1:4" x14ac:dyDescent="0.35">
      <c r="A1438" s="1">
        <v>2013</v>
      </c>
      <c r="B1438" t="s">
        <v>226</v>
      </c>
      <c r="D1438">
        <v>1866891</v>
      </c>
    </row>
    <row r="1439" spans="1:4" x14ac:dyDescent="0.35">
      <c r="A1439" s="1">
        <v>2013</v>
      </c>
      <c r="B1439" t="s">
        <v>227</v>
      </c>
      <c r="D1439">
        <v>65564756</v>
      </c>
    </row>
    <row r="1440" spans="1:4" x14ac:dyDescent="0.35">
      <c r="A1440" s="1">
        <v>2013</v>
      </c>
    </row>
    <row r="1441" spans="1:4" x14ac:dyDescent="0.35">
      <c r="A1441" s="1">
        <v>2013</v>
      </c>
      <c r="B1441" t="s">
        <v>242</v>
      </c>
    </row>
    <row r="1442" spans="1:4" x14ac:dyDescent="0.35">
      <c r="A1442" s="1">
        <v>2012</v>
      </c>
      <c r="B1442" t="s">
        <v>229</v>
      </c>
    </row>
    <row r="1443" spans="1:4" x14ac:dyDescent="0.35">
      <c r="A1443" s="1">
        <v>2012</v>
      </c>
      <c r="B1443" t="s">
        <v>249</v>
      </c>
    </row>
    <row r="1444" spans="1:4" x14ac:dyDescent="0.35">
      <c r="A1444" s="1">
        <v>2012</v>
      </c>
    </row>
    <row r="1445" spans="1:4" x14ac:dyDescent="0.35">
      <c r="A1445" s="1">
        <v>2012</v>
      </c>
      <c r="B1445" t="s">
        <v>231</v>
      </c>
    </row>
    <row r="1446" spans="1:4" x14ac:dyDescent="0.35">
      <c r="A1446" s="1">
        <v>2012</v>
      </c>
      <c r="D1446" t="s">
        <v>232</v>
      </c>
    </row>
    <row r="1447" spans="1:4" x14ac:dyDescent="0.35">
      <c r="A1447" s="1">
        <v>2012</v>
      </c>
      <c r="B1447" t="s">
        <v>5</v>
      </c>
      <c r="C1447" t="s">
        <v>6</v>
      </c>
      <c r="D1447">
        <v>612191</v>
      </c>
    </row>
    <row r="1448" spans="1:4" x14ac:dyDescent="0.35">
      <c r="A1448" s="1">
        <v>2012</v>
      </c>
      <c r="B1448" t="s">
        <v>104</v>
      </c>
      <c r="C1448" t="s">
        <v>105</v>
      </c>
      <c r="D1448">
        <v>540888</v>
      </c>
    </row>
    <row r="1449" spans="1:4" x14ac:dyDescent="0.35">
      <c r="A1449" s="1">
        <v>2012</v>
      </c>
      <c r="B1449" t="s">
        <v>10</v>
      </c>
      <c r="C1449" t="s">
        <v>11</v>
      </c>
      <c r="D1449">
        <v>342911</v>
      </c>
    </row>
    <row r="1450" spans="1:4" x14ac:dyDescent="0.35">
      <c r="A1450" s="1">
        <v>2012</v>
      </c>
      <c r="B1450" t="s">
        <v>200</v>
      </c>
      <c r="C1450" t="s">
        <v>201</v>
      </c>
      <c r="D1450">
        <v>161241</v>
      </c>
    </row>
    <row r="1451" spans="1:4" x14ac:dyDescent="0.35">
      <c r="A1451" s="1">
        <v>2012</v>
      </c>
      <c r="B1451" t="s">
        <v>202</v>
      </c>
      <c r="C1451" t="s">
        <v>203</v>
      </c>
      <c r="D1451">
        <v>139554</v>
      </c>
    </row>
    <row r="1452" spans="1:4" x14ac:dyDescent="0.35">
      <c r="A1452" s="1">
        <v>2012</v>
      </c>
      <c r="B1452" t="s">
        <v>204</v>
      </c>
      <c r="C1452" t="s">
        <v>205</v>
      </c>
      <c r="D1452">
        <v>1082014</v>
      </c>
    </row>
    <row r="1453" spans="1:4" x14ac:dyDescent="0.35">
      <c r="A1453" s="1">
        <v>2012</v>
      </c>
      <c r="B1453" t="s">
        <v>12</v>
      </c>
      <c r="C1453" t="s">
        <v>13</v>
      </c>
      <c r="D1453">
        <v>318407</v>
      </c>
    </row>
    <row r="1454" spans="1:4" x14ac:dyDescent="0.35">
      <c r="A1454" s="1">
        <v>2012</v>
      </c>
      <c r="B1454" t="s">
        <v>84</v>
      </c>
      <c r="C1454" t="s">
        <v>85</v>
      </c>
      <c r="D1454">
        <v>282778</v>
      </c>
    </row>
    <row r="1455" spans="1:4" x14ac:dyDescent="0.35">
      <c r="A1455" s="1">
        <v>2012</v>
      </c>
      <c r="B1455" t="s">
        <v>164</v>
      </c>
      <c r="C1455" t="s">
        <v>165</v>
      </c>
      <c r="D1455">
        <v>152366</v>
      </c>
    </row>
    <row r="1456" spans="1:4" x14ac:dyDescent="0.35">
      <c r="A1456" s="1">
        <v>2012</v>
      </c>
      <c r="B1456" t="s">
        <v>86</v>
      </c>
      <c r="C1456" t="s">
        <v>87</v>
      </c>
      <c r="D1456">
        <v>305606</v>
      </c>
    </row>
    <row r="1457" spans="1:4" x14ac:dyDescent="0.35">
      <c r="A1457" s="1">
        <v>2012</v>
      </c>
      <c r="B1457" t="s">
        <v>166</v>
      </c>
      <c r="C1457" t="s">
        <v>167</v>
      </c>
      <c r="D1457">
        <v>362339</v>
      </c>
    </row>
    <row r="1458" spans="1:4" x14ac:dyDescent="0.35">
      <c r="A1458" s="1">
        <v>2012</v>
      </c>
      <c r="B1458" t="s">
        <v>168</v>
      </c>
      <c r="C1458" t="s">
        <v>169</v>
      </c>
      <c r="D1458">
        <v>276229</v>
      </c>
    </row>
    <row r="1459" spans="1:4" x14ac:dyDescent="0.35">
      <c r="A1459" s="1">
        <v>2012</v>
      </c>
      <c r="B1459" t="s">
        <v>206</v>
      </c>
      <c r="C1459" t="s">
        <v>207</v>
      </c>
      <c r="D1459">
        <v>1984784</v>
      </c>
    </row>
    <row r="1460" spans="1:4" x14ac:dyDescent="0.35">
      <c r="A1460" s="1">
        <v>2012</v>
      </c>
      <c r="B1460" t="s">
        <v>130</v>
      </c>
      <c r="C1460" t="s">
        <v>131</v>
      </c>
      <c r="D1460">
        <v>687854</v>
      </c>
    </row>
    <row r="1461" spans="1:4" x14ac:dyDescent="0.35">
      <c r="A1461" s="1">
        <v>2012</v>
      </c>
      <c r="B1461" t="s">
        <v>14</v>
      </c>
      <c r="C1461" t="s">
        <v>15</v>
      </c>
      <c r="D1461">
        <v>147415</v>
      </c>
    </row>
    <row r="1462" spans="1:4" x14ac:dyDescent="0.35">
      <c r="A1462" s="1">
        <v>2012</v>
      </c>
      <c r="B1462" t="s">
        <v>140</v>
      </c>
      <c r="C1462" t="s">
        <v>141</v>
      </c>
      <c r="D1462">
        <v>353657</v>
      </c>
    </row>
    <row r="1463" spans="1:4" x14ac:dyDescent="0.35">
      <c r="A1463" s="1">
        <v>2012</v>
      </c>
      <c r="B1463" t="s">
        <v>142</v>
      </c>
      <c r="C1463" t="s">
        <v>143</v>
      </c>
      <c r="D1463">
        <v>628733</v>
      </c>
    </row>
    <row r="1464" spans="1:4" x14ac:dyDescent="0.35">
      <c r="A1464" s="1">
        <v>2012</v>
      </c>
      <c r="B1464" t="s">
        <v>56</v>
      </c>
      <c r="C1464" t="s">
        <v>57</v>
      </c>
      <c r="D1464">
        <v>311897</v>
      </c>
    </row>
    <row r="1465" spans="1:4" x14ac:dyDescent="0.35">
      <c r="A1465" s="1">
        <v>2012</v>
      </c>
      <c r="B1465" t="s">
        <v>144</v>
      </c>
      <c r="C1465" t="s">
        <v>145</v>
      </c>
      <c r="D1465">
        <v>241247</v>
      </c>
    </row>
    <row r="1466" spans="1:4" x14ac:dyDescent="0.35">
      <c r="A1466" s="1">
        <v>2012</v>
      </c>
      <c r="B1466" t="s">
        <v>68</v>
      </c>
      <c r="C1466" t="s">
        <v>69</v>
      </c>
      <c r="D1466">
        <v>145429</v>
      </c>
    </row>
    <row r="1467" spans="1:4" x14ac:dyDescent="0.35">
      <c r="A1467" s="1">
        <v>2012</v>
      </c>
      <c r="B1467" t="s">
        <v>70</v>
      </c>
      <c r="C1467" t="s">
        <v>71</v>
      </c>
      <c r="D1467">
        <v>170828</v>
      </c>
    </row>
    <row r="1468" spans="1:4" x14ac:dyDescent="0.35">
      <c r="A1468" s="1">
        <v>2012</v>
      </c>
      <c r="B1468" t="s">
        <v>32</v>
      </c>
      <c r="C1468" t="s">
        <v>219</v>
      </c>
      <c r="D1468">
        <v>527403</v>
      </c>
    </row>
    <row r="1469" spans="1:4" x14ac:dyDescent="0.35">
      <c r="A1469" s="1">
        <v>2012</v>
      </c>
      <c r="B1469" t="s">
        <v>48</v>
      </c>
      <c r="C1469" t="s">
        <v>220</v>
      </c>
      <c r="D1469">
        <v>595531</v>
      </c>
    </row>
    <row r="1470" spans="1:4" x14ac:dyDescent="0.35">
      <c r="A1470" s="1">
        <v>2012</v>
      </c>
      <c r="B1470" t="s">
        <v>146</v>
      </c>
      <c r="C1470" t="s">
        <v>147</v>
      </c>
      <c r="D1470">
        <v>121517</v>
      </c>
    </row>
    <row r="1471" spans="1:4" x14ac:dyDescent="0.35">
      <c r="A1471" s="1">
        <v>2012</v>
      </c>
      <c r="B1471" t="s">
        <v>148</v>
      </c>
      <c r="C1471" t="s">
        <v>149</v>
      </c>
      <c r="D1471">
        <v>416384</v>
      </c>
    </row>
    <row r="1472" spans="1:4" x14ac:dyDescent="0.35">
      <c r="A1472" s="1">
        <v>2012</v>
      </c>
      <c r="B1472" t="s">
        <v>34</v>
      </c>
      <c r="C1472" t="s">
        <v>35</v>
      </c>
      <c r="D1472">
        <v>531062</v>
      </c>
    </row>
    <row r="1473" spans="1:4" x14ac:dyDescent="0.35">
      <c r="A1473" s="1">
        <v>2012</v>
      </c>
      <c r="B1473" t="s">
        <v>16</v>
      </c>
      <c r="C1473" t="s">
        <v>17</v>
      </c>
      <c r="D1473">
        <v>491334</v>
      </c>
    </row>
    <row r="1474" spans="1:4" x14ac:dyDescent="0.35">
      <c r="A1474" s="1">
        <v>2012</v>
      </c>
      <c r="B1474" t="s">
        <v>132</v>
      </c>
      <c r="C1474" t="s">
        <v>133</v>
      </c>
      <c r="D1474">
        <v>591616</v>
      </c>
    </row>
    <row r="1475" spans="1:4" x14ac:dyDescent="0.35">
      <c r="A1475" s="1">
        <v>2012</v>
      </c>
      <c r="B1475" t="s">
        <v>58</v>
      </c>
      <c r="C1475" t="s">
        <v>59</v>
      </c>
      <c r="D1475">
        <v>432107</v>
      </c>
    </row>
    <row r="1476" spans="1:4" x14ac:dyDescent="0.35">
      <c r="A1476" s="1">
        <v>2012</v>
      </c>
      <c r="B1476" t="s">
        <v>50</v>
      </c>
      <c r="C1476" t="s">
        <v>51</v>
      </c>
      <c r="D1476">
        <v>901293</v>
      </c>
    </row>
    <row r="1477" spans="1:4" x14ac:dyDescent="0.35">
      <c r="A1477" s="1">
        <v>2012</v>
      </c>
      <c r="B1477" t="s">
        <v>170</v>
      </c>
      <c r="C1477" t="s">
        <v>171</v>
      </c>
      <c r="D1477">
        <v>725618</v>
      </c>
    </row>
    <row r="1478" spans="1:4" x14ac:dyDescent="0.35">
      <c r="A1478" s="1">
        <v>2012</v>
      </c>
      <c r="B1478" t="s">
        <v>172</v>
      </c>
      <c r="C1478" t="s">
        <v>173</v>
      </c>
      <c r="D1478">
        <v>1279349</v>
      </c>
    </row>
    <row r="1479" spans="1:4" x14ac:dyDescent="0.35">
      <c r="A1479" s="1">
        <v>2012</v>
      </c>
      <c r="B1479" t="s">
        <v>174</v>
      </c>
      <c r="C1479" t="s">
        <v>175</v>
      </c>
      <c r="D1479">
        <v>189530</v>
      </c>
    </row>
    <row r="1480" spans="1:4" x14ac:dyDescent="0.35">
      <c r="A1480" s="1">
        <v>2012</v>
      </c>
      <c r="B1480" t="s">
        <v>150</v>
      </c>
      <c r="C1480" t="s">
        <v>151</v>
      </c>
      <c r="D1480">
        <v>1483712</v>
      </c>
    </row>
    <row r="1481" spans="1:4" x14ac:dyDescent="0.35">
      <c r="A1481" s="1">
        <v>2012</v>
      </c>
      <c r="B1481" t="s">
        <v>176</v>
      </c>
      <c r="C1481" t="s">
        <v>177</v>
      </c>
      <c r="D1481">
        <v>1077627</v>
      </c>
    </row>
    <row r="1482" spans="1:4" x14ac:dyDescent="0.35">
      <c r="A1482" s="1">
        <v>2012</v>
      </c>
      <c r="B1482" t="s">
        <v>52</v>
      </c>
      <c r="C1482" t="s">
        <v>53</v>
      </c>
      <c r="D1482">
        <v>1007901</v>
      </c>
    </row>
    <row r="1483" spans="1:4" x14ac:dyDescent="0.35">
      <c r="A1483" s="1">
        <v>2012</v>
      </c>
      <c r="B1483" t="s">
        <v>60</v>
      </c>
      <c r="C1483" t="s">
        <v>61</v>
      </c>
      <c r="D1483">
        <v>228692</v>
      </c>
    </row>
    <row r="1484" spans="1:4" x14ac:dyDescent="0.35">
      <c r="A1484" s="1">
        <v>2012</v>
      </c>
      <c r="B1484" t="s">
        <v>62</v>
      </c>
      <c r="C1484" t="s">
        <v>63</v>
      </c>
      <c r="D1484">
        <v>596937</v>
      </c>
    </row>
    <row r="1485" spans="1:4" x14ac:dyDescent="0.35">
      <c r="A1485" s="1">
        <v>2012</v>
      </c>
      <c r="B1485" t="s">
        <v>18</v>
      </c>
      <c r="C1485" t="s">
        <v>19</v>
      </c>
      <c r="D1485">
        <v>1224993</v>
      </c>
    </row>
    <row r="1486" spans="1:4" x14ac:dyDescent="0.35">
      <c r="A1486" s="1">
        <v>2012</v>
      </c>
      <c r="B1486" t="s">
        <v>36</v>
      </c>
      <c r="C1486" t="s">
        <v>37</v>
      </c>
      <c r="D1486">
        <v>260932</v>
      </c>
    </row>
    <row r="1487" spans="1:4" x14ac:dyDescent="0.35">
      <c r="A1487" s="1">
        <v>2012</v>
      </c>
      <c r="B1487" t="s">
        <v>152</v>
      </c>
      <c r="C1487" t="s">
        <v>153</v>
      </c>
      <c r="D1487">
        <v>392884</v>
      </c>
    </row>
    <row r="1488" spans="1:4" x14ac:dyDescent="0.35">
      <c r="A1488" s="1">
        <v>2012</v>
      </c>
      <c r="B1488" t="s">
        <v>64</v>
      </c>
      <c r="C1488" t="s">
        <v>65</v>
      </c>
      <c r="D1488">
        <v>331656</v>
      </c>
    </row>
    <row r="1489" spans="1:4" x14ac:dyDescent="0.35">
      <c r="A1489" s="1">
        <v>2012</v>
      </c>
      <c r="B1489" t="s">
        <v>20</v>
      </c>
      <c r="C1489" t="s">
        <v>21</v>
      </c>
      <c r="D1489">
        <v>753763</v>
      </c>
    </row>
    <row r="1490" spans="1:4" x14ac:dyDescent="0.35">
      <c r="A1490" s="1">
        <v>2012</v>
      </c>
      <c r="B1490" t="s">
        <v>22</v>
      </c>
      <c r="C1490" t="s">
        <v>23</v>
      </c>
      <c r="D1490">
        <v>225686</v>
      </c>
    </row>
    <row r="1491" spans="1:4" x14ac:dyDescent="0.35">
      <c r="A1491" s="1">
        <v>2012</v>
      </c>
      <c r="B1491" t="s">
        <v>190</v>
      </c>
      <c r="C1491" t="s">
        <v>191</v>
      </c>
      <c r="D1491">
        <v>1313321</v>
      </c>
    </row>
    <row r="1492" spans="1:4" x14ac:dyDescent="0.35">
      <c r="A1492" s="1">
        <v>2012</v>
      </c>
      <c r="B1492" t="s">
        <v>66</v>
      </c>
      <c r="C1492" t="s">
        <v>67</v>
      </c>
      <c r="D1492">
        <v>662297</v>
      </c>
    </row>
    <row r="1493" spans="1:4" x14ac:dyDescent="0.35">
      <c r="A1493" s="1">
        <v>2012</v>
      </c>
      <c r="B1493" t="s">
        <v>178</v>
      </c>
      <c r="C1493" t="s">
        <v>179</v>
      </c>
      <c r="D1493">
        <v>174346</v>
      </c>
    </row>
    <row r="1494" spans="1:4" x14ac:dyDescent="0.35">
      <c r="A1494" s="1">
        <v>2012</v>
      </c>
      <c r="B1494" t="s">
        <v>154</v>
      </c>
      <c r="C1494" t="s">
        <v>155</v>
      </c>
      <c r="D1494">
        <v>332119</v>
      </c>
    </row>
    <row r="1495" spans="1:4" x14ac:dyDescent="0.35">
      <c r="A1495" s="1">
        <v>2012</v>
      </c>
      <c r="B1495" t="s">
        <v>180</v>
      </c>
      <c r="C1495" t="s">
        <v>181</v>
      </c>
      <c r="D1495">
        <v>76889</v>
      </c>
    </row>
    <row r="1496" spans="1:4" x14ac:dyDescent="0.35">
      <c r="A1496" s="1">
        <v>2012</v>
      </c>
      <c r="B1496" t="s">
        <v>192</v>
      </c>
      <c r="C1496" t="s">
        <v>193</v>
      </c>
      <c r="D1496">
        <v>795557</v>
      </c>
    </row>
    <row r="1497" spans="1:4" x14ac:dyDescent="0.35">
      <c r="A1497" s="1">
        <v>2012</v>
      </c>
      <c r="B1497" t="s">
        <v>134</v>
      </c>
      <c r="C1497" t="s">
        <v>135</v>
      </c>
      <c r="D1497">
        <v>499340</v>
      </c>
    </row>
    <row r="1498" spans="1:4" x14ac:dyDescent="0.35">
      <c r="A1498" s="1">
        <v>2012</v>
      </c>
      <c r="B1498" t="s">
        <v>88</v>
      </c>
      <c r="C1498" t="s">
        <v>89</v>
      </c>
      <c r="D1498">
        <v>568750</v>
      </c>
    </row>
    <row r="1499" spans="1:4" x14ac:dyDescent="0.35">
      <c r="A1499" s="1">
        <v>2012</v>
      </c>
      <c r="B1499" t="s">
        <v>90</v>
      </c>
      <c r="C1499" t="s">
        <v>91</v>
      </c>
      <c r="D1499">
        <v>182136</v>
      </c>
    </row>
    <row r="1500" spans="1:4" x14ac:dyDescent="0.35">
      <c r="A1500" s="1">
        <v>2012</v>
      </c>
      <c r="B1500" t="s">
        <v>194</v>
      </c>
      <c r="C1500" t="s">
        <v>195</v>
      </c>
      <c r="D1500">
        <v>307453</v>
      </c>
    </row>
    <row r="1501" spans="1:4" x14ac:dyDescent="0.35">
      <c r="A1501" s="1">
        <v>2012</v>
      </c>
      <c r="B1501" t="s">
        <v>92</v>
      </c>
      <c r="C1501" t="s">
        <v>93</v>
      </c>
      <c r="D1501">
        <v>733266</v>
      </c>
    </row>
    <row r="1502" spans="1:4" x14ac:dyDescent="0.35">
      <c r="A1502" s="1">
        <v>2012</v>
      </c>
      <c r="B1502" t="s">
        <v>94</v>
      </c>
      <c r="C1502" t="s">
        <v>95</v>
      </c>
      <c r="D1502">
        <v>192800</v>
      </c>
    </row>
    <row r="1503" spans="1:4" x14ac:dyDescent="0.35">
      <c r="A1503" s="1">
        <v>2012</v>
      </c>
      <c r="B1503" t="s">
        <v>54</v>
      </c>
      <c r="C1503" t="s">
        <v>55</v>
      </c>
      <c r="D1503">
        <v>732372</v>
      </c>
    </row>
    <row r="1504" spans="1:4" x14ac:dyDescent="0.35">
      <c r="A1504" s="1">
        <v>2012</v>
      </c>
      <c r="B1504" t="s">
        <v>96</v>
      </c>
      <c r="C1504" t="s">
        <v>97</v>
      </c>
      <c r="D1504">
        <v>1046468</v>
      </c>
    </row>
    <row r="1505" spans="1:4" x14ac:dyDescent="0.35">
      <c r="A1505" s="1">
        <v>2012</v>
      </c>
      <c r="B1505" t="s">
        <v>38</v>
      </c>
      <c r="C1505" t="s">
        <v>39</v>
      </c>
      <c r="D1505">
        <v>216786</v>
      </c>
    </row>
    <row r="1506" spans="1:4" x14ac:dyDescent="0.35">
      <c r="A1506" s="1">
        <v>2012</v>
      </c>
      <c r="B1506" t="s">
        <v>106</v>
      </c>
      <c r="C1506" t="s">
        <v>107</v>
      </c>
      <c r="D1506">
        <v>2587128</v>
      </c>
    </row>
    <row r="1507" spans="1:4" x14ac:dyDescent="0.35">
      <c r="A1507" s="1">
        <v>2012</v>
      </c>
      <c r="B1507" t="s">
        <v>108</v>
      </c>
      <c r="C1507" t="s">
        <v>109</v>
      </c>
      <c r="D1507">
        <v>810300</v>
      </c>
    </row>
    <row r="1508" spans="1:4" x14ac:dyDescent="0.35">
      <c r="A1508" s="1">
        <v>2012</v>
      </c>
      <c r="B1508" t="s">
        <v>136</v>
      </c>
      <c r="C1508" t="s">
        <v>137</v>
      </c>
      <c r="D1508">
        <v>290015</v>
      </c>
    </row>
    <row r="1509" spans="1:4" x14ac:dyDescent="0.35">
      <c r="A1509" s="1">
        <v>2012</v>
      </c>
      <c r="B1509" t="s">
        <v>110</v>
      </c>
      <c r="C1509" t="s">
        <v>111</v>
      </c>
      <c r="D1509">
        <v>1463628</v>
      </c>
    </row>
    <row r="1510" spans="1:4" x14ac:dyDescent="0.35">
      <c r="A1510" s="1">
        <v>2012</v>
      </c>
      <c r="B1510" t="s">
        <v>24</v>
      </c>
      <c r="C1510" t="s">
        <v>25</v>
      </c>
      <c r="D1510">
        <v>638092</v>
      </c>
    </row>
    <row r="1511" spans="1:4" x14ac:dyDescent="0.35">
      <c r="A1511" s="1">
        <v>2012</v>
      </c>
      <c r="B1511" t="s">
        <v>156</v>
      </c>
      <c r="C1511" t="s">
        <v>157</v>
      </c>
      <c r="D1511">
        <v>660871</v>
      </c>
    </row>
    <row r="1512" spans="1:4" x14ac:dyDescent="0.35">
      <c r="A1512" s="1">
        <v>2012</v>
      </c>
      <c r="B1512" t="s">
        <v>182</v>
      </c>
      <c r="C1512" t="s">
        <v>183</v>
      </c>
      <c r="D1512">
        <v>228854</v>
      </c>
    </row>
    <row r="1513" spans="1:4" x14ac:dyDescent="0.35">
      <c r="A1513" s="1">
        <v>2012</v>
      </c>
      <c r="B1513" t="s">
        <v>184</v>
      </c>
      <c r="C1513" t="s">
        <v>185</v>
      </c>
      <c r="D1513">
        <v>457793</v>
      </c>
    </row>
    <row r="1514" spans="1:4" x14ac:dyDescent="0.35">
      <c r="A1514" s="1">
        <v>2012</v>
      </c>
      <c r="B1514" t="s">
        <v>98</v>
      </c>
      <c r="C1514" t="s">
        <v>99</v>
      </c>
      <c r="D1514">
        <v>1104667</v>
      </c>
    </row>
    <row r="1515" spans="1:4" x14ac:dyDescent="0.35">
      <c r="A1515" s="1">
        <v>2012</v>
      </c>
      <c r="B1515" t="s">
        <v>100</v>
      </c>
      <c r="C1515" t="s">
        <v>101</v>
      </c>
      <c r="D1515">
        <v>755202</v>
      </c>
    </row>
    <row r="1516" spans="1:4" x14ac:dyDescent="0.35">
      <c r="A1516" s="1">
        <v>2012</v>
      </c>
      <c r="B1516" t="s">
        <v>26</v>
      </c>
      <c r="C1516" t="s">
        <v>27</v>
      </c>
      <c r="D1516">
        <v>1762866</v>
      </c>
    </row>
    <row r="1517" spans="1:4" x14ac:dyDescent="0.35">
      <c r="A1517" s="1">
        <v>2012</v>
      </c>
      <c r="B1517" t="s">
        <v>40</v>
      </c>
      <c r="C1517" t="s">
        <v>41</v>
      </c>
      <c r="D1517">
        <v>239750</v>
      </c>
    </row>
    <row r="1518" spans="1:4" x14ac:dyDescent="0.35">
      <c r="A1518" s="1">
        <v>2012</v>
      </c>
      <c r="B1518" t="s">
        <v>42</v>
      </c>
      <c r="C1518" t="s">
        <v>43</v>
      </c>
      <c r="D1518">
        <v>555039</v>
      </c>
    </row>
    <row r="1519" spans="1:4" x14ac:dyDescent="0.35">
      <c r="A1519" s="1">
        <v>2012</v>
      </c>
      <c r="B1519" t="s">
        <v>196</v>
      </c>
      <c r="C1519" t="s">
        <v>197</v>
      </c>
      <c r="D1519">
        <v>567382</v>
      </c>
    </row>
    <row r="1520" spans="1:4" x14ac:dyDescent="0.35">
      <c r="A1520" s="1">
        <v>2012</v>
      </c>
      <c r="B1520" t="s">
        <v>28</v>
      </c>
      <c r="C1520" t="s">
        <v>29</v>
      </c>
      <c r="D1520">
        <v>421105</v>
      </c>
    </row>
    <row r="1521" spans="1:4" x14ac:dyDescent="0.35">
      <c r="A1521" s="1">
        <v>2012</v>
      </c>
      <c r="B1521" t="s">
        <v>30</v>
      </c>
      <c r="C1521" t="s">
        <v>31</v>
      </c>
      <c r="D1521">
        <v>756501</v>
      </c>
    </row>
    <row r="1522" spans="1:4" x14ac:dyDescent="0.35">
      <c r="A1522" s="1">
        <v>2012</v>
      </c>
      <c r="B1522" t="s">
        <v>114</v>
      </c>
      <c r="C1522" t="s">
        <v>115</v>
      </c>
      <c r="D1522">
        <v>2240621</v>
      </c>
    </row>
    <row r="1523" spans="1:4" x14ac:dyDescent="0.35">
      <c r="A1523" s="1">
        <v>2012</v>
      </c>
      <c r="B1523" t="s">
        <v>138</v>
      </c>
      <c r="C1523" t="s">
        <v>139</v>
      </c>
      <c r="D1523">
        <v>1253931</v>
      </c>
    </row>
    <row r="1524" spans="1:4" x14ac:dyDescent="0.35">
      <c r="A1524" s="1">
        <v>2012</v>
      </c>
      <c r="B1524" t="s">
        <v>116</v>
      </c>
      <c r="C1524" t="s">
        <v>117</v>
      </c>
      <c r="D1524">
        <v>1353946</v>
      </c>
    </row>
    <row r="1525" spans="1:4" x14ac:dyDescent="0.35">
      <c r="A1525" s="1">
        <v>2012</v>
      </c>
      <c r="B1525" t="s">
        <v>118</v>
      </c>
      <c r="C1525" t="s">
        <v>119</v>
      </c>
      <c r="D1525">
        <v>1412356</v>
      </c>
    </row>
    <row r="1526" spans="1:4" x14ac:dyDescent="0.35">
      <c r="A1526" s="1">
        <v>2012</v>
      </c>
      <c r="B1526" t="s">
        <v>158</v>
      </c>
      <c r="C1526" t="s">
        <v>159</v>
      </c>
      <c r="D1526">
        <v>371583</v>
      </c>
    </row>
    <row r="1527" spans="1:4" x14ac:dyDescent="0.35">
      <c r="A1527" s="1">
        <v>2012</v>
      </c>
      <c r="B1527" t="s">
        <v>112</v>
      </c>
      <c r="C1527" t="s">
        <v>113</v>
      </c>
      <c r="D1527">
        <v>571154</v>
      </c>
    </row>
    <row r="1528" spans="1:4" x14ac:dyDescent="0.35">
      <c r="A1528" s="1">
        <v>2012</v>
      </c>
      <c r="B1528" t="s">
        <v>186</v>
      </c>
      <c r="C1528" t="s">
        <v>187</v>
      </c>
      <c r="D1528">
        <v>378947</v>
      </c>
    </row>
    <row r="1529" spans="1:4" x14ac:dyDescent="0.35">
      <c r="A1529" s="1">
        <v>2012</v>
      </c>
      <c r="B1529" t="s">
        <v>188</v>
      </c>
      <c r="C1529" t="s">
        <v>189</v>
      </c>
      <c r="D1529">
        <v>246971</v>
      </c>
    </row>
    <row r="1530" spans="1:4" x14ac:dyDescent="0.35">
      <c r="A1530" s="1">
        <v>2012</v>
      </c>
      <c r="B1530" t="s">
        <v>208</v>
      </c>
      <c r="C1530" t="s">
        <v>209</v>
      </c>
      <c r="D1530">
        <v>1021669</v>
      </c>
    </row>
    <row r="1531" spans="1:4" x14ac:dyDescent="0.35">
      <c r="A1531" s="1">
        <v>2012</v>
      </c>
      <c r="B1531" t="s">
        <v>210</v>
      </c>
      <c r="C1531" t="s">
        <v>211</v>
      </c>
      <c r="D1531">
        <v>546314</v>
      </c>
    </row>
    <row r="1532" spans="1:4" x14ac:dyDescent="0.35">
      <c r="A1532" s="1">
        <v>2012</v>
      </c>
      <c r="B1532" t="s">
        <v>198</v>
      </c>
      <c r="C1532" t="s">
        <v>199</v>
      </c>
      <c r="D1532">
        <v>648901</v>
      </c>
    </row>
    <row r="1533" spans="1:4" x14ac:dyDescent="0.35">
      <c r="A1533" s="1">
        <v>2012</v>
      </c>
      <c r="B1533" t="s">
        <v>160</v>
      </c>
      <c r="C1533" t="s">
        <v>161</v>
      </c>
      <c r="D1533">
        <v>430018</v>
      </c>
    </row>
    <row r="1534" spans="1:4" x14ac:dyDescent="0.35">
      <c r="A1534" s="1">
        <v>2012</v>
      </c>
      <c r="B1534" t="s">
        <v>162</v>
      </c>
      <c r="C1534" t="s">
        <v>163</v>
      </c>
      <c r="D1534">
        <v>375869</v>
      </c>
    </row>
    <row r="1535" spans="1:4" x14ac:dyDescent="0.35">
      <c r="A1535" s="1">
        <v>2012</v>
      </c>
      <c r="B1535" t="s">
        <v>102</v>
      </c>
      <c r="C1535" t="s">
        <v>103</v>
      </c>
      <c r="D1535">
        <v>377282</v>
      </c>
    </row>
    <row r="1536" spans="1:4" x14ac:dyDescent="0.35">
      <c r="A1536" s="1">
        <v>2012</v>
      </c>
      <c r="B1536" t="s">
        <v>44</v>
      </c>
      <c r="C1536" t="s">
        <v>45</v>
      </c>
      <c r="D1536">
        <v>341902</v>
      </c>
    </row>
    <row r="1537" spans="1:4" x14ac:dyDescent="0.35">
      <c r="A1537" s="1">
        <v>2012</v>
      </c>
      <c r="B1537" t="s">
        <v>46</v>
      </c>
      <c r="C1537" t="s">
        <v>221</v>
      </c>
      <c r="D1537">
        <v>143940</v>
      </c>
    </row>
    <row r="1538" spans="1:4" x14ac:dyDescent="0.35">
      <c r="A1538" s="1">
        <v>2012</v>
      </c>
      <c r="B1538" t="s">
        <v>120</v>
      </c>
      <c r="C1538" t="s">
        <v>121</v>
      </c>
      <c r="D1538">
        <v>1237507</v>
      </c>
    </row>
    <row r="1539" spans="1:4" x14ac:dyDescent="0.35">
      <c r="A1539" s="1">
        <v>2012</v>
      </c>
      <c r="B1539" t="s">
        <v>122</v>
      </c>
      <c r="C1539" t="s">
        <v>222</v>
      </c>
      <c r="D1539">
        <v>1586434</v>
      </c>
    </row>
    <row r="1540" spans="1:4" x14ac:dyDescent="0.35">
      <c r="A1540" s="1">
        <v>2012</v>
      </c>
      <c r="B1540" t="s">
        <v>124</v>
      </c>
      <c r="C1540" t="s">
        <v>125</v>
      </c>
      <c r="D1540">
        <v>1538726</v>
      </c>
    </row>
    <row r="1541" spans="1:4" x14ac:dyDescent="0.35">
      <c r="A1541" s="1">
        <v>2012</v>
      </c>
      <c r="B1541" t="s">
        <v>126</v>
      </c>
      <c r="C1541" t="s">
        <v>127</v>
      </c>
      <c r="D1541">
        <v>1341831</v>
      </c>
    </row>
    <row r="1542" spans="1:4" x14ac:dyDescent="0.35">
      <c r="A1542" s="1">
        <v>2012</v>
      </c>
      <c r="B1542" t="s">
        <v>128</v>
      </c>
      <c r="C1542" t="s">
        <v>129</v>
      </c>
      <c r="D1542">
        <v>1187081</v>
      </c>
    </row>
    <row r="1543" spans="1:4" x14ac:dyDescent="0.35">
      <c r="A1543" s="1">
        <v>2012</v>
      </c>
      <c r="B1543" t="s">
        <v>223</v>
      </c>
      <c r="D1543">
        <v>63375971</v>
      </c>
    </row>
    <row r="1544" spans="1:4" x14ac:dyDescent="0.35">
      <c r="A1544" s="1">
        <v>2012</v>
      </c>
      <c r="B1544">
        <v>971</v>
      </c>
      <c r="C1544" t="s">
        <v>224</v>
      </c>
      <c r="D1544">
        <v>403314</v>
      </c>
    </row>
    <row r="1545" spans="1:4" x14ac:dyDescent="0.35">
      <c r="A1545" s="1">
        <v>2012</v>
      </c>
      <c r="B1545">
        <v>972</v>
      </c>
      <c r="C1545" t="s">
        <v>225</v>
      </c>
      <c r="D1545">
        <v>388364</v>
      </c>
    </row>
    <row r="1546" spans="1:4" x14ac:dyDescent="0.35">
      <c r="A1546" s="1">
        <v>2012</v>
      </c>
      <c r="B1546">
        <v>973</v>
      </c>
      <c r="C1546" t="s">
        <v>77</v>
      </c>
      <c r="D1546">
        <v>239648</v>
      </c>
    </row>
    <row r="1547" spans="1:4" x14ac:dyDescent="0.35">
      <c r="A1547" s="1">
        <v>2012</v>
      </c>
      <c r="B1547">
        <v>974</v>
      </c>
      <c r="C1547" t="s">
        <v>79</v>
      </c>
      <c r="D1547">
        <v>833944</v>
      </c>
    </row>
    <row r="1548" spans="1:4" x14ac:dyDescent="0.35">
      <c r="A1548" s="1">
        <v>2012</v>
      </c>
      <c r="B1548" t="s">
        <v>226</v>
      </c>
      <c r="D1548">
        <v>1865270</v>
      </c>
    </row>
    <row r="1549" spans="1:4" x14ac:dyDescent="0.35">
      <c r="A1549" s="1">
        <v>2012</v>
      </c>
      <c r="B1549" t="s">
        <v>227</v>
      </c>
      <c r="D1549">
        <v>65241241</v>
      </c>
    </row>
    <row r="1550" spans="1:4" x14ac:dyDescent="0.35">
      <c r="A1550" s="1">
        <v>2012</v>
      </c>
    </row>
    <row r="1551" spans="1:4" x14ac:dyDescent="0.35">
      <c r="A1551" s="1">
        <v>2012</v>
      </c>
      <c r="B1551" t="s">
        <v>242</v>
      </c>
    </row>
    <row r="1552" spans="1:4" x14ac:dyDescent="0.35">
      <c r="A1552" s="1">
        <v>2011</v>
      </c>
      <c r="B1552" t="s">
        <v>229</v>
      </c>
    </row>
    <row r="1553" spans="1:4" x14ac:dyDescent="0.35">
      <c r="A1553" s="1">
        <v>2011</v>
      </c>
      <c r="B1553" t="s">
        <v>250</v>
      </c>
    </row>
    <row r="1554" spans="1:4" x14ac:dyDescent="0.35">
      <c r="A1554" s="1">
        <v>2011</v>
      </c>
    </row>
    <row r="1555" spans="1:4" x14ac:dyDescent="0.35">
      <c r="A1555" s="1">
        <v>2011</v>
      </c>
      <c r="B1555" t="s">
        <v>231</v>
      </c>
    </row>
    <row r="1556" spans="1:4" x14ac:dyDescent="0.35">
      <c r="A1556" s="1">
        <v>2011</v>
      </c>
      <c r="D1556" t="s">
        <v>232</v>
      </c>
    </row>
    <row r="1557" spans="1:4" x14ac:dyDescent="0.35">
      <c r="A1557" s="1">
        <v>2011</v>
      </c>
      <c r="B1557" t="s">
        <v>5</v>
      </c>
      <c r="C1557" t="s">
        <v>6</v>
      </c>
      <c r="D1557">
        <v>603827</v>
      </c>
    </row>
    <row r="1558" spans="1:4" x14ac:dyDescent="0.35">
      <c r="A1558" s="1">
        <v>2011</v>
      </c>
      <c r="B1558" t="s">
        <v>104</v>
      </c>
      <c r="C1558" t="s">
        <v>105</v>
      </c>
      <c r="D1558">
        <v>541302</v>
      </c>
    </row>
    <row r="1559" spans="1:4" x14ac:dyDescent="0.35">
      <c r="A1559" s="1">
        <v>2011</v>
      </c>
      <c r="B1559" t="s">
        <v>10</v>
      </c>
      <c r="C1559" t="s">
        <v>11</v>
      </c>
      <c r="D1559">
        <v>342729</v>
      </c>
    </row>
    <row r="1560" spans="1:4" x14ac:dyDescent="0.35">
      <c r="A1560" s="1">
        <v>2011</v>
      </c>
      <c r="B1560" t="s">
        <v>200</v>
      </c>
      <c r="C1560" t="s">
        <v>201</v>
      </c>
      <c r="D1560">
        <v>160959</v>
      </c>
    </row>
    <row r="1561" spans="1:4" x14ac:dyDescent="0.35">
      <c r="A1561" s="1">
        <v>2011</v>
      </c>
      <c r="B1561" t="s">
        <v>202</v>
      </c>
      <c r="C1561" t="s">
        <v>203</v>
      </c>
      <c r="D1561">
        <v>138605</v>
      </c>
    </row>
    <row r="1562" spans="1:4" x14ac:dyDescent="0.35">
      <c r="A1562" s="1">
        <v>2011</v>
      </c>
      <c r="B1562" t="s">
        <v>204</v>
      </c>
      <c r="C1562" t="s">
        <v>205</v>
      </c>
      <c r="D1562">
        <v>1081244</v>
      </c>
    </row>
    <row r="1563" spans="1:4" x14ac:dyDescent="0.35">
      <c r="A1563" s="1">
        <v>2011</v>
      </c>
      <c r="B1563" t="s">
        <v>12</v>
      </c>
      <c r="C1563" t="s">
        <v>13</v>
      </c>
      <c r="D1563">
        <v>317277</v>
      </c>
    </row>
    <row r="1564" spans="1:4" x14ac:dyDescent="0.35">
      <c r="A1564" s="1">
        <v>2011</v>
      </c>
      <c r="B1564" t="s">
        <v>84</v>
      </c>
      <c r="C1564" t="s">
        <v>85</v>
      </c>
      <c r="D1564">
        <v>283110</v>
      </c>
    </row>
    <row r="1565" spans="1:4" x14ac:dyDescent="0.35">
      <c r="A1565" s="1">
        <v>2011</v>
      </c>
      <c r="B1565" t="s">
        <v>164</v>
      </c>
      <c r="C1565" t="s">
        <v>165</v>
      </c>
      <c r="D1565">
        <v>152286</v>
      </c>
    </row>
    <row r="1566" spans="1:4" x14ac:dyDescent="0.35">
      <c r="A1566" s="1">
        <v>2011</v>
      </c>
      <c r="B1566" t="s">
        <v>86</v>
      </c>
      <c r="C1566" t="s">
        <v>87</v>
      </c>
      <c r="D1566">
        <v>303997</v>
      </c>
    </row>
    <row r="1567" spans="1:4" x14ac:dyDescent="0.35">
      <c r="A1567" s="1">
        <v>2011</v>
      </c>
      <c r="B1567" t="s">
        <v>166</v>
      </c>
      <c r="C1567" t="s">
        <v>167</v>
      </c>
      <c r="D1567">
        <v>359967</v>
      </c>
    </row>
    <row r="1568" spans="1:4" x14ac:dyDescent="0.35">
      <c r="A1568" s="1">
        <v>2011</v>
      </c>
      <c r="B1568" t="s">
        <v>168</v>
      </c>
      <c r="C1568" t="s">
        <v>169</v>
      </c>
      <c r="D1568">
        <v>275813</v>
      </c>
    </row>
    <row r="1569" spans="1:4" x14ac:dyDescent="0.35">
      <c r="A1569" s="1">
        <v>2011</v>
      </c>
      <c r="B1569" t="s">
        <v>206</v>
      </c>
      <c r="C1569" t="s">
        <v>207</v>
      </c>
      <c r="D1569">
        <v>1975896</v>
      </c>
    </row>
    <row r="1570" spans="1:4" x14ac:dyDescent="0.35">
      <c r="A1570" s="1">
        <v>2011</v>
      </c>
      <c r="B1570" t="s">
        <v>130</v>
      </c>
      <c r="C1570" t="s">
        <v>131</v>
      </c>
      <c r="D1570">
        <v>685262</v>
      </c>
    </row>
    <row r="1571" spans="1:4" x14ac:dyDescent="0.35">
      <c r="A1571" s="1">
        <v>2011</v>
      </c>
      <c r="B1571" t="s">
        <v>14</v>
      </c>
      <c r="C1571" t="s">
        <v>15</v>
      </c>
      <c r="D1571">
        <v>147577</v>
      </c>
    </row>
    <row r="1572" spans="1:4" x14ac:dyDescent="0.35">
      <c r="A1572" s="1">
        <v>2011</v>
      </c>
      <c r="B1572" t="s">
        <v>140</v>
      </c>
      <c r="C1572" t="s">
        <v>141</v>
      </c>
      <c r="D1572">
        <v>352705</v>
      </c>
    </row>
    <row r="1573" spans="1:4" x14ac:dyDescent="0.35">
      <c r="A1573" s="1">
        <v>2011</v>
      </c>
      <c r="B1573" t="s">
        <v>142</v>
      </c>
      <c r="C1573" t="s">
        <v>143</v>
      </c>
      <c r="D1573">
        <v>625682</v>
      </c>
    </row>
    <row r="1574" spans="1:4" x14ac:dyDescent="0.35">
      <c r="A1574" s="1">
        <v>2011</v>
      </c>
      <c r="B1574" t="s">
        <v>56</v>
      </c>
      <c r="C1574" t="s">
        <v>57</v>
      </c>
      <c r="D1574">
        <v>311694</v>
      </c>
    </row>
    <row r="1575" spans="1:4" x14ac:dyDescent="0.35">
      <c r="A1575" s="1">
        <v>2011</v>
      </c>
      <c r="B1575" t="s">
        <v>144</v>
      </c>
      <c r="C1575" t="s">
        <v>145</v>
      </c>
      <c r="D1575">
        <v>242454</v>
      </c>
    </row>
    <row r="1576" spans="1:4" x14ac:dyDescent="0.35">
      <c r="A1576" s="1">
        <v>2011</v>
      </c>
      <c r="B1576" t="s">
        <v>68</v>
      </c>
      <c r="C1576" t="s">
        <v>69</v>
      </c>
      <c r="D1576">
        <v>145846</v>
      </c>
    </row>
    <row r="1577" spans="1:4" x14ac:dyDescent="0.35">
      <c r="A1577" s="1">
        <v>2011</v>
      </c>
      <c r="B1577" t="s">
        <v>70</v>
      </c>
      <c r="C1577" t="s">
        <v>71</v>
      </c>
      <c r="D1577">
        <v>168640</v>
      </c>
    </row>
    <row r="1578" spans="1:4" x14ac:dyDescent="0.35">
      <c r="A1578" s="1">
        <v>2011</v>
      </c>
      <c r="B1578" t="s">
        <v>32</v>
      </c>
      <c r="C1578" t="s">
        <v>219</v>
      </c>
      <c r="D1578">
        <v>525931</v>
      </c>
    </row>
    <row r="1579" spans="1:4" x14ac:dyDescent="0.35">
      <c r="A1579" s="1">
        <v>2011</v>
      </c>
      <c r="B1579" t="s">
        <v>48</v>
      </c>
      <c r="C1579" t="s">
        <v>220</v>
      </c>
      <c r="D1579">
        <v>594375</v>
      </c>
    </row>
    <row r="1580" spans="1:4" x14ac:dyDescent="0.35">
      <c r="A1580" s="1">
        <v>2011</v>
      </c>
      <c r="B1580" t="s">
        <v>146</v>
      </c>
      <c r="C1580" t="s">
        <v>147</v>
      </c>
      <c r="D1580">
        <v>122560</v>
      </c>
    </row>
    <row r="1581" spans="1:4" x14ac:dyDescent="0.35">
      <c r="A1581" s="1">
        <v>2011</v>
      </c>
      <c r="B1581" t="s">
        <v>148</v>
      </c>
      <c r="C1581" t="s">
        <v>149</v>
      </c>
      <c r="D1581">
        <v>415168</v>
      </c>
    </row>
    <row r="1582" spans="1:4" x14ac:dyDescent="0.35">
      <c r="A1582" s="1">
        <v>2011</v>
      </c>
      <c r="B1582" t="s">
        <v>34</v>
      </c>
      <c r="C1582" t="s">
        <v>35</v>
      </c>
      <c r="D1582">
        <v>529103</v>
      </c>
    </row>
    <row r="1583" spans="1:4" x14ac:dyDescent="0.35">
      <c r="A1583" s="1">
        <v>2011</v>
      </c>
      <c r="B1583" t="s">
        <v>16</v>
      </c>
      <c r="C1583" t="s">
        <v>17</v>
      </c>
      <c r="D1583">
        <v>487993</v>
      </c>
    </row>
    <row r="1584" spans="1:4" x14ac:dyDescent="0.35">
      <c r="A1584" s="1">
        <v>2011</v>
      </c>
      <c r="B1584" t="s">
        <v>132</v>
      </c>
      <c r="C1584" t="s">
        <v>133</v>
      </c>
      <c r="D1584">
        <v>588111</v>
      </c>
    </row>
    <row r="1585" spans="1:4" x14ac:dyDescent="0.35">
      <c r="A1585" s="1">
        <v>2011</v>
      </c>
      <c r="B1585" t="s">
        <v>58</v>
      </c>
      <c r="C1585" t="s">
        <v>59</v>
      </c>
      <c r="D1585">
        <v>430416</v>
      </c>
    </row>
    <row r="1586" spans="1:4" x14ac:dyDescent="0.35">
      <c r="A1586" s="1">
        <v>2011</v>
      </c>
      <c r="B1586" t="s">
        <v>50</v>
      </c>
      <c r="C1586" t="s">
        <v>51</v>
      </c>
      <c r="D1586">
        <v>899870</v>
      </c>
    </row>
    <row r="1587" spans="1:4" x14ac:dyDescent="0.35">
      <c r="A1587" s="1">
        <v>2011</v>
      </c>
      <c r="B1587" t="s">
        <v>170</v>
      </c>
      <c r="C1587" t="s">
        <v>171</v>
      </c>
      <c r="D1587">
        <v>718357</v>
      </c>
    </row>
    <row r="1588" spans="1:4" x14ac:dyDescent="0.35">
      <c r="A1588" s="1">
        <v>2011</v>
      </c>
      <c r="B1588" t="s">
        <v>172</v>
      </c>
      <c r="C1588" t="s">
        <v>173</v>
      </c>
      <c r="D1588">
        <v>1260226</v>
      </c>
    </row>
    <row r="1589" spans="1:4" x14ac:dyDescent="0.35">
      <c r="A1589" s="1">
        <v>2011</v>
      </c>
      <c r="B1589" t="s">
        <v>174</v>
      </c>
      <c r="C1589" t="s">
        <v>175</v>
      </c>
      <c r="D1589">
        <v>188893</v>
      </c>
    </row>
    <row r="1590" spans="1:4" x14ac:dyDescent="0.35">
      <c r="A1590" s="1">
        <v>2011</v>
      </c>
      <c r="B1590" t="s">
        <v>150</v>
      </c>
      <c r="C1590" t="s">
        <v>151</v>
      </c>
      <c r="D1590">
        <v>1463662</v>
      </c>
    </row>
    <row r="1591" spans="1:4" x14ac:dyDescent="0.35">
      <c r="A1591" s="1">
        <v>2011</v>
      </c>
      <c r="B1591" t="s">
        <v>176</v>
      </c>
      <c r="C1591" t="s">
        <v>177</v>
      </c>
      <c r="D1591">
        <v>1062036</v>
      </c>
    </row>
    <row r="1592" spans="1:4" x14ac:dyDescent="0.35">
      <c r="A1592" s="1">
        <v>2011</v>
      </c>
      <c r="B1592" t="s">
        <v>52</v>
      </c>
      <c r="C1592" t="s">
        <v>53</v>
      </c>
      <c r="D1592">
        <v>996439</v>
      </c>
    </row>
    <row r="1593" spans="1:4" x14ac:dyDescent="0.35">
      <c r="A1593" s="1">
        <v>2011</v>
      </c>
      <c r="B1593" t="s">
        <v>60</v>
      </c>
      <c r="C1593" t="s">
        <v>61</v>
      </c>
      <c r="D1593">
        <v>230175</v>
      </c>
    </row>
    <row r="1594" spans="1:4" x14ac:dyDescent="0.35">
      <c r="A1594" s="1">
        <v>2011</v>
      </c>
      <c r="B1594" t="s">
        <v>62</v>
      </c>
      <c r="C1594" t="s">
        <v>63</v>
      </c>
      <c r="D1594">
        <v>593683</v>
      </c>
    </row>
    <row r="1595" spans="1:4" x14ac:dyDescent="0.35">
      <c r="A1595" s="1">
        <v>2011</v>
      </c>
      <c r="B1595" t="s">
        <v>18</v>
      </c>
      <c r="C1595" t="s">
        <v>19</v>
      </c>
      <c r="D1595">
        <v>1215212</v>
      </c>
    </row>
    <row r="1596" spans="1:4" x14ac:dyDescent="0.35">
      <c r="A1596" s="1">
        <v>2011</v>
      </c>
      <c r="B1596" t="s">
        <v>36</v>
      </c>
      <c r="C1596" t="s">
        <v>37</v>
      </c>
      <c r="D1596">
        <v>261294</v>
      </c>
    </row>
    <row r="1597" spans="1:4" x14ac:dyDescent="0.35">
      <c r="A1597" s="1">
        <v>2011</v>
      </c>
      <c r="B1597" t="s">
        <v>152</v>
      </c>
      <c r="C1597" t="s">
        <v>153</v>
      </c>
      <c r="D1597">
        <v>387929</v>
      </c>
    </row>
    <row r="1598" spans="1:4" x14ac:dyDescent="0.35">
      <c r="A1598" s="1">
        <v>2011</v>
      </c>
      <c r="B1598" t="s">
        <v>64</v>
      </c>
      <c r="C1598" t="s">
        <v>65</v>
      </c>
      <c r="D1598">
        <v>331280</v>
      </c>
    </row>
    <row r="1599" spans="1:4" x14ac:dyDescent="0.35">
      <c r="A1599" s="1">
        <v>2011</v>
      </c>
      <c r="B1599" t="s">
        <v>20</v>
      </c>
      <c r="C1599" t="s">
        <v>21</v>
      </c>
      <c r="D1599">
        <v>749053</v>
      </c>
    </row>
    <row r="1600" spans="1:4" x14ac:dyDescent="0.35">
      <c r="A1600" s="1">
        <v>2011</v>
      </c>
      <c r="B1600" t="s">
        <v>22</v>
      </c>
      <c r="C1600" t="s">
        <v>23</v>
      </c>
      <c r="D1600">
        <v>224907</v>
      </c>
    </row>
    <row r="1601" spans="1:4" x14ac:dyDescent="0.35">
      <c r="A1601" s="1">
        <v>2011</v>
      </c>
      <c r="B1601" t="s">
        <v>190</v>
      </c>
      <c r="C1601" t="s">
        <v>191</v>
      </c>
      <c r="D1601">
        <v>1296364</v>
      </c>
    </row>
    <row r="1602" spans="1:4" x14ac:dyDescent="0.35">
      <c r="A1602" s="1">
        <v>2011</v>
      </c>
      <c r="B1602" t="s">
        <v>66</v>
      </c>
      <c r="C1602" t="s">
        <v>67</v>
      </c>
      <c r="D1602">
        <v>659587</v>
      </c>
    </row>
    <row r="1603" spans="1:4" x14ac:dyDescent="0.35">
      <c r="A1603" s="1">
        <v>2011</v>
      </c>
      <c r="B1603" t="s">
        <v>178</v>
      </c>
      <c r="C1603" t="s">
        <v>179</v>
      </c>
      <c r="D1603">
        <v>174754</v>
      </c>
    </row>
    <row r="1604" spans="1:4" x14ac:dyDescent="0.35">
      <c r="A1604" s="1">
        <v>2011</v>
      </c>
      <c r="B1604" t="s">
        <v>154</v>
      </c>
      <c r="C1604" t="s">
        <v>155</v>
      </c>
      <c r="D1604">
        <v>330866</v>
      </c>
    </row>
    <row r="1605" spans="1:4" x14ac:dyDescent="0.35">
      <c r="A1605" s="1">
        <v>2011</v>
      </c>
      <c r="B1605" t="s">
        <v>180</v>
      </c>
      <c r="C1605" t="s">
        <v>181</v>
      </c>
      <c r="D1605">
        <v>77156</v>
      </c>
    </row>
    <row r="1606" spans="1:4" x14ac:dyDescent="0.35">
      <c r="A1606" s="1">
        <v>2011</v>
      </c>
      <c r="B1606" t="s">
        <v>192</v>
      </c>
      <c r="C1606" t="s">
        <v>193</v>
      </c>
      <c r="D1606">
        <v>790343</v>
      </c>
    </row>
    <row r="1607" spans="1:4" x14ac:dyDescent="0.35">
      <c r="A1607" s="1">
        <v>2011</v>
      </c>
      <c r="B1607" t="s">
        <v>134</v>
      </c>
      <c r="C1607" t="s">
        <v>135</v>
      </c>
      <c r="D1607">
        <v>499531</v>
      </c>
    </row>
    <row r="1608" spans="1:4" x14ac:dyDescent="0.35">
      <c r="A1608" s="1">
        <v>2011</v>
      </c>
      <c r="B1608" t="s">
        <v>88</v>
      </c>
      <c r="C1608" t="s">
        <v>89</v>
      </c>
      <c r="D1608">
        <v>566571</v>
      </c>
    </row>
    <row r="1609" spans="1:4" x14ac:dyDescent="0.35">
      <c r="A1609" s="1">
        <v>2011</v>
      </c>
      <c r="B1609" t="s">
        <v>90</v>
      </c>
      <c r="C1609" t="s">
        <v>91</v>
      </c>
      <c r="D1609">
        <v>182375</v>
      </c>
    </row>
    <row r="1610" spans="1:4" x14ac:dyDescent="0.35">
      <c r="A1610" s="1">
        <v>2011</v>
      </c>
      <c r="B1610" t="s">
        <v>194</v>
      </c>
      <c r="C1610" t="s">
        <v>195</v>
      </c>
      <c r="D1610">
        <v>307031</v>
      </c>
    </row>
    <row r="1611" spans="1:4" x14ac:dyDescent="0.35">
      <c r="A1611" s="1">
        <v>2011</v>
      </c>
      <c r="B1611" t="s">
        <v>92</v>
      </c>
      <c r="C1611" t="s">
        <v>93</v>
      </c>
      <c r="D1611">
        <v>733124</v>
      </c>
    </row>
    <row r="1612" spans="1:4" x14ac:dyDescent="0.35">
      <c r="A1612" s="1">
        <v>2011</v>
      </c>
      <c r="B1612" t="s">
        <v>94</v>
      </c>
      <c r="C1612" t="s">
        <v>95</v>
      </c>
      <c r="D1612">
        <v>193557</v>
      </c>
    </row>
    <row r="1613" spans="1:4" x14ac:dyDescent="0.35">
      <c r="A1613" s="1">
        <v>2011</v>
      </c>
      <c r="B1613" t="s">
        <v>54</v>
      </c>
      <c r="C1613" t="s">
        <v>55</v>
      </c>
      <c r="D1613">
        <v>727083</v>
      </c>
    </row>
    <row r="1614" spans="1:4" x14ac:dyDescent="0.35">
      <c r="A1614" s="1">
        <v>2011</v>
      </c>
      <c r="B1614" t="s">
        <v>96</v>
      </c>
      <c r="C1614" t="s">
        <v>97</v>
      </c>
      <c r="D1614">
        <v>1045146</v>
      </c>
    </row>
    <row r="1615" spans="1:4" x14ac:dyDescent="0.35">
      <c r="A1615" s="1">
        <v>2011</v>
      </c>
      <c r="B1615" t="s">
        <v>38</v>
      </c>
      <c r="C1615" t="s">
        <v>39</v>
      </c>
      <c r="D1615">
        <v>218341</v>
      </c>
    </row>
    <row r="1616" spans="1:4" x14ac:dyDescent="0.35">
      <c r="A1616" s="1">
        <v>2011</v>
      </c>
      <c r="B1616" t="s">
        <v>106</v>
      </c>
      <c r="C1616" t="s">
        <v>107</v>
      </c>
      <c r="D1616">
        <v>2579208</v>
      </c>
    </row>
    <row r="1617" spans="1:4" x14ac:dyDescent="0.35">
      <c r="A1617" s="1">
        <v>2011</v>
      </c>
      <c r="B1617" t="s">
        <v>108</v>
      </c>
      <c r="C1617" t="s">
        <v>109</v>
      </c>
      <c r="D1617">
        <v>805642</v>
      </c>
    </row>
    <row r="1618" spans="1:4" x14ac:dyDescent="0.35">
      <c r="A1618" s="1">
        <v>2011</v>
      </c>
      <c r="B1618" t="s">
        <v>136</v>
      </c>
      <c r="C1618" t="s">
        <v>137</v>
      </c>
      <c r="D1618">
        <v>290891</v>
      </c>
    </row>
    <row r="1619" spans="1:4" x14ac:dyDescent="0.35">
      <c r="A1619" s="1">
        <v>2011</v>
      </c>
      <c r="B1619" t="s">
        <v>110</v>
      </c>
      <c r="C1619" t="s">
        <v>111</v>
      </c>
      <c r="D1619">
        <v>1462807</v>
      </c>
    </row>
    <row r="1620" spans="1:4" x14ac:dyDescent="0.35">
      <c r="A1620" s="1">
        <v>2011</v>
      </c>
      <c r="B1620" t="s">
        <v>24</v>
      </c>
      <c r="C1620" t="s">
        <v>25</v>
      </c>
      <c r="D1620">
        <v>635469</v>
      </c>
    </row>
    <row r="1621" spans="1:4" x14ac:dyDescent="0.35">
      <c r="A1621" s="1">
        <v>2011</v>
      </c>
      <c r="B1621" t="s">
        <v>156</v>
      </c>
      <c r="C1621" t="s">
        <v>157</v>
      </c>
      <c r="D1621">
        <v>656608</v>
      </c>
    </row>
    <row r="1622" spans="1:4" x14ac:dyDescent="0.35">
      <c r="A1622" s="1">
        <v>2011</v>
      </c>
      <c r="B1622" t="s">
        <v>182</v>
      </c>
      <c r="C1622" t="s">
        <v>183</v>
      </c>
      <c r="D1622">
        <v>229228</v>
      </c>
    </row>
    <row r="1623" spans="1:4" x14ac:dyDescent="0.35">
      <c r="A1623" s="1">
        <v>2011</v>
      </c>
      <c r="B1623" t="s">
        <v>184</v>
      </c>
      <c r="C1623" t="s">
        <v>185</v>
      </c>
      <c r="D1623">
        <v>452530</v>
      </c>
    </row>
    <row r="1624" spans="1:4" x14ac:dyDescent="0.35">
      <c r="A1624" s="1">
        <v>2011</v>
      </c>
      <c r="B1624" t="s">
        <v>98</v>
      </c>
      <c r="C1624" t="s">
        <v>99</v>
      </c>
      <c r="D1624">
        <v>1099269</v>
      </c>
    </row>
    <row r="1625" spans="1:4" x14ac:dyDescent="0.35">
      <c r="A1625" s="1">
        <v>2011</v>
      </c>
      <c r="B1625" t="s">
        <v>100</v>
      </c>
      <c r="C1625" t="s">
        <v>101</v>
      </c>
      <c r="D1625">
        <v>753056</v>
      </c>
    </row>
    <row r="1626" spans="1:4" x14ac:dyDescent="0.35">
      <c r="A1626" s="1">
        <v>2011</v>
      </c>
      <c r="B1626" t="s">
        <v>26</v>
      </c>
      <c r="C1626" t="s">
        <v>27</v>
      </c>
      <c r="D1626">
        <v>1744236</v>
      </c>
    </row>
    <row r="1627" spans="1:4" x14ac:dyDescent="0.35">
      <c r="A1627" s="1">
        <v>2011</v>
      </c>
      <c r="B1627" t="s">
        <v>40</v>
      </c>
      <c r="C1627" t="s">
        <v>41</v>
      </c>
      <c r="D1627">
        <v>239695</v>
      </c>
    </row>
    <row r="1628" spans="1:4" x14ac:dyDescent="0.35">
      <c r="A1628" s="1">
        <v>2011</v>
      </c>
      <c r="B1628" t="s">
        <v>42</v>
      </c>
      <c r="C1628" t="s">
        <v>43</v>
      </c>
      <c r="D1628">
        <v>555999</v>
      </c>
    </row>
    <row r="1629" spans="1:4" x14ac:dyDescent="0.35">
      <c r="A1629" s="1">
        <v>2011</v>
      </c>
      <c r="B1629" t="s">
        <v>196</v>
      </c>
      <c r="C1629" t="s">
        <v>197</v>
      </c>
      <c r="D1629">
        <v>565718</v>
      </c>
    </row>
    <row r="1630" spans="1:4" x14ac:dyDescent="0.35">
      <c r="A1630" s="1">
        <v>2011</v>
      </c>
      <c r="B1630" t="s">
        <v>28</v>
      </c>
      <c r="C1630" t="s">
        <v>29</v>
      </c>
      <c r="D1630">
        <v>418949</v>
      </c>
    </row>
    <row r="1631" spans="1:4" x14ac:dyDescent="0.35">
      <c r="A1631" s="1">
        <v>2011</v>
      </c>
      <c r="B1631" t="s">
        <v>30</v>
      </c>
      <c r="C1631" t="s">
        <v>31</v>
      </c>
      <c r="D1631">
        <v>746994</v>
      </c>
    </row>
    <row r="1632" spans="1:4" x14ac:dyDescent="0.35">
      <c r="A1632" s="1">
        <v>2011</v>
      </c>
      <c r="B1632" t="s">
        <v>114</v>
      </c>
      <c r="C1632" t="s">
        <v>115</v>
      </c>
      <c r="D1632">
        <v>2249975</v>
      </c>
    </row>
    <row r="1633" spans="1:4" x14ac:dyDescent="0.35">
      <c r="A1633" s="1">
        <v>2011</v>
      </c>
      <c r="B1633" t="s">
        <v>138</v>
      </c>
      <c r="C1633" t="s">
        <v>139</v>
      </c>
      <c r="D1633">
        <v>1251282</v>
      </c>
    </row>
    <row r="1634" spans="1:4" x14ac:dyDescent="0.35">
      <c r="A1634" s="1">
        <v>2011</v>
      </c>
      <c r="B1634" t="s">
        <v>116</v>
      </c>
      <c r="C1634" t="s">
        <v>117</v>
      </c>
      <c r="D1634">
        <v>1338427</v>
      </c>
    </row>
    <row r="1635" spans="1:4" x14ac:dyDescent="0.35">
      <c r="A1635" s="1">
        <v>2011</v>
      </c>
      <c r="B1635" t="s">
        <v>118</v>
      </c>
      <c r="C1635" t="s">
        <v>119</v>
      </c>
      <c r="D1635">
        <v>1413635</v>
      </c>
    </row>
    <row r="1636" spans="1:4" x14ac:dyDescent="0.35">
      <c r="A1636" s="1">
        <v>2011</v>
      </c>
      <c r="B1636" t="s">
        <v>158</v>
      </c>
      <c r="C1636" t="s">
        <v>159</v>
      </c>
      <c r="D1636">
        <v>370939</v>
      </c>
    </row>
    <row r="1637" spans="1:4" x14ac:dyDescent="0.35">
      <c r="A1637" s="1">
        <v>2011</v>
      </c>
      <c r="B1637" t="s">
        <v>112</v>
      </c>
      <c r="C1637" t="s">
        <v>113</v>
      </c>
      <c r="D1637">
        <v>571211</v>
      </c>
    </row>
    <row r="1638" spans="1:4" x14ac:dyDescent="0.35">
      <c r="A1638" s="1">
        <v>2011</v>
      </c>
      <c r="B1638" t="s">
        <v>186</v>
      </c>
      <c r="C1638" t="s">
        <v>187</v>
      </c>
      <c r="D1638">
        <v>377675</v>
      </c>
    </row>
    <row r="1639" spans="1:4" x14ac:dyDescent="0.35">
      <c r="A1639" s="1">
        <v>2011</v>
      </c>
      <c r="B1639" t="s">
        <v>188</v>
      </c>
      <c r="C1639" t="s">
        <v>189</v>
      </c>
      <c r="D1639">
        <v>244545</v>
      </c>
    </row>
    <row r="1640" spans="1:4" x14ac:dyDescent="0.35">
      <c r="A1640" s="1">
        <v>2011</v>
      </c>
      <c r="B1640" t="s">
        <v>208</v>
      </c>
      <c r="C1640" t="s">
        <v>209</v>
      </c>
      <c r="D1640">
        <v>1012735</v>
      </c>
    </row>
    <row r="1641" spans="1:4" x14ac:dyDescent="0.35">
      <c r="A1641" s="1">
        <v>2011</v>
      </c>
      <c r="B1641" t="s">
        <v>210</v>
      </c>
      <c r="C1641" t="s">
        <v>211</v>
      </c>
      <c r="D1641">
        <v>546630</v>
      </c>
    </row>
    <row r="1642" spans="1:4" x14ac:dyDescent="0.35">
      <c r="A1642" s="1">
        <v>2011</v>
      </c>
      <c r="B1642" t="s">
        <v>198</v>
      </c>
      <c r="C1642" t="s">
        <v>199</v>
      </c>
      <c r="D1642">
        <v>641657</v>
      </c>
    </row>
    <row r="1643" spans="1:4" x14ac:dyDescent="0.35">
      <c r="A1643" s="1">
        <v>2011</v>
      </c>
      <c r="B1643" t="s">
        <v>160</v>
      </c>
      <c r="C1643" t="s">
        <v>161</v>
      </c>
      <c r="D1643">
        <v>428447</v>
      </c>
    </row>
    <row r="1644" spans="1:4" x14ac:dyDescent="0.35">
      <c r="A1644" s="1">
        <v>2011</v>
      </c>
      <c r="B1644" t="s">
        <v>162</v>
      </c>
      <c r="C1644" t="s">
        <v>163</v>
      </c>
      <c r="D1644">
        <v>376058</v>
      </c>
    </row>
    <row r="1645" spans="1:4" x14ac:dyDescent="0.35">
      <c r="A1645" s="1">
        <v>2011</v>
      </c>
      <c r="B1645" t="s">
        <v>102</v>
      </c>
      <c r="C1645" t="s">
        <v>103</v>
      </c>
      <c r="D1645">
        <v>378830</v>
      </c>
    </row>
    <row r="1646" spans="1:4" x14ac:dyDescent="0.35">
      <c r="A1646" s="1">
        <v>2011</v>
      </c>
      <c r="B1646" t="s">
        <v>44</v>
      </c>
      <c r="C1646" t="s">
        <v>45</v>
      </c>
      <c r="D1646">
        <v>342463</v>
      </c>
    </row>
    <row r="1647" spans="1:4" x14ac:dyDescent="0.35">
      <c r="A1647" s="1">
        <v>2011</v>
      </c>
      <c r="B1647" t="s">
        <v>46</v>
      </c>
      <c r="C1647" t="s">
        <v>221</v>
      </c>
      <c r="D1647">
        <v>143348</v>
      </c>
    </row>
    <row r="1648" spans="1:4" x14ac:dyDescent="0.35">
      <c r="A1648" s="1">
        <v>2011</v>
      </c>
      <c r="B1648" t="s">
        <v>120</v>
      </c>
      <c r="C1648" t="s">
        <v>121</v>
      </c>
      <c r="D1648">
        <v>1225191</v>
      </c>
    </row>
    <row r="1649" spans="1:4" x14ac:dyDescent="0.35">
      <c r="A1649" s="1">
        <v>2011</v>
      </c>
      <c r="B1649" t="s">
        <v>122</v>
      </c>
      <c r="C1649" t="s">
        <v>222</v>
      </c>
      <c r="D1649">
        <v>1581628</v>
      </c>
    </row>
    <row r="1650" spans="1:4" x14ac:dyDescent="0.35">
      <c r="A1650" s="1">
        <v>2011</v>
      </c>
      <c r="B1650" t="s">
        <v>124</v>
      </c>
      <c r="C1650" t="s">
        <v>125</v>
      </c>
      <c r="D1650">
        <v>1529928</v>
      </c>
    </row>
    <row r="1651" spans="1:4" x14ac:dyDescent="0.35">
      <c r="A1651" s="1">
        <v>2011</v>
      </c>
      <c r="B1651" t="s">
        <v>126</v>
      </c>
      <c r="C1651" t="s">
        <v>127</v>
      </c>
      <c r="D1651">
        <v>1333702</v>
      </c>
    </row>
    <row r="1652" spans="1:4" x14ac:dyDescent="0.35">
      <c r="A1652" s="1">
        <v>2011</v>
      </c>
      <c r="B1652" t="s">
        <v>128</v>
      </c>
      <c r="C1652" t="s">
        <v>129</v>
      </c>
      <c r="D1652">
        <v>1180365</v>
      </c>
    </row>
    <row r="1653" spans="1:4" x14ac:dyDescent="0.35">
      <c r="A1653" s="1">
        <v>2011</v>
      </c>
      <c r="B1653" t="s">
        <v>223</v>
      </c>
      <c r="D1653">
        <v>63070344</v>
      </c>
    </row>
    <row r="1654" spans="1:4" x14ac:dyDescent="0.35">
      <c r="A1654" s="1">
        <v>2011</v>
      </c>
      <c r="B1654">
        <v>971</v>
      </c>
      <c r="C1654" t="s">
        <v>224</v>
      </c>
      <c r="D1654">
        <v>404635</v>
      </c>
    </row>
    <row r="1655" spans="1:4" x14ac:dyDescent="0.35">
      <c r="A1655" s="1">
        <v>2011</v>
      </c>
      <c r="B1655">
        <v>972</v>
      </c>
      <c r="C1655" t="s">
        <v>225</v>
      </c>
      <c r="D1655">
        <v>392291</v>
      </c>
    </row>
    <row r="1656" spans="1:4" x14ac:dyDescent="0.35">
      <c r="A1656" s="1">
        <v>2011</v>
      </c>
      <c r="B1656">
        <v>973</v>
      </c>
      <c r="C1656" t="s">
        <v>77</v>
      </c>
      <c r="D1656">
        <v>237549</v>
      </c>
    </row>
    <row r="1657" spans="1:4" x14ac:dyDescent="0.35">
      <c r="A1657" s="1">
        <v>2011</v>
      </c>
      <c r="B1657">
        <v>974</v>
      </c>
      <c r="C1657" t="s">
        <v>79</v>
      </c>
      <c r="D1657">
        <v>828581</v>
      </c>
    </row>
    <row r="1658" spans="1:4" x14ac:dyDescent="0.35">
      <c r="A1658" s="1">
        <v>2011</v>
      </c>
      <c r="B1658" t="s">
        <v>226</v>
      </c>
      <c r="D1658">
        <v>1863056</v>
      </c>
    </row>
    <row r="1659" spans="1:4" x14ac:dyDescent="0.35">
      <c r="A1659" s="1">
        <v>2011</v>
      </c>
      <c r="B1659" t="s">
        <v>227</v>
      </c>
      <c r="D1659">
        <v>64933400</v>
      </c>
    </row>
    <row r="1660" spans="1:4" x14ac:dyDescent="0.35">
      <c r="A1660" s="1">
        <v>2011</v>
      </c>
    </row>
    <row r="1661" spans="1:4" x14ac:dyDescent="0.35">
      <c r="A1661" s="1">
        <v>2011</v>
      </c>
      <c r="B1661" t="s">
        <v>242</v>
      </c>
    </row>
    <row r="1662" spans="1:4" x14ac:dyDescent="0.35">
      <c r="A1662" s="1">
        <v>2010</v>
      </c>
      <c r="B1662" t="s">
        <v>251</v>
      </c>
    </row>
    <row r="1663" spans="1:4" x14ac:dyDescent="0.35">
      <c r="A1663" s="1">
        <v>2010</v>
      </c>
      <c r="B1663" t="s">
        <v>252</v>
      </c>
    </row>
    <row r="1664" spans="1:4" x14ac:dyDescent="0.35">
      <c r="A1664" s="1">
        <v>2010</v>
      </c>
    </row>
    <row r="1665" spans="1:4" x14ac:dyDescent="0.35">
      <c r="A1665" s="1">
        <v>2010</v>
      </c>
      <c r="B1665" t="s">
        <v>231</v>
      </c>
    </row>
    <row r="1666" spans="1:4" x14ac:dyDescent="0.35">
      <c r="A1666" s="1">
        <v>2010</v>
      </c>
      <c r="D1666" t="s">
        <v>232</v>
      </c>
    </row>
    <row r="1667" spans="1:4" x14ac:dyDescent="0.35">
      <c r="A1667" s="1">
        <v>2010</v>
      </c>
      <c r="B1667" t="s">
        <v>5</v>
      </c>
      <c r="C1667" t="s">
        <v>6</v>
      </c>
      <c r="D1667">
        <v>597341</v>
      </c>
    </row>
    <row r="1668" spans="1:4" x14ac:dyDescent="0.35">
      <c r="A1668" s="1">
        <v>2010</v>
      </c>
      <c r="B1668" t="s">
        <v>104</v>
      </c>
      <c r="C1668" t="s">
        <v>105</v>
      </c>
      <c r="D1668">
        <v>540508</v>
      </c>
    </row>
    <row r="1669" spans="1:4" x14ac:dyDescent="0.35">
      <c r="A1669" s="1">
        <v>2010</v>
      </c>
      <c r="B1669" t="s">
        <v>10</v>
      </c>
      <c r="C1669" t="s">
        <v>11</v>
      </c>
      <c r="D1669">
        <v>342908</v>
      </c>
    </row>
    <row r="1670" spans="1:4" x14ac:dyDescent="0.35">
      <c r="A1670" s="1">
        <v>2010</v>
      </c>
      <c r="B1670" t="s">
        <v>200</v>
      </c>
      <c r="C1670" t="s">
        <v>201</v>
      </c>
      <c r="D1670">
        <v>160149</v>
      </c>
    </row>
    <row r="1671" spans="1:4" x14ac:dyDescent="0.35">
      <c r="A1671" s="1">
        <v>2010</v>
      </c>
      <c r="B1671" t="s">
        <v>202</v>
      </c>
      <c r="C1671" t="s">
        <v>203</v>
      </c>
      <c r="D1671">
        <v>136971</v>
      </c>
    </row>
    <row r="1672" spans="1:4" x14ac:dyDescent="0.35">
      <c r="A1672" s="1">
        <v>2010</v>
      </c>
      <c r="B1672" t="s">
        <v>204</v>
      </c>
      <c r="C1672" t="s">
        <v>205</v>
      </c>
      <c r="D1672">
        <v>1078729</v>
      </c>
    </row>
    <row r="1673" spans="1:4" x14ac:dyDescent="0.35">
      <c r="A1673" s="1">
        <v>2010</v>
      </c>
      <c r="B1673" t="s">
        <v>12</v>
      </c>
      <c r="C1673" t="s">
        <v>13</v>
      </c>
      <c r="D1673">
        <v>315090</v>
      </c>
    </row>
    <row r="1674" spans="1:4" x14ac:dyDescent="0.35">
      <c r="A1674" s="1">
        <v>2010</v>
      </c>
      <c r="B1674" t="s">
        <v>84</v>
      </c>
      <c r="C1674" t="s">
        <v>85</v>
      </c>
      <c r="D1674">
        <v>283250</v>
      </c>
    </row>
    <row r="1675" spans="1:4" x14ac:dyDescent="0.35">
      <c r="A1675" s="1">
        <v>2010</v>
      </c>
      <c r="B1675" t="s">
        <v>164</v>
      </c>
      <c r="C1675" t="s">
        <v>165</v>
      </c>
      <c r="D1675">
        <v>152038</v>
      </c>
    </row>
    <row r="1676" spans="1:4" x14ac:dyDescent="0.35">
      <c r="A1676" s="1">
        <v>2010</v>
      </c>
      <c r="B1676" t="s">
        <v>86</v>
      </c>
      <c r="C1676" t="s">
        <v>87</v>
      </c>
      <c r="D1676">
        <v>303327</v>
      </c>
    </row>
    <row r="1677" spans="1:4" x14ac:dyDescent="0.35">
      <c r="A1677" s="1">
        <v>2010</v>
      </c>
      <c r="B1677" t="s">
        <v>166</v>
      </c>
      <c r="C1677" t="s">
        <v>167</v>
      </c>
      <c r="D1677">
        <v>356467</v>
      </c>
    </row>
    <row r="1678" spans="1:4" x14ac:dyDescent="0.35">
      <c r="A1678" s="1">
        <v>2010</v>
      </c>
      <c r="B1678" t="s">
        <v>168</v>
      </c>
      <c r="C1678" t="s">
        <v>169</v>
      </c>
      <c r="D1678">
        <v>276805</v>
      </c>
    </row>
    <row r="1679" spans="1:4" x14ac:dyDescent="0.35">
      <c r="A1679" s="1">
        <v>2010</v>
      </c>
      <c r="B1679" t="s">
        <v>206</v>
      </c>
      <c r="C1679" t="s">
        <v>207</v>
      </c>
      <c r="D1679">
        <v>1972018</v>
      </c>
    </row>
    <row r="1680" spans="1:4" x14ac:dyDescent="0.35">
      <c r="A1680" s="1">
        <v>2010</v>
      </c>
      <c r="B1680" t="s">
        <v>130</v>
      </c>
      <c r="C1680" t="s">
        <v>131</v>
      </c>
      <c r="D1680">
        <v>683105</v>
      </c>
    </row>
    <row r="1681" spans="1:4" x14ac:dyDescent="0.35">
      <c r="A1681" s="1">
        <v>2010</v>
      </c>
      <c r="B1681" t="s">
        <v>14</v>
      </c>
      <c r="C1681" t="s">
        <v>15</v>
      </c>
      <c r="D1681">
        <v>148162</v>
      </c>
    </row>
    <row r="1682" spans="1:4" x14ac:dyDescent="0.35">
      <c r="A1682" s="1">
        <v>2010</v>
      </c>
      <c r="B1682" t="s">
        <v>140</v>
      </c>
      <c r="C1682" t="s">
        <v>141</v>
      </c>
      <c r="D1682">
        <v>351577</v>
      </c>
    </row>
    <row r="1683" spans="1:4" x14ac:dyDescent="0.35">
      <c r="A1683" s="1">
        <v>2010</v>
      </c>
      <c r="B1683" t="s">
        <v>142</v>
      </c>
      <c r="C1683" t="s">
        <v>143</v>
      </c>
      <c r="D1683">
        <v>622323</v>
      </c>
    </row>
    <row r="1684" spans="1:4" x14ac:dyDescent="0.35">
      <c r="A1684" s="1">
        <v>2010</v>
      </c>
      <c r="B1684" t="s">
        <v>56</v>
      </c>
      <c r="C1684" t="s">
        <v>57</v>
      </c>
      <c r="D1684">
        <v>311257</v>
      </c>
    </row>
    <row r="1685" spans="1:4" x14ac:dyDescent="0.35">
      <c r="A1685" s="1">
        <v>2010</v>
      </c>
      <c r="B1685" t="s">
        <v>144</v>
      </c>
      <c r="C1685" t="s">
        <v>145</v>
      </c>
      <c r="D1685">
        <v>243551</v>
      </c>
    </row>
    <row r="1686" spans="1:4" x14ac:dyDescent="0.35">
      <c r="A1686" s="1">
        <v>2010</v>
      </c>
      <c r="B1686" t="s">
        <v>68</v>
      </c>
      <c r="C1686" t="s">
        <v>69</v>
      </c>
      <c r="D1686">
        <v>143600</v>
      </c>
    </row>
    <row r="1687" spans="1:4" x14ac:dyDescent="0.35">
      <c r="A1687" s="1">
        <v>2010</v>
      </c>
      <c r="B1687" t="s">
        <v>70</v>
      </c>
      <c r="C1687" t="s">
        <v>71</v>
      </c>
      <c r="D1687">
        <v>166093</v>
      </c>
    </row>
    <row r="1688" spans="1:4" x14ac:dyDescent="0.35">
      <c r="A1688" s="1">
        <v>2010</v>
      </c>
      <c r="B1688" t="s">
        <v>32</v>
      </c>
      <c r="C1688" t="s">
        <v>219</v>
      </c>
      <c r="D1688">
        <v>524358</v>
      </c>
    </row>
    <row r="1689" spans="1:4" x14ac:dyDescent="0.35">
      <c r="A1689" s="1">
        <v>2010</v>
      </c>
      <c r="B1689" t="s">
        <v>48</v>
      </c>
      <c r="C1689" t="s">
        <v>220</v>
      </c>
      <c r="D1689">
        <v>591641</v>
      </c>
    </row>
    <row r="1690" spans="1:4" x14ac:dyDescent="0.35">
      <c r="A1690" s="1">
        <v>2010</v>
      </c>
      <c r="B1690" t="s">
        <v>146</v>
      </c>
      <c r="C1690" t="s">
        <v>147</v>
      </c>
      <c r="D1690">
        <v>123029</v>
      </c>
    </row>
    <row r="1691" spans="1:4" x14ac:dyDescent="0.35">
      <c r="A1691" s="1">
        <v>2010</v>
      </c>
      <c r="B1691" t="s">
        <v>148</v>
      </c>
      <c r="C1691" t="s">
        <v>149</v>
      </c>
      <c r="D1691">
        <v>414149</v>
      </c>
    </row>
    <row r="1692" spans="1:4" x14ac:dyDescent="0.35">
      <c r="A1692" s="1">
        <v>2010</v>
      </c>
      <c r="B1692" t="s">
        <v>34</v>
      </c>
      <c r="C1692" t="s">
        <v>35</v>
      </c>
      <c r="D1692">
        <v>527770</v>
      </c>
    </row>
    <row r="1693" spans="1:4" x14ac:dyDescent="0.35">
      <c r="A1693" s="1">
        <v>2010</v>
      </c>
      <c r="B1693" t="s">
        <v>16</v>
      </c>
      <c r="C1693" t="s">
        <v>17</v>
      </c>
      <c r="D1693">
        <v>484715</v>
      </c>
    </row>
    <row r="1694" spans="1:4" x14ac:dyDescent="0.35">
      <c r="A1694" s="1">
        <v>2010</v>
      </c>
      <c r="B1694" t="s">
        <v>132</v>
      </c>
      <c r="C1694" t="s">
        <v>133</v>
      </c>
      <c r="D1694">
        <v>586543</v>
      </c>
    </row>
    <row r="1695" spans="1:4" x14ac:dyDescent="0.35">
      <c r="A1695" s="1">
        <v>2010</v>
      </c>
      <c r="B1695" t="s">
        <v>58</v>
      </c>
      <c r="C1695" t="s">
        <v>59</v>
      </c>
      <c r="D1695">
        <v>428933</v>
      </c>
    </row>
    <row r="1696" spans="1:4" x14ac:dyDescent="0.35">
      <c r="A1696" s="1">
        <v>2010</v>
      </c>
      <c r="B1696" t="s">
        <v>50</v>
      </c>
      <c r="C1696" t="s">
        <v>51</v>
      </c>
      <c r="D1696">
        <v>897628</v>
      </c>
    </row>
    <row r="1697" spans="1:4" x14ac:dyDescent="0.35">
      <c r="A1697" s="1">
        <v>2010</v>
      </c>
      <c r="B1697" t="s">
        <v>170</v>
      </c>
      <c r="C1697" t="s">
        <v>171</v>
      </c>
      <c r="D1697">
        <v>709700</v>
      </c>
    </row>
    <row r="1698" spans="1:4" x14ac:dyDescent="0.35">
      <c r="A1698" s="1">
        <v>2010</v>
      </c>
      <c r="B1698" t="s">
        <v>172</v>
      </c>
      <c r="C1698" t="s">
        <v>173</v>
      </c>
      <c r="D1698">
        <v>1243641</v>
      </c>
    </row>
    <row r="1699" spans="1:4" x14ac:dyDescent="0.35">
      <c r="A1699" s="1">
        <v>2010</v>
      </c>
      <c r="B1699" t="s">
        <v>174</v>
      </c>
      <c r="C1699" t="s">
        <v>175</v>
      </c>
      <c r="D1699">
        <v>188159</v>
      </c>
    </row>
    <row r="1700" spans="1:4" x14ac:dyDescent="0.35">
      <c r="A1700" s="1">
        <v>2010</v>
      </c>
      <c r="B1700" t="s">
        <v>150</v>
      </c>
      <c r="C1700" t="s">
        <v>151</v>
      </c>
      <c r="D1700">
        <v>1449245</v>
      </c>
    </row>
    <row r="1701" spans="1:4" x14ac:dyDescent="0.35">
      <c r="A1701" s="1">
        <v>2010</v>
      </c>
      <c r="B1701" t="s">
        <v>176</v>
      </c>
      <c r="C1701" t="s">
        <v>177</v>
      </c>
      <c r="D1701">
        <v>1044558</v>
      </c>
    </row>
    <row r="1702" spans="1:4" x14ac:dyDescent="0.35">
      <c r="A1702" s="1">
        <v>2010</v>
      </c>
      <c r="B1702" t="s">
        <v>52</v>
      </c>
      <c r="C1702" t="s">
        <v>53</v>
      </c>
      <c r="D1702">
        <v>988140</v>
      </c>
    </row>
    <row r="1703" spans="1:4" x14ac:dyDescent="0.35">
      <c r="A1703" s="1">
        <v>2010</v>
      </c>
      <c r="B1703" t="s">
        <v>60</v>
      </c>
      <c r="C1703" t="s">
        <v>61</v>
      </c>
      <c r="D1703">
        <v>231176</v>
      </c>
    </row>
    <row r="1704" spans="1:4" x14ac:dyDescent="0.35">
      <c r="A1704" s="1">
        <v>2010</v>
      </c>
      <c r="B1704" t="s">
        <v>62</v>
      </c>
      <c r="C1704" t="s">
        <v>63</v>
      </c>
      <c r="D1704">
        <v>590515</v>
      </c>
    </row>
    <row r="1705" spans="1:4" x14ac:dyDescent="0.35">
      <c r="A1705" s="1">
        <v>2010</v>
      </c>
      <c r="B1705" t="s">
        <v>18</v>
      </c>
      <c r="C1705" t="s">
        <v>19</v>
      </c>
      <c r="D1705">
        <v>1206374</v>
      </c>
    </row>
    <row r="1706" spans="1:4" x14ac:dyDescent="0.35">
      <c r="A1706" s="1">
        <v>2010</v>
      </c>
      <c r="B1706" t="s">
        <v>36</v>
      </c>
      <c r="C1706" t="s">
        <v>37</v>
      </c>
      <c r="D1706">
        <v>261534</v>
      </c>
    </row>
    <row r="1707" spans="1:4" x14ac:dyDescent="0.35">
      <c r="A1707" s="1">
        <v>2010</v>
      </c>
      <c r="B1707" t="s">
        <v>152</v>
      </c>
      <c r="C1707" t="s">
        <v>153</v>
      </c>
      <c r="D1707">
        <v>384320</v>
      </c>
    </row>
    <row r="1708" spans="1:4" x14ac:dyDescent="0.35">
      <c r="A1708" s="1">
        <v>2010</v>
      </c>
      <c r="B1708" t="s">
        <v>64</v>
      </c>
      <c r="C1708" t="s">
        <v>65</v>
      </c>
      <c r="D1708">
        <v>330079</v>
      </c>
    </row>
    <row r="1709" spans="1:4" x14ac:dyDescent="0.35">
      <c r="A1709" s="1">
        <v>2010</v>
      </c>
      <c r="B1709" t="s">
        <v>20</v>
      </c>
      <c r="C1709" t="s">
        <v>21</v>
      </c>
      <c r="D1709">
        <v>748947</v>
      </c>
    </row>
    <row r="1710" spans="1:4" x14ac:dyDescent="0.35">
      <c r="A1710" s="1">
        <v>2010</v>
      </c>
      <c r="B1710" t="s">
        <v>22</v>
      </c>
      <c r="C1710" t="s">
        <v>23</v>
      </c>
      <c r="D1710">
        <v>224006</v>
      </c>
    </row>
    <row r="1711" spans="1:4" x14ac:dyDescent="0.35">
      <c r="A1711" s="1">
        <v>2010</v>
      </c>
      <c r="B1711" t="s">
        <v>190</v>
      </c>
      <c r="C1711" t="s">
        <v>191</v>
      </c>
      <c r="D1711">
        <v>1282052</v>
      </c>
    </row>
    <row r="1712" spans="1:4" x14ac:dyDescent="0.35">
      <c r="A1712" s="1">
        <v>2010</v>
      </c>
      <c r="B1712" t="s">
        <v>66</v>
      </c>
      <c r="C1712" t="s">
        <v>67</v>
      </c>
      <c r="D1712">
        <v>656105</v>
      </c>
    </row>
    <row r="1713" spans="1:4" x14ac:dyDescent="0.35">
      <c r="A1713" s="1">
        <v>2010</v>
      </c>
      <c r="B1713" t="s">
        <v>178</v>
      </c>
      <c r="C1713" t="s">
        <v>179</v>
      </c>
      <c r="D1713">
        <v>174578</v>
      </c>
    </row>
    <row r="1714" spans="1:4" x14ac:dyDescent="0.35">
      <c r="A1714" s="1">
        <v>2010</v>
      </c>
      <c r="B1714" t="s">
        <v>154</v>
      </c>
      <c r="C1714" t="s">
        <v>155</v>
      </c>
      <c r="D1714">
        <v>331123</v>
      </c>
    </row>
    <row r="1715" spans="1:4" x14ac:dyDescent="0.35">
      <c r="A1715" s="1">
        <v>2010</v>
      </c>
      <c r="B1715" t="s">
        <v>180</v>
      </c>
      <c r="C1715" t="s">
        <v>181</v>
      </c>
      <c r="D1715">
        <v>77082</v>
      </c>
    </row>
    <row r="1716" spans="1:4" x14ac:dyDescent="0.35">
      <c r="A1716" s="1">
        <v>2010</v>
      </c>
      <c r="B1716" t="s">
        <v>192</v>
      </c>
      <c r="C1716" t="s">
        <v>193</v>
      </c>
      <c r="D1716">
        <v>784810</v>
      </c>
    </row>
    <row r="1717" spans="1:4" x14ac:dyDescent="0.35">
      <c r="A1717" s="1">
        <v>2010</v>
      </c>
      <c r="B1717" t="s">
        <v>134</v>
      </c>
      <c r="C1717" t="s">
        <v>135</v>
      </c>
      <c r="D1717">
        <v>498747</v>
      </c>
    </row>
    <row r="1718" spans="1:4" x14ac:dyDescent="0.35">
      <c r="A1718" s="1">
        <v>2010</v>
      </c>
      <c r="B1718" t="s">
        <v>88</v>
      </c>
      <c r="C1718" t="s">
        <v>89</v>
      </c>
      <c r="D1718">
        <v>565307</v>
      </c>
    </row>
    <row r="1719" spans="1:4" x14ac:dyDescent="0.35">
      <c r="A1719" s="1">
        <v>2010</v>
      </c>
      <c r="B1719" t="s">
        <v>90</v>
      </c>
      <c r="C1719" t="s">
        <v>91</v>
      </c>
      <c r="D1719">
        <v>184039</v>
      </c>
    </row>
    <row r="1720" spans="1:4" x14ac:dyDescent="0.35">
      <c r="A1720" s="1">
        <v>2010</v>
      </c>
      <c r="B1720" t="s">
        <v>194</v>
      </c>
      <c r="C1720" t="s">
        <v>195</v>
      </c>
      <c r="D1720">
        <v>306337</v>
      </c>
    </row>
    <row r="1721" spans="1:4" x14ac:dyDescent="0.35">
      <c r="A1721" s="1">
        <v>2010</v>
      </c>
      <c r="B1721" t="s">
        <v>92</v>
      </c>
      <c r="C1721" t="s">
        <v>93</v>
      </c>
      <c r="D1721">
        <v>732207</v>
      </c>
    </row>
    <row r="1722" spans="1:4" x14ac:dyDescent="0.35">
      <c r="A1722" s="1">
        <v>2010</v>
      </c>
      <c r="B1722" t="s">
        <v>94</v>
      </c>
      <c r="C1722" t="s">
        <v>95</v>
      </c>
      <c r="D1722">
        <v>193923</v>
      </c>
    </row>
    <row r="1723" spans="1:4" x14ac:dyDescent="0.35">
      <c r="A1723" s="1">
        <v>2010</v>
      </c>
      <c r="B1723" t="s">
        <v>54</v>
      </c>
      <c r="C1723" t="s">
        <v>55</v>
      </c>
      <c r="D1723">
        <v>721657</v>
      </c>
    </row>
    <row r="1724" spans="1:4" x14ac:dyDescent="0.35">
      <c r="A1724" s="1">
        <v>2010</v>
      </c>
      <c r="B1724" t="s">
        <v>96</v>
      </c>
      <c r="C1724" t="s">
        <v>97</v>
      </c>
      <c r="D1724">
        <v>1045066</v>
      </c>
    </row>
    <row r="1725" spans="1:4" x14ac:dyDescent="0.35">
      <c r="A1725" s="1">
        <v>2010</v>
      </c>
      <c r="B1725" t="s">
        <v>38</v>
      </c>
      <c r="C1725" t="s">
        <v>39</v>
      </c>
      <c r="D1725">
        <v>219584</v>
      </c>
    </row>
    <row r="1726" spans="1:4" x14ac:dyDescent="0.35">
      <c r="A1726" s="1">
        <v>2010</v>
      </c>
      <c r="B1726" t="s">
        <v>106</v>
      </c>
      <c r="C1726" t="s">
        <v>107</v>
      </c>
      <c r="D1726">
        <v>2576770</v>
      </c>
    </row>
    <row r="1727" spans="1:4" x14ac:dyDescent="0.35">
      <c r="A1727" s="1">
        <v>2010</v>
      </c>
      <c r="B1727" t="s">
        <v>108</v>
      </c>
      <c r="C1727" t="s">
        <v>109</v>
      </c>
      <c r="D1727">
        <v>803595</v>
      </c>
    </row>
    <row r="1728" spans="1:4" x14ac:dyDescent="0.35">
      <c r="A1728" s="1">
        <v>2010</v>
      </c>
      <c r="B1728" t="s">
        <v>136</v>
      </c>
      <c r="C1728" t="s">
        <v>137</v>
      </c>
      <c r="D1728">
        <v>291642</v>
      </c>
    </row>
    <row r="1729" spans="1:4" x14ac:dyDescent="0.35">
      <c r="A1729" s="1">
        <v>2010</v>
      </c>
      <c r="B1729" t="s">
        <v>110</v>
      </c>
      <c r="C1729" t="s">
        <v>111</v>
      </c>
      <c r="D1729">
        <v>1461387</v>
      </c>
    </row>
    <row r="1730" spans="1:4" x14ac:dyDescent="0.35">
      <c r="A1730" s="1">
        <v>2010</v>
      </c>
      <c r="B1730" t="s">
        <v>24</v>
      </c>
      <c r="C1730" t="s">
        <v>25</v>
      </c>
      <c r="D1730">
        <v>632311</v>
      </c>
    </row>
    <row r="1731" spans="1:4" x14ac:dyDescent="0.35">
      <c r="A1731" s="1">
        <v>2010</v>
      </c>
      <c r="B1731" t="s">
        <v>156</v>
      </c>
      <c r="C1731" t="s">
        <v>157</v>
      </c>
      <c r="D1731">
        <v>653515</v>
      </c>
    </row>
    <row r="1732" spans="1:4" x14ac:dyDescent="0.35">
      <c r="A1732" s="1">
        <v>2010</v>
      </c>
      <c r="B1732" t="s">
        <v>182</v>
      </c>
      <c r="C1732" t="s">
        <v>183</v>
      </c>
      <c r="D1732">
        <v>229458</v>
      </c>
    </row>
    <row r="1733" spans="1:4" x14ac:dyDescent="0.35">
      <c r="A1733" s="1">
        <v>2010</v>
      </c>
      <c r="B1733" t="s">
        <v>184</v>
      </c>
      <c r="C1733" t="s">
        <v>185</v>
      </c>
      <c r="D1733">
        <v>448543</v>
      </c>
    </row>
    <row r="1734" spans="1:4" x14ac:dyDescent="0.35">
      <c r="A1734" s="1">
        <v>2010</v>
      </c>
      <c r="B1734" t="s">
        <v>98</v>
      </c>
      <c r="C1734" t="s">
        <v>99</v>
      </c>
      <c r="D1734">
        <v>1095905</v>
      </c>
    </row>
    <row r="1735" spans="1:4" x14ac:dyDescent="0.35">
      <c r="A1735" s="1">
        <v>2010</v>
      </c>
      <c r="B1735" t="s">
        <v>100</v>
      </c>
      <c r="C1735" t="s">
        <v>101</v>
      </c>
      <c r="D1735">
        <v>749782</v>
      </c>
    </row>
    <row r="1736" spans="1:4" x14ac:dyDescent="0.35">
      <c r="A1736" s="1">
        <v>2010</v>
      </c>
      <c r="B1736" t="s">
        <v>26</v>
      </c>
      <c r="C1736" t="s">
        <v>27</v>
      </c>
      <c r="D1736">
        <v>1725177</v>
      </c>
    </row>
    <row r="1737" spans="1:4" x14ac:dyDescent="0.35">
      <c r="A1737" s="1">
        <v>2010</v>
      </c>
      <c r="B1737" t="s">
        <v>40</v>
      </c>
      <c r="C1737" t="s">
        <v>41</v>
      </c>
      <c r="D1737">
        <v>239548</v>
      </c>
    </row>
    <row r="1738" spans="1:4" x14ac:dyDescent="0.35">
      <c r="A1738" s="1">
        <v>2010</v>
      </c>
      <c r="B1738" t="s">
        <v>42</v>
      </c>
      <c r="C1738" t="s">
        <v>43</v>
      </c>
      <c r="D1738">
        <v>555663</v>
      </c>
    </row>
    <row r="1739" spans="1:4" x14ac:dyDescent="0.35">
      <c r="A1739" s="1">
        <v>2010</v>
      </c>
      <c r="B1739" t="s">
        <v>196</v>
      </c>
      <c r="C1739" t="s">
        <v>197</v>
      </c>
      <c r="D1739">
        <v>563518</v>
      </c>
    </row>
    <row r="1740" spans="1:4" x14ac:dyDescent="0.35">
      <c r="A1740" s="1">
        <v>2010</v>
      </c>
      <c r="B1740" t="s">
        <v>28</v>
      </c>
      <c r="C1740" t="s">
        <v>29</v>
      </c>
      <c r="D1740">
        <v>414959</v>
      </c>
    </row>
    <row r="1741" spans="1:4" x14ac:dyDescent="0.35">
      <c r="A1741" s="1">
        <v>2010</v>
      </c>
      <c r="B1741" t="s">
        <v>30</v>
      </c>
      <c r="C1741" t="s">
        <v>31</v>
      </c>
      <c r="D1741">
        <v>738088</v>
      </c>
    </row>
    <row r="1742" spans="1:4" x14ac:dyDescent="0.35">
      <c r="A1742" s="1">
        <v>2010</v>
      </c>
      <c r="B1742" t="s">
        <v>114</v>
      </c>
      <c r="C1742" t="s">
        <v>115</v>
      </c>
      <c r="D1742">
        <v>2243833</v>
      </c>
    </row>
    <row r="1743" spans="1:4" x14ac:dyDescent="0.35">
      <c r="A1743" s="1">
        <v>2010</v>
      </c>
      <c r="B1743" t="s">
        <v>138</v>
      </c>
      <c r="C1743" t="s">
        <v>139</v>
      </c>
      <c r="D1743">
        <v>1250411</v>
      </c>
    </row>
    <row r="1744" spans="1:4" x14ac:dyDescent="0.35">
      <c r="A1744" s="1">
        <v>2010</v>
      </c>
      <c r="B1744" t="s">
        <v>116</v>
      </c>
      <c r="C1744" t="s">
        <v>117</v>
      </c>
      <c r="D1744">
        <v>1324865</v>
      </c>
    </row>
    <row r="1745" spans="1:4" x14ac:dyDescent="0.35">
      <c r="A1745" s="1">
        <v>2010</v>
      </c>
      <c r="B1745" t="s">
        <v>118</v>
      </c>
      <c r="C1745" t="s">
        <v>119</v>
      </c>
      <c r="D1745">
        <v>1408765</v>
      </c>
    </row>
    <row r="1746" spans="1:4" x14ac:dyDescent="0.35">
      <c r="A1746" s="1">
        <v>2010</v>
      </c>
      <c r="B1746" t="s">
        <v>158</v>
      </c>
      <c r="C1746" t="s">
        <v>159</v>
      </c>
      <c r="D1746">
        <v>369270</v>
      </c>
    </row>
    <row r="1747" spans="1:4" x14ac:dyDescent="0.35">
      <c r="A1747" s="1">
        <v>2010</v>
      </c>
      <c r="B1747" t="s">
        <v>112</v>
      </c>
      <c r="C1747" t="s">
        <v>113</v>
      </c>
      <c r="D1747">
        <v>570741</v>
      </c>
    </row>
    <row r="1748" spans="1:4" x14ac:dyDescent="0.35">
      <c r="A1748" s="1">
        <v>2010</v>
      </c>
      <c r="B1748" t="s">
        <v>186</v>
      </c>
      <c r="C1748" t="s">
        <v>187</v>
      </c>
      <c r="D1748">
        <v>375379</v>
      </c>
    </row>
    <row r="1749" spans="1:4" x14ac:dyDescent="0.35">
      <c r="A1749" s="1">
        <v>2010</v>
      </c>
      <c r="B1749" t="s">
        <v>188</v>
      </c>
      <c r="C1749" t="s">
        <v>189</v>
      </c>
      <c r="D1749">
        <v>241698</v>
      </c>
    </row>
    <row r="1750" spans="1:4" x14ac:dyDescent="0.35">
      <c r="A1750" s="1">
        <v>2010</v>
      </c>
      <c r="B1750" t="s">
        <v>208</v>
      </c>
      <c r="C1750" t="s">
        <v>209</v>
      </c>
      <c r="D1750">
        <v>1008183</v>
      </c>
    </row>
    <row r="1751" spans="1:4" x14ac:dyDescent="0.35">
      <c r="A1751" s="1">
        <v>2010</v>
      </c>
      <c r="B1751" t="s">
        <v>210</v>
      </c>
      <c r="C1751" t="s">
        <v>211</v>
      </c>
      <c r="D1751">
        <v>543105</v>
      </c>
    </row>
    <row r="1752" spans="1:4" x14ac:dyDescent="0.35">
      <c r="A1752" s="1">
        <v>2010</v>
      </c>
      <c r="B1752" t="s">
        <v>198</v>
      </c>
      <c r="C1752" t="s">
        <v>199</v>
      </c>
      <c r="D1752">
        <v>634778</v>
      </c>
    </row>
    <row r="1753" spans="1:4" x14ac:dyDescent="0.35">
      <c r="A1753" s="1">
        <v>2010</v>
      </c>
      <c r="B1753" t="s">
        <v>160</v>
      </c>
      <c r="C1753" t="s">
        <v>161</v>
      </c>
      <c r="D1753">
        <v>427193</v>
      </c>
    </row>
    <row r="1754" spans="1:4" x14ac:dyDescent="0.35">
      <c r="A1754" s="1">
        <v>2010</v>
      </c>
      <c r="B1754" t="s">
        <v>162</v>
      </c>
      <c r="C1754" t="s">
        <v>163</v>
      </c>
      <c r="D1754">
        <v>376191</v>
      </c>
    </row>
    <row r="1755" spans="1:4" x14ac:dyDescent="0.35">
      <c r="A1755" s="1">
        <v>2010</v>
      </c>
      <c r="B1755" t="s">
        <v>102</v>
      </c>
      <c r="C1755" t="s">
        <v>103</v>
      </c>
      <c r="D1755">
        <v>379724</v>
      </c>
    </row>
    <row r="1756" spans="1:4" x14ac:dyDescent="0.35">
      <c r="A1756" s="1">
        <v>2010</v>
      </c>
      <c r="B1756" t="s">
        <v>44</v>
      </c>
      <c r="C1756" t="s">
        <v>45</v>
      </c>
      <c r="D1756">
        <v>342510</v>
      </c>
    </row>
    <row r="1757" spans="1:4" x14ac:dyDescent="0.35">
      <c r="A1757" s="1">
        <v>2010</v>
      </c>
      <c r="B1757" t="s">
        <v>46</v>
      </c>
      <c r="C1757" t="s">
        <v>221</v>
      </c>
      <c r="D1757">
        <v>142911</v>
      </c>
    </row>
    <row r="1758" spans="1:4" x14ac:dyDescent="0.35">
      <c r="A1758" s="1">
        <v>2010</v>
      </c>
      <c r="B1758" t="s">
        <v>120</v>
      </c>
      <c r="C1758" t="s">
        <v>121</v>
      </c>
      <c r="D1758">
        <v>1215340</v>
      </c>
    </row>
    <row r="1759" spans="1:4" x14ac:dyDescent="0.35">
      <c r="A1759" s="1">
        <v>2010</v>
      </c>
      <c r="B1759" t="s">
        <v>122</v>
      </c>
      <c r="C1759" t="s">
        <v>222</v>
      </c>
      <c r="D1759">
        <v>1572490</v>
      </c>
    </row>
    <row r="1760" spans="1:4" x14ac:dyDescent="0.35">
      <c r="A1760" s="1">
        <v>2010</v>
      </c>
      <c r="B1760" t="s">
        <v>124</v>
      </c>
      <c r="C1760" t="s">
        <v>125</v>
      </c>
      <c r="D1760">
        <v>1522048</v>
      </c>
    </row>
    <row r="1761" spans="1:4" x14ac:dyDescent="0.35">
      <c r="A1761" s="1">
        <v>2010</v>
      </c>
      <c r="B1761" t="s">
        <v>126</v>
      </c>
      <c r="C1761" t="s">
        <v>127</v>
      </c>
      <c r="D1761">
        <v>1327732</v>
      </c>
    </row>
    <row r="1762" spans="1:4" x14ac:dyDescent="0.35">
      <c r="A1762" s="1">
        <v>2010</v>
      </c>
      <c r="B1762" t="s">
        <v>128</v>
      </c>
      <c r="C1762" t="s">
        <v>129</v>
      </c>
      <c r="D1762">
        <v>1171161</v>
      </c>
    </row>
    <row r="1763" spans="1:4" x14ac:dyDescent="0.35">
      <c r="A1763" s="1">
        <v>2010</v>
      </c>
      <c r="B1763" t="s">
        <v>223</v>
      </c>
      <c r="D1763">
        <v>62765235</v>
      </c>
    </row>
    <row r="1764" spans="1:4" x14ac:dyDescent="0.35">
      <c r="A1764" s="1">
        <v>2010</v>
      </c>
      <c r="B1764">
        <v>971</v>
      </c>
      <c r="C1764" t="s">
        <v>224</v>
      </c>
      <c r="D1764">
        <v>403355</v>
      </c>
    </row>
    <row r="1765" spans="1:4" x14ac:dyDescent="0.35">
      <c r="A1765" s="1">
        <v>2010</v>
      </c>
      <c r="B1765">
        <v>972</v>
      </c>
      <c r="C1765" t="s">
        <v>225</v>
      </c>
      <c r="D1765">
        <v>394173</v>
      </c>
    </row>
    <row r="1766" spans="1:4" x14ac:dyDescent="0.35">
      <c r="A1766" s="1">
        <v>2010</v>
      </c>
      <c r="B1766">
        <v>973</v>
      </c>
      <c r="C1766" t="s">
        <v>77</v>
      </c>
      <c r="D1766">
        <v>229040</v>
      </c>
    </row>
    <row r="1767" spans="1:4" x14ac:dyDescent="0.35">
      <c r="A1767" s="1">
        <v>2010</v>
      </c>
      <c r="B1767">
        <v>974</v>
      </c>
      <c r="C1767" t="s">
        <v>79</v>
      </c>
      <c r="D1767">
        <v>821136</v>
      </c>
    </row>
    <row r="1768" spans="1:4" x14ac:dyDescent="0.35">
      <c r="A1768" s="1">
        <v>2010</v>
      </c>
      <c r="B1768" t="s">
        <v>226</v>
      </c>
      <c r="D1768">
        <v>1847704</v>
      </c>
    </row>
    <row r="1769" spans="1:4" x14ac:dyDescent="0.35">
      <c r="A1769" s="1">
        <v>2010</v>
      </c>
      <c r="B1769" t="s">
        <v>227</v>
      </c>
      <c r="D1769">
        <v>64612939</v>
      </c>
    </row>
    <row r="1770" spans="1:4" x14ac:dyDescent="0.35">
      <c r="A1770" s="1">
        <v>2010</v>
      </c>
    </row>
    <row r="1771" spans="1:4" x14ac:dyDescent="0.35">
      <c r="A1771" s="1">
        <v>2010</v>
      </c>
      <c r="B1771" t="s">
        <v>240</v>
      </c>
    </row>
    <row r="1772" spans="1:4" x14ac:dyDescent="0.35">
      <c r="A1772" s="1">
        <v>2009</v>
      </c>
      <c r="B1772" t="s">
        <v>251</v>
      </c>
    </row>
    <row r="1773" spans="1:4" x14ac:dyDescent="0.35">
      <c r="A1773" s="1">
        <v>2009</v>
      </c>
      <c r="B1773" t="s">
        <v>253</v>
      </c>
    </row>
    <row r="1774" spans="1:4" x14ac:dyDescent="0.35">
      <c r="A1774" s="1">
        <v>2009</v>
      </c>
    </row>
    <row r="1775" spans="1:4" x14ac:dyDescent="0.35">
      <c r="A1775" s="1">
        <v>2009</v>
      </c>
      <c r="B1775" t="s">
        <v>231</v>
      </c>
    </row>
    <row r="1776" spans="1:4" x14ac:dyDescent="0.35">
      <c r="A1776" s="1">
        <v>2009</v>
      </c>
      <c r="D1776" t="s">
        <v>232</v>
      </c>
    </row>
    <row r="1777" spans="1:4" x14ac:dyDescent="0.35">
      <c r="A1777" s="1">
        <v>2009</v>
      </c>
      <c r="B1777" t="s">
        <v>5</v>
      </c>
      <c r="C1777" t="s">
        <v>6</v>
      </c>
      <c r="D1777">
        <v>588853</v>
      </c>
    </row>
    <row r="1778" spans="1:4" x14ac:dyDescent="0.35">
      <c r="A1778" s="1">
        <v>2009</v>
      </c>
      <c r="B1778" t="s">
        <v>104</v>
      </c>
      <c r="C1778" t="s">
        <v>105</v>
      </c>
      <c r="D1778">
        <v>539870</v>
      </c>
    </row>
    <row r="1779" spans="1:4" x14ac:dyDescent="0.35">
      <c r="A1779" s="1">
        <v>2009</v>
      </c>
      <c r="B1779" t="s">
        <v>10</v>
      </c>
      <c r="C1779" t="s">
        <v>11</v>
      </c>
      <c r="D1779">
        <v>343046</v>
      </c>
    </row>
    <row r="1780" spans="1:4" x14ac:dyDescent="0.35">
      <c r="A1780" s="1">
        <v>2009</v>
      </c>
      <c r="B1780" t="s">
        <v>200</v>
      </c>
      <c r="C1780" t="s">
        <v>201</v>
      </c>
      <c r="D1780">
        <v>159450</v>
      </c>
    </row>
    <row r="1781" spans="1:4" x14ac:dyDescent="0.35">
      <c r="A1781" s="1">
        <v>2009</v>
      </c>
      <c r="B1781" t="s">
        <v>202</v>
      </c>
      <c r="C1781" t="s">
        <v>203</v>
      </c>
      <c r="D1781">
        <v>135836</v>
      </c>
    </row>
    <row r="1782" spans="1:4" x14ac:dyDescent="0.35">
      <c r="A1782" s="1">
        <v>2009</v>
      </c>
      <c r="B1782" t="s">
        <v>204</v>
      </c>
      <c r="C1782" t="s">
        <v>205</v>
      </c>
      <c r="D1782">
        <v>1079100</v>
      </c>
    </row>
    <row r="1783" spans="1:4" x14ac:dyDescent="0.35">
      <c r="A1783" s="1">
        <v>2009</v>
      </c>
      <c r="B1783" t="s">
        <v>12</v>
      </c>
      <c r="C1783" t="s">
        <v>13</v>
      </c>
      <c r="D1783">
        <v>313578</v>
      </c>
    </row>
    <row r="1784" spans="1:4" x14ac:dyDescent="0.35">
      <c r="A1784" s="1">
        <v>2009</v>
      </c>
      <c r="B1784" t="s">
        <v>84</v>
      </c>
      <c r="C1784" t="s">
        <v>85</v>
      </c>
      <c r="D1784">
        <v>283296</v>
      </c>
    </row>
    <row r="1785" spans="1:4" x14ac:dyDescent="0.35">
      <c r="A1785" s="1">
        <v>2009</v>
      </c>
      <c r="B1785" t="s">
        <v>164</v>
      </c>
      <c r="C1785" t="s">
        <v>165</v>
      </c>
      <c r="D1785">
        <v>151117</v>
      </c>
    </row>
    <row r="1786" spans="1:4" x14ac:dyDescent="0.35">
      <c r="A1786" s="1">
        <v>2009</v>
      </c>
      <c r="B1786" t="s">
        <v>86</v>
      </c>
      <c r="C1786" t="s">
        <v>87</v>
      </c>
      <c r="D1786">
        <v>303298</v>
      </c>
    </row>
    <row r="1787" spans="1:4" x14ac:dyDescent="0.35">
      <c r="A1787" s="1">
        <v>2009</v>
      </c>
      <c r="B1787" t="s">
        <v>166</v>
      </c>
      <c r="C1787" t="s">
        <v>167</v>
      </c>
      <c r="D1787">
        <v>353980</v>
      </c>
    </row>
    <row r="1788" spans="1:4" x14ac:dyDescent="0.35">
      <c r="A1788" s="1">
        <v>2009</v>
      </c>
      <c r="B1788" t="s">
        <v>168</v>
      </c>
      <c r="C1788" t="s">
        <v>169</v>
      </c>
      <c r="D1788">
        <v>277048</v>
      </c>
    </row>
    <row r="1789" spans="1:4" x14ac:dyDescent="0.35">
      <c r="A1789" s="1">
        <v>2009</v>
      </c>
      <c r="B1789" t="s">
        <v>206</v>
      </c>
      <c r="C1789" t="s">
        <v>207</v>
      </c>
      <c r="D1789">
        <v>1967299</v>
      </c>
    </row>
    <row r="1790" spans="1:4" x14ac:dyDescent="0.35">
      <c r="A1790" s="1">
        <v>2009</v>
      </c>
      <c r="B1790" t="s">
        <v>130</v>
      </c>
      <c r="C1790" t="s">
        <v>131</v>
      </c>
      <c r="D1790">
        <v>680908</v>
      </c>
    </row>
    <row r="1791" spans="1:4" x14ac:dyDescent="0.35">
      <c r="A1791" s="1">
        <v>2009</v>
      </c>
      <c r="B1791" t="s">
        <v>14</v>
      </c>
      <c r="C1791" t="s">
        <v>15</v>
      </c>
      <c r="D1791">
        <v>148380</v>
      </c>
    </row>
    <row r="1792" spans="1:4" x14ac:dyDescent="0.35">
      <c r="A1792" s="1">
        <v>2009</v>
      </c>
      <c r="B1792" t="s">
        <v>140</v>
      </c>
      <c r="C1792" t="s">
        <v>141</v>
      </c>
      <c r="D1792">
        <v>351563</v>
      </c>
    </row>
    <row r="1793" spans="1:4" x14ac:dyDescent="0.35">
      <c r="A1793" s="1">
        <v>2009</v>
      </c>
      <c r="B1793" t="s">
        <v>142</v>
      </c>
      <c r="C1793" t="s">
        <v>143</v>
      </c>
      <c r="D1793">
        <v>616607</v>
      </c>
    </row>
    <row r="1794" spans="1:4" x14ac:dyDescent="0.35">
      <c r="A1794" s="1">
        <v>2009</v>
      </c>
      <c r="B1794" t="s">
        <v>56</v>
      </c>
      <c r="C1794" t="s">
        <v>57</v>
      </c>
      <c r="D1794">
        <v>311022</v>
      </c>
    </row>
    <row r="1795" spans="1:4" x14ac:dyDescent="0.35">
      <c r="A1795" s="1">
        <v>2009</v>
      </c>
      <c r="B1795" t="s">
        <v>144</v>
      </c>
      <c r="C1795" t="s">
        <v>145</v>
      </c>
      <c r="D1795">
        <v>243352</v>
      </c>
    </row>
    <row r="1796" spans="1:4" x14ac:dyDescent="0.35">
      <c r="A1796" s="1">
        <v>2009</v>
      </c>
      <c r="B1796" t="s">
        <v>68</v>
      </c>
      <c r="C1796" t="s">
        <v>69</v>
      </c>
      <c r="D1796">
        <v>141330</v>
      </c>
    </row>
    <row r="1797" spans="1:4" x14ac:dyDescent="0.35">
      <c r="A1797" s="1">
        <v>2009</v>
      </c>
      <c r="B1797" t="s">
        <v>70</v>
      </c>
      <c r="C1797" t="s">
        <v>71</v>
      </c>
      <c r="D1797">
        <v>164344</v>
      </c>
    </row>
    <row r="1798" spans="1:4" x14ac:dyDescent="0.35">
      <c r="A1798" s="1">
        <v>2009</v>
      </c>
      <c r="B1798" t="s">
        <v>32</v>
      </c>
      <c r="C1798" t="s">
        <v>219</v>
      </c>
      <c r="D1798">
        <v>524144</v>
      </c>
    </row>
    <row r="1799" spans="1:4" x14ac:dyDescent="0.35">
      <c r="A1799" s="1">
        <v>2009</v>
      </c>
      <c r="B1799" t="s">
        <v>48</v>
      </c>
      <c r="C1799" t="s">
        <v>220</v>
      </c>
      <c r="D1799">
        <v>587519</v>
      </c>
    </row>
    <row r="1800" spans="1:4" x14ac:dyDescent="0.35">
      <c r="A1800" s="1">
        <v>2009</v>
      </c>
      <c r="B1800" t="s">
        <v>146</v>
      </c>
      <c r="C1800" t="s">
        <v>147</v>
      </c>
      <c r="D1800">
        <v>123584</v>
      </c>
    </row>
    <row r="1801" spans="1:4" x14ac:dyDescent="0.35">
      <c r="A1801" s="1">
        <v>2009</v>
      </c>
      <c r="B1801" t="s">
        <v>148</v>
      </c>
      <c r="C1801" t="s">
        <v>149</v>
      </c>
      <c r="D1801">
        <v>412082</v>
      </c>
    </row>
    <row r="1802" spans="1:4" x14ac:dyDescent="0.35">
      <c r="A1802" s="1">
        <v>2009</v>
      </c>
      <c r="B1802" t="s">
        <v>34</v>
      </c>
      <c r="C1802" t="s">
        <v>35</v>
      </c>
      <c r="D1802">
        <v>525276</v>
      </c>
    </row>
    <row r="1803" spans="1:4" x14ac:dyDescent="0.35">
      <c r="A1803" s="1">
        <v>2009</v>
      </c>
      <c r="B1803" t="s">
        <v>16</v>
      </c>
      <c r="C1803" t="s">
        <v>17</v>
      </c>
      <c r="D1803">
        <v>482984</v>
      </c>
    </row>
    <row r="1804" spans="1:4" x14ac:dyDescent="0.35">
      <c r="A1804" s="1">
        <v>2009</v>
      </c>
      <c r="B1804" t="s">
        <v>132</v>
      </c>
      <c r="C1804" t="s">
        <v>133</v>
      </c>
      <c r="D1804">
        <v>582822</v>
      </c>
    </row>
    <row r="1805" spans="1:4" x14ac:dyDescent="0.35">
      <c r="A1805" s="1">
        <v>2009</v>
      </c>
      <c r="B1805" t="s">
        <v>58</v>
      </c>
      <c r="C1805" t="s">
        <v>59</v>
      </c>
      <c r="D1805">
        <v>425502</v>
      </c>
    </row>
    <row r="1806" spans="1:4" x14ac:dyDescent="0.35">
      <c r="A1806" s="1">
        <v>2009</v>
      </c>
      <c r="B1806" t="s">
        <v>50</v>
      </c>
      <c r="C1806" t="s">
        <v>51</v>
      </c>
      <c r="D1806">
        <v>893914</v>
      </c>
    </row>
    <row r="1807" spans="1:4" x14ac:dyDescent="0.35">
      <c r="A1807" s="1">
        <v>2009</v>
      </c>
      <c r="B1807" t="s">
        <v>170</v>
      </c>
      <c r="C1807" t="s">
        <v>171</v>
      </c>
      <c r="D1807">
        <v>701883</v>
      </c>
    </row>
    <row r="1808" spans="1:4" x14ac:dyDescent="0.35">
      <c r="A1808" s="1">
        <v>2009</v>
      </c>
      <c r="B1808" t="s">
        <v>172</v>
      </c>
      <c r="C1808" t="s">
        <v>173</v>
      </c>
      <c r="D1808">
        <v>1230820</v>
      </c>
    </row>
    <row r="1809" spans="1:4" x14ac:dyDescent="0.35">
      <c r="A1809" s="1">
        <v>2009</v>
      </c>
      <c r="B1809" t="s">
        <v>174</v>
      </c>
      <c r="C1809" t="s">
        <v>175</v>
      </c>
      <c r="D1809">
        <v>187181</v>
      </c>
    </row>
    <row r="1810" spans="1:4" x14ac:dyDescent="0.35">
      <c r="A1810" s="1">
        <v>2009</v>
      </c>
      <c r="B1810" t="s">
        <v>150</v>
      </c>
      <c r="C1810" t="s">
        <v>151</v>
      </c>
      <c r="D1810">
        <v>1434661</v>
      </c>
    </row>
    <row r="1811" spans="1:4" x14ac:dyDescent="0.35">
      <c r="A1811" s="1">
        <v>2009</v>
      </c>
      <c r="B1811" t="s">
        <v>176</v>
      </c>
      <c r="C1811" t="s">
        <v>177</v>
      </c>
      <c r="D1811">
        <v>1031974</v>
      </c>
    </row>
    <row r="1812" spans="1:4" x14ac:dyDescent="0.35">
      <c r="A1812" s="1">
        <v>2009</v>
      </c>
      <c r="B1812" t="s">
        <v>52</v>
      </c>
      <c r="C1812" t="s">
        <v>53</v>
      </c>
      <c r="D1812">
        <v>977449</v>
      </c>
    </row>
    <row r="1813" spans="1:4" x14ac:dyDescent="0.35">
      <c r="A1813" s="1">
        <v>2009</v>
      </c>
      <c r="B1813" t="s">
        <v>60</v>
      </c>
      <c r="C1813" t="s">
        <v>61</v>
      </c>
      <c r="D1813">
        <v>232268</v>
      </c>
    </row>
    <row r="1814" spans="1:4" x14ac:dyDescent="0.35">
      <c r="A1814" s="1">
        <v>2009</v>
      </c>
      <c r="B1814" t="s">
        <v>62</v>
      </c>
      <c r="C1814" t="s">
        <v>63</v>
      </c>
      <c r="D1814">
        <v>588420</v>
      </c>
    </row>
    <row r="1815" spans="1:4" x14ac:dyDescent="0.35">
      <c r="A1815" s="1">
        <v>2009</v>
      </c>
      <c r="B1815" t="s">
        <v>18</v>
      </c>
      <c r="C1815" t="s">
        <v>19</v>
      </c>
      <c r="D1815">
        <v>1197038</v>
      </c>
    </row>
    <row r="1816" spans="1:4" x14ac:dyDescent="0.35">
      <c r="A1816" s="1">
        <v>2009</v>
      </c>
      <c r="B1816" t="s">
        <v>36</v>
      </c>
      <c r="C1816" t="s">
        <v>37</v>
      </c>
      <c r="D1816">
        <v>261277</v>
      </c>
    </row>
    <row r="1817" spans="1:4" x14ac:dyDescent="0.35">
      <c r="A1817" s="1">
        <v>2009</v>
      </c>
      <c r="B1817" t="s">
        <v>152</v>
      </c>
      <c r="C1817" t="s">
        <v>153</v>
      </c>
      <c r="D1817">
        <v>379341</v>
      </c>
    </row>
    <row r="1818" spans="1:4" x14ac:dyDescent="0.35">
      <c r="A1818" s="1">
        <v>2009</v>
      </c>
      <c r="B1818" t="s">
        <v>64</v>
      </c>
      <c r="C1818" t="s">
        <v>65</v>
      </c>
      <c r="D1818">
        <v>327868</v>
      </c>
    </row>
    <row r="1819" spans="1:4" x14ac:dyDescent="0.35">
      <c r="A1819" s="1">
        <v>2009</v>
      </c>
      <c r="B1819" t="s">
        <v>20</v>
      </c>
      <c r="C1819" t="s">
        <v>21</v>
      </c>
      <c r="D1819">
        <v>746115</v>
      </c>
    </row>
    <row r="1820" spans="1:4" x14ac:dyDescent="0.35">
      <c r="A1820" s="1">
        <v>2009</v>
      </c>
      <c r="B1820" t="s">
        <v>22</v>
      </c>
      <c r="C1820" t="s">
        <v>23</v>
      </c>
      <c r="D1820">
        <v>223122</v>
      </c>
    </row>
    <row r="1821" spans="1:4" x14ac:dyDescent="0.35">
      <c r="A1821" s="1">
        <v>2009</v>
      </c>
      <c r="B1821" t="s">
        <v>190</v>
      </c>
      <c r="C1821" t="s">
        <v>191</v>
      </c>
      <c r="D1821">
        <v>1266358</v>
      </c>
    </row>
    <row r="1822" spans="1:4" x14ac:dyDescent="0.35">
      <c r="A1822" s="1">
        <v>2009</v>
      </c>
      <c r="B1822" t="s">
        <v>66</v>
      </c>
      <c r="C1822" t="s">
        <v>67</v>
      </c>
      <c r="D1822">
        <v>653510</v>
      </c>
    </row>
    <row r="1823" spans="1:4" x14ac:dyDescent="0.35">
      <c r="A1823" s="1">
        <v>2009</v>
      </c>
      <c r="B1823" t="s">
        <v>178</v>
      </c>
      <c r="C1823" t="s">
        <v>179</v>
      </c>
      <c r="D1823">
        <v>173562</v>
      </c>
    </row>
    <row r="1824" spans="1:4" x14ac:dyDescent="0.35">
      <c r="A1824" s="1">
        <v>2009</v>
      </c>
      <c r="B1824" t="s">
        <v>154</v>
      </c>
      <c r="C1824" t="s">
        <v>155</v>
      </c>
      <c r="D1824">
        <v>329697</v>
      </c>
    </row>
    <row r="1825" spans="1:4" x14ac:dyDescent="0.35">
      <c r="A1825" s="1">
        <v>2009</v>
      </c>
      <c r="B1825" t="s">
        <v>180</v>
      </c>
      <c r="C1825" t="s">
        <v>181</v>
      </c>
      <c r="D1825">
        <v>77163</v>
      </c>
    </row>
    <row r="1826" spans="1:4" x14ac:dyDescent="0.35">
      <c r="A1826" s="1">
        <v>2009</v>
      </c>
      <c r="B1826" t="s">
        <v>192</v>
      </c>
      <c r="C1826" t="s">
        <v>193</v>
      </c>
      <c r="D1826">
        <v>780082</v>
      </c>
    </row>
    <row r="1827" spans="1:4" x14ac:dyDescent="0.35">
      <c r="A1827" s="1">
        <v>2009</v>
      </c>
      <c r="B1827" t="s">
        <v>134</v>
      </c>
      <c r="C1827" t="s">
        <v>135</v>
      </c>
      <c r="D1827">
        <v>497762</v>
      </c>
    </row>
    <row r="1828" spans="1:4" x14ac:dyDescent="0.35">
      <c r="A1828" s="1">
        <v>2009</v>
      </c>
      <c r="B1828" t="s">
        <v>88</v>
      </c>
      <c r="C1828" t="s">
        <v>89</v>
      </c>
      <c r="D1828">
        <v>566145</v>
      </c>
    </row>
    <row r="1829" spans="1:4" x14ac:dyDescent="0.35">
      <c r="A1829" s="1">
        <v>2009</v>
      </c>
      <c r="B1829" t="s">
        <v>90</v>
      </c>
      <c r="C1829" t="s">
        <v>91</v>
      </c>
      <c r="D1829">
        <v>185214</v>
      </c>
    </row>
    <row r="1830" spans="1:4" x14ac:dyDescent="0.35">
      <c r="A1830" s="1">
        <v>2009</v>
      </c>
      <c r="B1830" t="s">
        <v>194</v>
      </c>
      <c r="C1830" t="s">
        <v>195</v>
      </c>
      <c r="D1830">
        <v>305147</v>
      </c>
    </row>
    <row r="1831" spans="1:4" x14ac:dyDescent="0.35">
      <c r="A1831" s="1">
        <v>2009</v>
      </c>
      <c r="B1831" t="s">
        <v>92</v>
      </c>
      <c r="C1831" t="s">
        <v>93</v>
      </c>
      <c r="D1831">
        <v>731019</v>
      </c>
    </row>
    <row r="1832" spans="1:4" x14ac:dyDescent="0.35">
      <c r="A1832" s="1">
        <v>2009</v>
      </c>
      <c r="B1832" t="s">
        <v>94</v>
      </c>
      <c r="C1832" t="s">
        <v>95</v>
      </c>
      <c r="D1832">
        <v>194003</v>
      </c>
    </row>
    <row r="1833" spans="1:4" x14ac:dyDescent="0.35">
      <c r="A1833" s="1">
        <v>2009</v>
      </c>
      <c r="B1833" t="s">
        <v>54</v>
      </c>
      <c r="C1833" t="s">
        <v>55</v>
      </c>
      <c r="D1833">
        <v>716182</v>
      </c>
    </row>
    <row r="1834" spans="1:4" x14ac:dyDescent="0.35">
      <c r="A1834" s="1">
        <v>2009</v>
      </c>
      <c r="B1834" t="s">
        <v>96</v>
      </c>
      <c r="C1834" t="s">
        <v>97</v>
      </c>
      <c r="D1834">
        <v>1044898</v>
      </c>
    </row>
    <row r="1835" spans="1:4" x14ac:dyDescent="0.35">
      <c r="A1835" s="1">
        <v>2009</v>
      </c>
      <c r="B1835" t="s">
        <v>38</v>
      </c>
      <c r="C1835" t="s">
        <v>39</v>
      </c>
      <c r="D1835">
        <v>220199</v>
      </c>
    </row>
    <row r="1836" spans="1:4" x14ac:dyDescent="0.35">
      <c r="A1836" s="1">
        <v>2009</v>
      </c>
      <c r="B1836" t="s">
        <v>106</v>
      </c>
      <c r="C1836" t="s">
        <v>107</v>
      </c>
      <c r="D1836">
        <v>2571940</v>
      </c>
    </row>
    <row r="1837" spans="1:4" x14ac:dyDescent="0.35">
      <c r="A1837" s="1">
        <v>2009</v>
      </c>
      <c r="B1837" t="s">
        <v>108</v>
      </c>
      <c r="C1837" t="s">
        <v>109</v>
      </c>
      <c r="D1837">
        <v>801512</v>
      </c>
    </row>
    <row r="1838" spans="1:4" x14ac:dyDescent="0.35">
      <c r="A1838" s="1">
        <v>2009</v>
      </c>
      <c r="B1838" t="s">
        <v>136</v>
      </c>
      <c r="C1838" t="s">
        <v>137</v>
      </c>
      <c r="D1838">
        <v>292210</v>
      </c>
    </row>
    <row r="1839" spans="1:4" x14ac:dyDescent="0.35">
      <c r="A1839" s="1">
        <v>2009</v>
      </c>
      <c r="B1839" t="s">
        <v>110</v>
      </c>
      <c r="C1839" t="s">
        <v>111</v>
      </c>
      <c r="D1839">
        <v>1461257</v>
      </c>
    </row>
    <row r="1840" spans="1:4" x14ac:dyDescent="0.35">
      <c r="A1840" s="1">
        <v>2009</v>
      </c>
      <c r="B1840" t="s">
        <v>24</v>
      </c>
      <c r="C1840" t="s">
        <v>25</v>
      </c>
      <c r="D1840">
        <v>629416</v>
      </c>
    </row>
    <row r="1841" spans="1:4" x14ac:dyDescent="0.35">
      <c r="A1841" s="1">
        <v>2009</v>
      </c>
      <c r="B1841" t="s">
        <v>156</v>
      </c>
      <c r="C1841" t="s">
        <v>157</v>
      </c>
      <c r="D1841">
        <v>650356</v>
      </c>
    </row>
    <row r="1842" spans="1:4" x14ac:dyDescent="0.35">
      <c r="A1842" s="1">
        <v>2009</v>
      </c>
      <c r="B1842" t="s">
        <v>182</v>
      </c>
      <c r="C1842" t="s">
        <v>183</v>
      </c>
      <c r="D1842">
        <v>229670</v>
      </c>
    </row>
    <row r="1843" spans="1:4" x14ac:dyDescent="0.35">
      <c r="A1843" s="1">
        <v>2009</v>
      </c>
      <c r="B1843" t="s">
        <v>184</v>
      </c>
      <c r="C1843" t="s">
        <v>185</v>
      </c>
      <c r="D1843">
        <v>445890</v>
      </c>
    </row>
    <row r="1844" spans="1:4" x14ac:dyDescent="0.35">
      <c r="A1844" s="1">
        <v>2009</v>
      </c>
      <c r="B1844" t="s">
        <v>98</v>
      </c>
      <c r="C1844" t="s">
        <v>99</v>
      </c>
      <c r="D1844">
        <v>1094439</v>
      </c>
    </row>
    <row r="1845" spans="1:4" x14ac:dyDescent="0.35">
      <c r="A1845" s="1">
        <v>2009</v>
      </c>
      <c r="B1845" t="s">
        <v>100</v>
      </c>
      <c r="C1845" t="s">
        <v>101</v>
      </c>
      <c r="D1845">
        <v>748614</v>
      </c>
    </row>
    <row r="1846" spans="1:4" x14ac:dyDescent="0.35">
      <c r="A1846" s="1">
        <v>2009</v>
      </c>
      <c r="B1846" t="s">
        <v>26</v>
      </c>
      <c r="C1846" t="s">
        <v>27</v>
      </c>
      <c r="D1846">
        <v>1708671</v>
      </c>
    </row>
    <row r="1847" spans="1:4" x14ac:dyDescent="0.35">
      <c r="A1847" s="1">
        <v>2009</v>
      </c>
      <c r="B1847" t="s">
        <v>40</v>
      </c>
      <c r="C1847" t="s">
        <v>41</v>
      </c>
      <c r="D1847">
        <v>239194</v>
      </c>
    </row>
    <row r="1848" spans="1:4" x14ac:dyDescent="0.35">
      <c r="A1848" s="1">
        <v>2009</v>
      </c>
      <c r="B1848" t="s">
        <v>42</v>
      </c>
      <c r="C1848" t="s">
        <v>43</v>
      </c>
      <c r="D1848">
        <v>554720</v>
      </c>
    </row>
    <row r="1849" spans="1:4" x14ac:dyDescent="0.35">
      <c r="A1849" s="1">
        <v>2009</v>
      </c>
      <c r="B1849" t="s">
        <v>196</v>
      </c>
      <c r="C1849" t="s">
        <v>197</v>
      </c>
      <c r="D1849">
        <v>561050</v>
      </c>
    </row>
    <row r="1850" spans="1:4" x14ac:dyDescent="0.35">
      <c r="A1850" s="1">
        <v>2009</v>
      </c>
      <c r="B1850" t="s">
        <v>28</v>
      </c>
      <c r="C1850" t="s">
        <v>29</v>
      </c>
      <c r="D1850">
        <v>411007</v>
      </c>
    </row>
    <row r="1851" spans="1:4" x14ac:dyDescent="0.35">
      <c r="A1851" s="1">
        <v>2009</v>
      </c>
      <c r="B1851" t="s">
        <v>30</v>
      </c>
      <c r="C1851" t="s">
        <v>31</v>
      </c>
      <c r="D1851">
        <v>725794</v>
      </c>
    </row>
    <row r="1852" spans="1:4" x14ac:dyDescent="0.35">
      <c r="A1852" s="1">
        <v>2009</v>
      </c>
      <c r="B1852" t="s">
        <v>114</v>
      </c>
      <c r="C1852" t="s">
        <v>115</v>
      </c>
      <c r="D1852">
        <v>2234105</v>
      </c>
    </row>
    <row r="1853" spans="1:4" x14ac:dyDescent="0.35">
      <c r="A1853" s="1">
        <v>2009</v>
      </c>
      <c r="B1853" t="s">
        <v>138</v>
      </c>
      <c r="C1853" t="s">
        <v>139</v>
      </c>
      <c r="D1853">
        <v>1250120</v>
      </c>
    </row>
    <row r="1854" spans="1:4" x14ac:dyDescent="0.35">
      <c r="A1854" s="1">
        <v>2009</v>
      </c>
      <c r="B1854" t="s">
        <v>116</v>
      </c>
      <c r="C1854" t="s">
        <v>117</v>
      </c>
      <c r="D1854">
        <v>1313414</v>
      </c>
    </row>
    <row r="1855" spans="1:4" x14ac:dyDescent="0.35">
      <c r="A1855" s="1">
        <v>2009</v>
      </c>
      <c r="B1855" t="s">
        <v>118</v>
      </c>
      <c r="C1855" t="s">
        <v>119</v>
      </c>
      <c r="D1855">
        <v>1407560</v>
      </c>
    </row>
    <row r="1856" spans="1:4" x14ac:dyDescent="0.35">
      <c r="A1856" s="1">
        <v>2009</v>
      </c>
      <c r="B1856" t="s">
        <v>158</v>
      </c>
      <c r="C1856" t="s">
        <v>159</v>
      </c>
      <c r="D1856">
        <v>366339</v>
      </c>
    </row>
    <row r="1857" spans="1:4" x14ac:dyDescent="0.35">
      <c r="A1857" s="1">
        <v>2009</v>
      </c>
      <c r="B1857" t="s">
        <v>112</v>
      </c>
      <c r="C1857" t="s">
        <v>113</v>
      </c>
      <c r="D1857">
        <v>569775</v>
      </c>
    </row>
    <row r="1858" spans="1:4" x14ac:dyDescent="0.35">
      <c r="A1858" s="1">
        <v>2009</v>
      </c>
      <c r="B1858" t="s">
        <v>186</v>
      </c>
      <c r="C1858" t="s">
        <v>187</v>
      </c>
      <c r="D1858">
        <v>374018</v>
      </c>
    </row>
    <row r="1859" spans="1:4" x14ac:dyDescent="0.35">
      <c r="A1859" s="1">
        <v>2009</v>
      </c>
      <c r="B1859" t="s">
        <v>188</v>
      </c>
      <c r="C1859" t="s">
        <v>189</v>
      </c>
      <c r="D1859">
        <v>239291</v>
      </c>
    </row>
    <row r="1860" spans="1:4" x14ac:dyDescent="0.35">
      <c r="A1860" s="1">
        <v>2009</v>
      </c>
      <c r="B1860" t="s">
        <v>208</v>
      </c>
      <c r="C1860" t="s">
        <v>209</v>
      </c>
      <c r="D1860">
        <v>1007303</v>
      </c>
    </row>
    <row r="1861" spans="1:4" x14ac:dyDescent="0.35">
      <c r="A1861" s="1">
        <v>2009</v>
      </c>
      <c r="B1861" t="s">
        <v>210</v>
      </c>
      <c r="C1861" t="s">
        <v>211</v>
      </c>
      <c r="D1861">
        <v>540065</v>
      </c>
    </row>
    <row r="1862" spans="1:4" x14ac:dyDescent="0.35">
      <c r="A1862" s="1">
        <v>2009</v>
      </c>
      <c r="B1862" t="s">
        <v>198</v>
      </c>
      <c r="C1862" t="s">
        <v>199</v>
      </c>
      <c r="D1862">
        <v>626411</v>
      </c>
    </row>
    <row r="1863" spans="1:4" x14ac:dyDescent="0.35">
      <c r="A1863" s="1">
        <v>2009</v>
      </c>
      <c r="B1863" t="s">
        <v>160</v>
      </c>
      <c r="C1863" t="s">
        <v>161</v>
      </c>
      <c r="D1863">
        <v>426066</v>
      </c>
    </row>
    <row r="1864" spans="1:4" x14ac:dyDescent="0.35">
      <c r="A1864" s="1">
        <v>2009</v>
      </c>
      <c r="B1864" t="s">
        <v>162</v>
      </c>
      <c r="C1864" t="s">
        <v>163</v>
      </c>
      <c r="D1864">
        <v>374849</v>
      </c>
    </row>
    <row r="1865" spans="1:4" x14ac:dyDescent="0.35">
      <c r="A1865" s="1">
        <v>2009</v>
      </c>
      <c r="B1865" t="s">
        <v>102</v>
      </c>
      <c r="C1865" t="s">
        <v>103</v>
      </c>
      <c r="D1865">
        <v>380192</v>
      </c>
    </row>
    <row r="1866" spans="1:4" x14ac:dyDescent="0.35">
      <c r="A1866" s="1">
        <v>2009</v>
      </c>
      <c r="B1866" t="s">
        <v>44</v>
      </c>
      <c r="C1866" t="s">
        <v>45</v>
      </c>
      <c r="D1866">
        <v>343377</v>
      </c>
    </row>
    <row r="1867" spans="1:4" x14ac:dyDescent="0.35">
      <c r="A1867" s="1">
        <v>2009</v>
      </c>
      <c r="B1867" t="s">
        <v>46</v>
      </c>
      <c r="C1867" t="s">
        <v>221</v>
      </c>
      <c r="D1867">
        <v>142461</v>
      </c>
    </row>
    <row r="1868" spans="1:4" x14ac:dyDescent="0.35">
      <c r="A1868" s="1">
        <v>2009</v>
      </c>
      <c r="B1868" t="s">
        <v>120</v>
      </c>
      <c r="C1868" t="s">
        <v>121</v>
      </c>
      <c r="D1868">
        <v>1208004</v>
      </c>
    </row>
    <row r="1869" spans="1:4" x14ac:dyDescent="0.35">
      <c r="A1869" s="1">
        <v>2009</v>
      </c>
      <c r="B1869" t="s">
        <v>122</v>
      </c>
      <c r="C1869" t="s">
        <v>222</v>
      </c>
      <c r="D1869">
        <v>1561745</v>
      </c>
    </row>
    <row r="1870" spans="1:4" x14ac:dyDescent="0.35">
      <c r="A1870" s="1">
        <v>2009</v>
      </c>
      <c r="B1870" t="s">
        <v>124</v>
      </c>
      <c r="C1870" t="s">
        <v>125</v>
      </c>
      <c r="D1870">
        <v>1515983</v>
      </c>
    </row>
    <row r="1871" spans="1:4" x14ac:dyDescent="0.35">
      <c r="A1871" s="1">
        <v>2009</v>
      </c>
      <c r="B1871" t="s">
        <v>126</v>
      </c>
      <c r="C1871" t="s">
        <v>127</v>
      </c>
      <c r="D1871">
        <v>1318537</v>
      </c>
    </row>
    <row r="1872" spans="1:4" x14ac:dyDescent="0.35">
      <c r="A1872" s="1">
        <v>2009</v>
      </c>
      <c r="B1872" t="s">
        <v>128</v>
      </c>
      <c r="C1872" t="s">
        <v>129</v>
      </c>
      <c r="D1872">
        <v>1168892</v>
      </c>
    </row>
    <row r="1873" spans="1:4" x14ac:dyDescent="0.35">
      <c r="A1873" s="1">
        <v>2009</v>
      </c>
      <c r="B1873" t="s">
        <v>223</v>
      </c>
      <c r="D1873">
        <v>62465709</v>
      </c>
    </row>
    <row r="1874" spans="1:4" x14ac:dyDescent="0.35">
      <c r="A1874" s="1">
        <v>2009</v>
      </c>
      <c r="B1874">
        <v>971</v>
      </c>
      <c r="C1874" t="s">
        <v>224</v>
      </c>
      <c r="D1874">
        <v>401554</v>
      </c>
    </row>
    <row r="1875" spans="1:4" x14ac:dyDescent="0.35">
      <c r="A1875" s="1">
        <v>2009</v>
      </c>
      <c r="B1875">
        <v>972</v>
      </c>
      <c r="C1875" t="s">
        <v>225</v>
      </c>
      <c r="D1875">
        <v>396404</v>
      </c>
    </row>
    <row r="1876" spans="1:4" x14ac:dyDescent="0.35">
      <c r="A1876" s="1">
        <v>2009</v>
      </c>
      <c r="B1876">
        <v>973</v>
      </c>
      <c r="C1876" t="s">
        <v>77</v>
      </c>
      <c r="D1876">
        <v>224469</v>
      </c>
    </row>
    <row r="1877" spans="1:4" x14ac:dyDescent="0.35">
      <c r="A1877" s="1">
        <v>2009</v>
      </c>
      <c r="B1877">
        <v>974</v>
      </c>
      <c r="C1877" t="s">
        <v>79</v>
      </c>
      <c r="D1877">
        <v>816364</v>
      </c>
    </row>
    <row r="1878" spans="1:4" x14ac:dyDescent="0.35">
      <c r="A1878" s="1">
        <v>2009</v>
      </c>
      <c r="B1878" t="s">
        <v>226</v>
      </c>
      <c r="D1878">
        <v>1838791</v>
      </c>
    </row>
    <row r="1879" spans="1:4" x14ac:dyDescent="0.35">
      <c r="A1879" s="1">
        <v>2009</v>
      </c>
      <c r="B1879" t="s">
        <v>227</v>
      </c>
      <c r="D1879">
        <v>64304500</v>
      </c>
    </row>
    <row r="1880" spans="1:4" x14ac:dyDescent="0.35">
      <c r="A1880" s="1">
        <v>2009</v>
      </c>
    </row>
    <row r="1881" spans="1:4" x14ac:dyDescent="0.35">
      <c r="A1881" s="1">
        <v>2009</v>
      </c>
      <c r="B1881" t="s">
        <v>240</v>
      </c>
    </row>
    <row r="1882" spans="1:4" x14ac:dyDescent="0.35">
      <c r="A1882" s="1">
        <v>2008</v>
      </c>
      <c r="B1882" t="s">
        <v>229</v>
      </c>
    </row>
    <row r="1883" spans="1:4" x14ac:dyDescent="0.35">
      <c r="A1883" s="1">
        <v>2008</v>
      </c>
      <c r="B1883" t="s">
        <v>254</v>
      </c>
    </row>
    <row r="1884" spans="1:4" x14ac:dyDescent="0.35">
      <c r="A1884" s="1">
        <v>2008</v>
      </c>
    </row>
    <row r="1885" spans="1:4" x14ac:dyDescent="0.35">
      <c r="A1885" s="1">
        <v>2008</v>
      </c>
      <c r="B1885" t="s">
        <v>231</v>
      </c>
    </row>
    <row r="1886" spans="1:4" x14ac:dyDescent="0.35">
      <c r="A1886" s="1">
        <v>2008</v>
      </c>
      <c r="D1886" t="s">
        <v>232</v>
      </c>
    </row>
    <row r="1887" spans="1:4" x14ac:dyDescent="0.35">
      <c r="A1887" s="1">
        <v>2008</v>
      </c>
      <c r="B1887" t="s">
        <v>5</v>
      </c>
      <c r="C1887" t="s">
        <v>6</v>
      </c>
      <c r="D1887">
        <v>581355</v>
      </c>
    </row>
    <row r="1888" spans="1:4" x14ac:dyDescent="0.35">
      <c r="A1888" s="1">
        <v>2008</v>
      </c>
      <c r="B1888" t="s">
        <v>104</v>
      </c>
      <c r="C1888" t="s">
        <v>105</v>
      </c>
      <c r="D1888">
        <v>538790</v>
      </c>
    </row>
    <row r="1889" spans="1:4" x14ac:dyDescent="0.35">
      <c r="A1889" s="1">
        <v>2008</v>
      </c>
      <c r="B1889" t="s">
        <v>10</v>
      </c>
      <c r="C1889" t="s">
        <v>11</v>
      </c>
      <c r="D1889">
        <v>342807</v>
      </c>
    </row>
    <row r="1890" spans="1:4" x14ac:dyDescent="0.35">
      <c r="A1890" s="1">
        <v>2008</v>
      </c>
      <c r="B1890" t="s">
        <v>200</v>
      </c>
      <c r="C1890" t="s">
        <v>201</v>
      </c>
      <c r="D1890">
        <v>157965</v>
      </c>
    </row>
    <row r="1891" spans="1:4" x14ac:dyDescent="0.35">
      <c r="A1891" s="1">
        <v>2008</v>
      </c>
      <c r="B1891" t="s">
        <v>202</v>
      </c>
      <c r="C1891" t="s">
        <v>203</v>
      </c>
      <c r="D1891">
        <v>134205</v>
      </c>
    </row>
    <row r="1892" spans="1:4" x14ac:dyDescent="0.35">
      <c r="A1892" s="1">
        <v>2008</v>
      </c>
      <c r="B1892" t="s">
        <v>204</v>
      </c>
      <c r="C1892" t="s">
        <v>205</v>
      </c>
      <c r="D1892">
        <v>1084428</v>
      </c>
    </row>
    <row r="1893" spans="1:4" x14ac:dyDescent="0.35">
      <c r="A1893" s="1">
        <v>2008</v>
      </c>
      <c r="B1893" t="s">
        <v>12</v>
      </c>
      <c r="C1893" t="s">
        <v>13</v>
      </c>
      <c r="D1893">
        <v>311452</v>
      </c>
    </row>
    <row r="1894" spans="1:4" x14ac:dyDescent="0.35">
      <c r="A1894" s="1">
        <v>2008</v>
      </c>
      <c r="B1894" t="s">
        <v>84</v>
      </c>
      <c r="C1894" t="s">
        <v>85</v>
      </c>
      <c r="D1894">
        <v>284197</v>
      </c>
    </row>
    <row r="1895" spans="1:4" x14ac:dyDescent="0.35">
      <c r="A1895" s="1">
        <v>2008</v>
      </c>
      <c r="B1895" t="s">
        <v>164</v>
      </c>
      <c r="C1895" t="s">
        <v>165</v>
      </c>
      <c r="D1895">
        <v>150201</v>
      </c>
    </row>
    <row r="1896" spans="1:4" x14ac:dyDescent="0.35">
      <c r="A1896" s="1">
        <v>2008</v>
      </c>
      <c r="B1896" t="s">
        <v>86</v>
      </c>
      <c r="C1896" t="s">
        <v>87</v>
      </c>
      <c r="D1896">
        <v>301327</v>
      </c>
    </row>
    <row r="1897" spans="1:4" x14ac:dyDescent="0.35">
      <c r="A1897" s="1">
        <v>2008</v>
      </c>
      <c r="B1897" t="s">
        <v>166</v>
      </c>
      <c r="C1897" t="s">
        <v>167</v>
      </c>
      <c r="D1897">
        <v>349237</v>
      </c>
    </row>
    <row r="1898" spans="1:4" x14ac:dyDescent="0.35">
      <c r="A1898" s="1">
        <v>2008</v>
      </c>
      <c r="B1898" t="s">
        <v>168</v>
      </c>
      <c r="C1898" t="s">
        <v>169</v>
      </c>
      <c r="D1898">
        <v>275889</v>
      </c>
    </row>
    <row r="1899" spans="1:4" x14ac:dyDescent="0.35">
      <c r="A1899" s="1">
        <v>2008</v>
      </c>
      <c r="B1899" t="s">
        <v>206</v>
      </c>
      <c r="C1899" t="s">
        <v>207</v>
      </c>
      <c r="D1899">
        <v>1966005</v>
      </c>
    </row>
    <row r="1900" spans="1:4" x14ac:dyDescent="0.35">
      <c r="A1900" s="1">
        <v>2008</v>
      </c>
      <c r="B1900" t="s">
        <v>130</v>
      </c>
      <c r="C1900" t="s">
        <v>131</v>
      </c>
      <c r="D1900">
        <v>678206</v>
      </c>
    </row>
    <row r="1901" spans="1:4" x14ac:dyDescent="0.35">
      <c r="A1901" s="1">
        <v>2008</v>
      </c>
      <c r="B1901" t="s">
        <v>14</v>
      </c>
      <c r="C1901" t="s">
        <v>15</v>
      </c>
      <c r="D1901">
        <v>148737</v>
      </c>
    </row>
    <row r="1902" spans="1:4" x14ac:dyDescent="0.35">
      <c r="A1902" s="1">
        <v>2008</v>
      </c>
      <c r="B1902" t="s">
        <v>140</v>
      </c>
      <c r="C1902" t="s">
        <v>141</v>
      </c>
      <c r="D1902">
        <v>351581</v>
      </c>
    </row>
    <row r="1903" spans="1:4" x14ac:dyDescent="0.35">
      <c r="A1903" s="1">
        <v>2008</v>
      </c>
      <c r="B1903" t="s">
        <v>142</v>
      </c>
      <c r="C1903" t="s">
        <v>143</v>
      </c>
      <c r="D1903">
        <v>611714</v>
      </c>
    </row>
    <row r="1904" spans="1:4" x14ac:dyDescent="0.35">
      <c r="A1904" s="1">
        <v>2008</v>
      </c>
      <c r="B1904" t="s">
        <v>56</v>
      </c>
      <c r="C1904" t="s">
        <v>57</v>
      </c>
      <c r="D1904">
        <v>313251</v>
      </c>
    </row>
    <row r="1905" spans="1:4" x14ac:dyDescent="0.35">
      <c r="A1905" s="1">
        <v>2008</v>
      </c>
      <c r="B1905" t="s">
        <v>144</v>
      </c>
      <c r="C1905" t="s">
        <v>145</v>
      </c>
      <c r="D1905">
        <v>242896</v>
      </c>
    </row>
    <row r="1906" spans="1:4" x14ac:dyDescent="0.35">
      <c r="A1906" s="1">
        <v>2008</v>
      </c>
      <c r="B1906" t="s">
        <v>68</v>
      </c>
      <c r="C1906" t="s">
        <v>69</v>
      </c>
      <c r="D1906">
        <v>140953</v>
      </c>
    </row>
    <row r="1907" spans="1:4" x14ac:dyDescent="0.35">
      <c r="A1907" s="1">
        <v>2008</v>
      </c>
      <c r="B1907" t="s">
        <v>70</v>
      </c>
      <c r="C1907" t="s">
        <v>71</v>
      </c>
      <c r="D1907">
        <v>162013</v>
      </c>
    </row>
    <row r="1908" spans="1:4" x14ac:dyDescent="0.35">
      <c r="A1908" s="1">
        <v>2008</v>
      </c>
      <c r="B1908" t="s">
        <v>32</v>
      </c>
      <c r="C1908" t="s">
        <v>219</v>
      </c>
      <c r="D1908">
        <v>521608</v>
      </c>
    </row>
    <row r="1909" spans="1:4" x14ac:dyDescent="0.35">
      <c r="A1909" s="1">
        <v>2008</v>
      </c>
      <c r="B1909" t="s">
        <v>48</v>
      </c>
      <c r="C1909" t="s">
        <v>220</v>
      </c>
      <c r="D1909">
        <v>581570</v>
      </c>
    </row>
    <row r="1910" spans="1:4" x14ac:dyDescent="0.35">
      <c r="A1910" s="1">
        <v>2008</v>
      </c>
      <c r="B1910" t="s">
        <v>146</v>
      </c>
      <c r="C1910" t="s">
        <v>147</v>
      </c>
      <c r="D1910">
        <v>123907</v>
      </c>
    </row>
    <row r="1911" spans="1:4" x14ac:dyDescent="0.35">
      <c r="A1911" s="1">
        <v>2008</v>
      </c>
      <c r="B1911" t="s">
        <v>148</v>
      </c>
      <c r="C1911" t="s">
        <v>149</v>
      </c>
      <c r="D1911">
        <v>409388</v>
      </c>
    </row>
    <row r="1912" spans="1:4" x14ac:dyDescent="0.35">
      <c r="A1912" s="1">
        <v>2008</v>
      </c>
      <c r="B1912" t="s">
        <v>34</v>
      </c>
      <c r="C1912" t="s">
        <v>35</v>
      </c>
      <c r="D1912">
        <v>522685</v>
      </c>
    </row>
    <row r="1913" spans="1:4" x14ac:dyDescent="0.35">
      <c r="A1913" s="1">
        <v>2008</v>
      </c>
      <c r="B1913" t="s">
        <v>16</v>
      </c>
      <c r="C1913" t="s">
        <v>17</v>
      </c>
      <c r="D1913">
        <v>478069</v>
      </c>
    </row>
    <row r="1914" spans="1:4" x14ac:dyDescent="0.35">
      <c r="A1914" s="1">
        <v>2008</v>
      </c>
      <c r="B1914" t="s">
        <v>132</v>
      </c>
      <c r="C1914" t="s">
        <v>133</v>
      </c>
      <c r="D1914">
        <v>577087</v>
      </c>
    </row>
    <row r="1915" spans="1:4" x14ac:dyDescent="0.35">
      <c r="A1915" s="1">
        <v>2008</v>
      </c>
      <c r="B1915" t="s">
        <v>58</v>
      </c>
      <c r="C1915" t="s">
        <v>59</v>
      </c>
      <c r="D1915">
        <v>423559</v>
      </c>
    </row>
    <row r="1916" spans="1:4" x14ac:dyDescent="0.35">
      <c r="A1916" s="1">
        <v>2008</v>
      </c>
      <c r="B1916" t="s">
        <v>50</v>
      </c>
      <c r="C1916" t="s">
        <v>51</v>
      </c>
      <c r="D1916">
        <v>890509</v>
      </c>
    </row>
    <row r="1917" spans="1:4" x14ac:dyDescent="0.35">
      <c r="A1917" s="1">
        <v>2008</v>
      </c>
      <c r="B1917" t="s">
        <v>170</v>
      </c>
      <c r="C1917" t="s">
        <v>171</v>
      </c>
      <c r="D1917">
        <v>694323</v>
      </c>
    </row>
    <row r="1918" spans="1:4" x14ac:dyDescent="0.35">
      <c r="A1918" s="1">
        <v>2008</v>
      </c>
      <c r="B1918" t="s">
        <v>172</v>
      </c>
      <c r="C1918" t="s">
        <v>173</v>
      </c>
      <c r="D1918">
        <v>1217344</v>
      </c>
    </row>
    <row r="1919" spans="1:4" x14ac:dyDescent="0.35">
      <c r="A1919" s="1">
        <v>2008</v>
      </c>
      <c r="B1919" t="s">
        <v>174</v>
      </c>
      <c r="C1919" t="s">
        <v>175</v>
      </c>
      <c r="D1919">
        <v>185266</v>
      </c>
    </row>
    <row r="1920" spans="1:4" x14ac:dyDescent="0.35">
      <c r="A1920" s="1">
        <v>2008</v>
      </c>
      <c r="B1920" t="s">
        <v>150</v>
      </c>
      <c r="C1920" t="s">
        <v>151</v>
      </c>
      <c r="D1920">
        <v>1421276</v>
      </c>
    </row>
    <row r="1921" spans="1:4" x14ac:dyDescent="0.35">
      <c r="A1921" s="1">
        <v>2008</v>
      </c>
      <c r="B1921" t="s">
        <v>176</v>
      </c>
      <c r="C1921" t="s">
        <v>177</v>
      </c>
      <c r="D1921">
        <v>1019798</v>
      </c>
    </row>
    <row r="1922" spans="1:4" x14ac:dyDescent="0.35">
      <c r="A1922" s="1">
        <v>2008</v>
      </c>
      <c r="B1922" t="s">
        <v>52</v>
      </c>
      <c r="C1922" t="s">
        <v>53</v>
      </c>
      <c r="D1922">
        <v>967588</v>
      </c>
    </row>
    <row r="1923" spans="1:4" x14ac:dyDescent="0.35">
      <c r="A1923" s="1">
        <v>2008</v>
      </c>
      <c r="B1923" t="s">
        <v>60</v>
      </c>
      <c r="C1923" t="s">
        <v>61</v>
      </c>
      <c r="D1923">
        <v>232004</v>
      </c>
    </row>
    <row r="1924" spans="1:4" x14ac:dyDescent="0.35">
      <c r="A1924" s="1">
        <v>2008</v>
      </c>
      <c r="B1924" t="s">
        <v>62</v>
      </c>
      <c r="C1924" t="s">
        <v>63</v>
      </c>
      <c r="D1924">
        <v>585406</v>
      </c>
    </row>
    <row r="1925" spans="1:4" x14ac:dyDescent="0.35">
      <c r="A1925" s="1">
        <v>2008</v>
      </c>
      <c r="B1925" t="s">
        <v>18</v>
      </c>
      <c r="C1925" t="s">
        <v>19</v>
      </c>
      <c r="D1925">
        <v>1188660</v>
      </c>
    </row>
    <row r="1926" spans="1:4" x14ac:dyDescent="0.35">
      <c r="A1926" s="1">
        <v>2008</v>
      </c>
      <c r="B1926" t="s">
        <v>36</v>
      </c>
      <c r="C1926" t="s">
        <v>37</v>
      </c>
      <c r="D1926">
        <v>260740</v>
      </c>
    </row>
    <row r="1927" spans="1:4" x14ac:dyDescent="0.35">
      <c r="A1927" s="1">
        <v>2008</v>
      </c>
      <c r="B1927" t="s">
        <v>152</v>
      </c>
      <c r="C1927" t="s">
        <v>153</v>
      </c>
      <c r="D1927">
        <v>373142</v>
      </c>
    </row>
    <row r="1928" spans="1:4" x14ac:dyDescent="0.35">
      <c r="A1928" s="1">
        <v>2008</v>
      </c>
      <c r="B1928" t="s">
        <v>64</v>
      </c>
      <c r="C1928" t="s">
        <v>65</v>
      </c>
      <c r="D1928">
        <v>326599</v>
      </c>
    </row>
    <row r="1929" spans="1:4" x14ac:dyDescent="0.35">
      <c r="A1929" s="1">
        <v>2008</v>
      </c>
      <c r="B1929" t="s">
        <v>20</v>
      </c>
      <c r="C1929" t="s">
        <v>21</v>
      </c>
      <c r="D1929">
        <v>742076</v>
      </c>
    </row>
    <row r="1930" spans="1:4" x14ac:dyDescent="0.35">
      <c r="A1930" s="1">
        <v>2008</v>
      </c>
      <c r="B1930" t="s">
        <v>22</v>
      </c>
      <c r="C1930" t="s">
        <v>23</v>
      </c>
      <c r="D1930">
        <v>221834</v>
      </c>
    </row>
    <row r="1931" spans="1:4" x14ac:dyDescent="0.35">
      <c r="A1931" s="1">
        <v>2008</v>
      </c>
      <c r="B1931" t="s">
        <v>190</v>
      </c>
      <c r="C1931" t="s">
        <v>191</v>
      </c>
      <c r="D1931">
        <v>1255871</v>
      </c>
    </row>
    <row r="1932" spans="1:4" x14ac:dyDescent="0.35">
      <c r="A1932" s="1">
        <v>2008</v>
      </c>
      <c r="B1932" t="s">
        <v>66</v>
      </c>
      <c r="C1932" t="s">
        <v>67</v>
      </c>
      <c r="D1932">
        <v>650769</v>
      </c>
    </row>
    <row r="1933" spans="1:4" x14ac:dyDescent="0.35">
      <c r="A1933" s="1">
        <v>2008</v>
      </c>
      <c r="B1933" t="s">
        <v>178</v>
      </c>
      <c r="C1933" t="s">
        <v>179</v>
      </c>
      <c r="D1933">
        <v>172796</v>
      </c>
    </row>
    <row r="1934" spans="1:4" x14ac:dyDescent="0.35">
      <c r="A1934" s="1">
        <v>2008</v>
      </c>
      <c r="B1934" t="s">
        <v>154</v>
      </c>
      <c r="C1934" t="s">
        <v>155</v>
      </c>
      <c r="D1934">
        <v>326399</v>
      </c>
    </row>
    <row r="1935" spans="1:4" x14ac:dyDescent="0.35">
      <c r="A1935" s="1">
        <v>2008</v>
      </c>
      <c r="B1935" t="s">
        <v>180</v>
      </c>
      <c r="C1935" t="s">
        <v>181</v>
      </c>
      <c r="D1935">
        <v>76973</v>
      </c>
    </row>
    <row r="1936" spans="1:4" x14ac:dyDescent="0.35">
      <c r="A1936" s="1">
        <v>2008</v>
      </c>
      <c r="B1936" t="s">
        <v>192</v>
      </c>
      <c r="C1936" t="s">
        <v>193</v>
      </c>
      <c r="D1936">
        <v>774823</v>
      </c>
    </row>
    <row r="1937" spans="1:4" x14ac:dyDescent="0.35">
      <c r="A1937" s="1">
        <v>2008</v>
      </c>
      <c r="B1937" t="s">
        <v>134</v>
      </c>
      <c r="C1937" t="s">
        <v>135</v>
      </c>
      <c r="D1937">
        <v>496937</v>
      </c>
    </row>
    <row r="1938" spans="1:4" x14ac:dyDescent="0.35">
      <c r="A1938" s="1">
        <v>2008</v>
      </c>
      <c r="B1938" t="s">
        <v>88</v>
      </c>
      <c r="C1938" t="s">
        <v>89</v>
      </c>
      <c r="D1938">
        <v>566010</v>
      </c>
    </row>
    <row r="1939" spans="1:4" x14ac:dyDescent="0.35">
      <c r="A1939" s="1">
        <v>2008</v>
      </c>
      <c r="B1939" t="s">
        <v>90</v>
      </c>
      <c r="C1939" t="s">
        <v>91</v>
      </c>
      <c r="D1939">
        <v>186470</v>
      </c>
    </row>
    <row r="1940" spans="1:4" x14ac:dyDescent="0.35">
      <c r="A1940" s="1">
        <v>2008</v>
      </c>
      <c r="B1940" t="s">
        <v>194</v>
      </c>
      <c r="C1940" t="s">
        <v>195</v>
      </c>
      <c r="D1940">
        <v>302983</v>
      </c>
    </row>
    <row r="1941" spans="1:4" x14ac:dyDescent="0.35">
      <c r="A1941" s="1">
        <v>2008</v>
      </c>
      <c r="B1941" t="s">
        <v>92</v>
      </c>
      <c r="C1941" t="s">
        <v>93</v>
      </c>
      <c r="D1941">
        <v>729768</v>
      </c>
    </row>
    <row r="1942" spans="1:4" x14ac:dyDescent="0.35">
      <c r="A1942" s="1">
        <v>2008</v>
      </c>
      <c r="B1942" t="s">
        <v>94</v>
      </c>
      <c r="C1942" t="s">
        <v>95</v>
      </c>
      <c r="D1942">
        <v>194218</v>
      </c>
    </row>
    <row r="1943" spans="1:4" x14ac:dyDescent="0.35">
      <c r="A1943" s="1">
        <v>2008</v>
      </c>
      <c r="B1943" t="s">
        <v>54</v>
      </c>
      <c r="C1943" t="s">
        <v>55</v>
      </c>
      <c r="D1943">
        <v>710034</v>
      </c>
    </row>
    <row r="1944" spans="1:4" x14ac:dyDescent="0.35">
      <c r="A1944" s="1">
        <v>2008</v>
      </c>
      <c r="B1944" t="s">
        <v>96</v>
      </c>
      <c r="C1944" t="s">
        <v>97</v>
      </c>
      <c r="D1944">
        <v>1042230</v>
      </c>
    </row>
    <row r="1945" spans="1:4" x14ac:dyDescent="0.35">
      <c r="A1945" s="1">
        <v>2008</v>
      </c>
      <c r="B1945" t="s">
        <v>38</v>
      </c>
      <c r="C1945" t="s">
        <v>39</v>
      </c>
      <c r="D1945">
        <v>220653</v>
      </c>
    </row>
    <row r="1946" spans="1:4" x14ac:dyDescent="0.35">
      <c r="A1946" s="1">
        <v>2008</v>
      </c>
      <c r="B1946" t="s">
        <v>106</v>
      </c>
      <c r="C1946" t="s">
        <v>107</v>
      </c>
      <c r="D1946">
        <v>2564959</v>
      </c>
    </row>
    <row r="1947" spans="1:4" x14ac:dyDescent="0.35">
      <c r="A1947" s="1">
        <v>2008</v>
      </c>
      <c r="B1947" t="s">
        <v>108</v>
      </c>
      <c r="C1947" t="s">
        <v>109</v>
      </c>
      <c r="D1947">
        <v>799725</v>
      </c>
    </row>
    <row r="1948" spans="1:4" x14ac:dyDescent="0.35">
      <c r="A1948" s="1">
        <v>2008</v>
      </c>
      <c r="B1948" t="s">
        <v>136</v>
      </c>
      <c r="C1948" t="s">
        <v>137</v>
      </c>
      <c r="D1948">
        <v>292282</v>
      </c>
    </row>
    <row r="1949" spans="1:4" x14ac:dyDescent="0.35">
      <c r="A1949" s="1">
        <v>2008</v>
      </c>
      <c r="B1949" t="s">
        <v>110</v>
      </c>
      <c r="C1949" t="s">
        <v>111</v>
      </c>
      <c r="D1949">
        <v>1459531</v>
      </c>
    </row>
    <row r="1950" spans="1:4" x14ac:dyDescent="0.35">
      <c r="A1950" s="1">
        <v>2008</v>
      </c>
      <c r="B1950" t="s">
        <v>24</v>
      </c>
      <c r="C1950" t="s">
        <v>25</v>
      </c>
      <c r="D1950">
        <v>628485</v>
      </c>
    </row>
    <row r="1951" spans="1:4" x14ac:dyDescent="0.35">
      <c r="A1951" s="1">
        <v>2008</v>
      </c>
      <c r="B1951" t="s">
        <v>156</v>
      </c>
      <c r="C1951" t="s">
        <v>157</v>
      </c>
      <c r="D1951">
        <v>647420</v>
      </c>
    </row>
    <row r="1952" spans="1:4" x14ac:dyDescent="0.35">
      <c r="A1952" s="1">
        <v>2008</v>
      </c>
      <c r="B1952" t="s">
        <v>182</v>
      </c>
      <c r="C1952" t="s">
        <v>183</v>
      </c>
      <c r="D1952">
        <v>229079</v>
      </c>
    </row>
    <row r="1953" spans="1:4" x14ac:dyDescent="0.35">
      <c r="A1953" s="1">
        <v>2008</v>
      </c>
      <c r="B1953" t="s">
        <v>184</v>
      </c>
      <c r="C1953" t="s">
        <v>185</v>
      </c>
      <c r="D1953">
        <v>441387</v>
      </c>
    </row>
    <row r="1954" spans="1:4" x14ac:dyDescent="0.35">
      <c r="A1954" s="1">
        <v>2008</v>
      </c>
      <c r="B1954" t="s">
        <v>98</v>
      </c>
      <c r="C1954" t="s">
        <v>99</v>
      </c>
      <c r="D1954">
        <v>1091015</v>
      </c>
    </row>
    <row r="1955" spans="1:4" x14ac:dyDescent="0.35">
      <c r="A1955" s="1">
        <v>2008</v>
      </c>
      <c r="B1955" t="s">
        <v>100</v>
      </c>
      <c r="C1955" t="s">
        <v>101</v>
      </c>
      <c r="D1955">
        <v>746072</v>
      </c>
    </row>
    <row r="1956" spans="1:4" x14ac:dyDescent="0.35">
      <c r="A1956" s="1">
        <v>2008</v>
      </c>
      <c r="B1956" t="s">
        <v>26</v>
      </c>
      <c r="C1956" t="s">
        <v>27</v>
      </c>
      <c r="D1956">
        <v>1690498</v>
      </c>
    </row>
    <row r="1957" spans="1:4" x14ac:dyDescent="0.35">
      <c r="A1957" s="1">
        <v>2008</v>
      </c>
      <c r="B1957" t="s">
        <v>40</v>
      </c>
      <c r="C1957" t="s">
        <v>41</v>
      </c>
      <c r="D1957">
        <v>238548</v>
      </c>
    </row>
    <row r="1958" spans="1:4" x14ac:dyDescent="0.35">
      <c r="A1958" s="1">
        <v>2008</v>
      </c>
      <c r="B1958" t="s">
        <v>42</v>
      </c>
      <c r="C1958" t="s">
        <v>43</v>
      </c>
      <c r="D1958">
        <v>553968</v>
      </c>
    </row>
    <row r="1959" spans="1:4" x14ac:dyDescent="0.35">
      <c r="A1959" s="1">
        <v>2008</v>
      </c>
      <c r="B1959" t="s">
        <v>196</v>
      </c>
      <c r="C1959" t="s">
        <v>197</v>
      </c>
      <c r="D1959">
        <v>559587</v>
      </c>
    </row>
    <row r="1960" spans="1:4" x14ac:dyDescent="0.35">
      <c r="A1960" s="1">
        <v>2008</v>
      </c>
      <c r="B1960" t="s">
        <v>28</v>
      </c>
      <c r="C1960" t="s">
        <v>29</v>
      </c>
      <c r="D1960">
        <v>408842</v>
      </c>
    </row>
    <row r="1961" spans="1:4" x14ac:dyDescent="0.35">
      <c r="A1961" s="1">
        <v>2008</v>
      </c>
      <c r="B1961" t="s">
        <v>30</v>
      </c>
      <c r="C1961" t="s">
        <v>31</v>
      </c>
      <c r="D1961">
        <v>716277</v>
      </c>
    </row>
    <row r="1962" spans="1:4" x14ac:dyDescent="0.35">
      <c r="A1962" s="1">
        <v>2008</v>
      </c>
      <c r="B1962" t="s">
        <v>114</v>
      </c>
      <c r="C1962" t="s">
        <v>115</v>
      </c>
      <c r="D1962">
        <v>2211297</v>
      </c>
    </row>
    <row r="1963" spans="1:4" x14ac:dyDescent="0.35">
      <c r="A1963" s="1">
        <v>2008</v>
      </c>
      <c r="B1963" t="s">
        <v>138</v>
      </c>
      <c r="C1963" t="s">
        <v>139</v>
      </c>
      <c r="D1963">
        <v>1248580</v>
      </c>
    </row>
    <row r="1964" spans="1:4" x14ac:dyDescent="0.35">
      <c r="A1964" s="1">
        <v>2008</v>
      </c>
      <c r="B1964" t="s">
        <v>116</v>
      </c>
      <c r="C1964" t="s">
        <v>117</v>
      </c>
      <c r="D1964">
        <v>1303702</v>
      </c>
    </row>
    <row r="1965" spans="1:4" x14ac:dyDescent="0.35">
      <c r="A1965" s="1">
        <v>2008</v>
      </c>
      <c r="B1965" t="s">
        <v>118</v>
      </c>
      <c r="C1965" t="s">
        <v>119</v>
      </c>
      <c r="D1965">
        <v>1406053</v>
      </c>
    </row>
    <row r="1966" spans="1:4" x14ac:dyDescent="0.35">
      <c r="A1966" s="1">
        <v>2008</v>
      </c>
      <c r="B1966" t="s">
        <v>158</v>
      </c>
      <c r="C1966" t="s">
        <v>159</v>
      </c>
      <c r="D1966">
        <v>365059</v>
      </c>
    </row>
    <row r="1967" spans="1:4" x14ac:dyDescent="0.35">
      <c r="A1967" s="1">
        <v>2008</v>
      </c>
      <c r="B1967" t="s">
        <v>112</v>
      </c>
      <c r="C1967" t="s">
        <v>113</v>
      </c>
      <c r="D1967">
        <v>568086</v>
      </c>
    </row>
    <row r="1968" spans="1:4" x14ac:dyDescent="0.35">
      <c r="A1968" s="1">
        <v>2008</v>
      </c>
      <c r="B1968" t="s">
        <v>186</v>
      </c>
      <c r="C1968" t="s">
        <v>187</v>
      </c>
      <c r="D1968">
        <v>371738</v>
      </c>
    </row>
    <row r="1969" spans="1:4" x14ac:dyDescent="0.35">
      <c r="A1969" s="1">
        <v>2008</v>
      </c>
      <c r="B1969" t="s">
        <v>188</v>
      </c>
      <c r="C1969" t="s">
        <v>189</v>
      </c>
      <c r="D1969">
        <v>235915</v>
      </c>
    </row>
    <row r="1970" spans="1:4" x14ac:dyDescent="0.35">
      <c r="A1970" s="1">
        <v>2008</v>
      </c>
      <c r="B1970" t="s">
        <v>208</v>
      </c>
      <c r="C1970" t="s">
        <v>209</v>
      </c>
      <c r="D1970">
        <v>1001408</v>
      </c>
    </row>
    <row r="1971" spans="1:4" x14ac:dyDescent="0.35">
      <c r="A1971" s="1">
        <v>2008</v>
      </c>
      <c r="B1971" t="s">
        <v>210</v>
      </c>
      <c r="C1971" t="s">
        <v>211</v>
      </c>
      <c r="D1971">
        <v>538902</v>
      </c>
    </row>
    <row r="1972" spans="1:4" x14ac:dyDescent="0.35">
      <c r="A1972" s="1">
        <v>2008</v>
      </c>
      <c r="B1972" t="s">
        <v>198</v>
      </c>
      <c r="C1972" t="s">
        <v>199</v>
      </c>
      <c r="D1972">
        <v>616906</v>
      </c>
    </row>
    <row r="1973" spans="1:4" x14ac:dyDescent="0.35">
      <c r="A1973" s="1">
        <v>2008</v>
      </c>
      <c r="B1973" t="s">
        <v>160</v>
      </c>
      <c r="C1973" t="s">
        <v>161</v>
      </c>
      <c r="D1973">
        <v>424354</v>
      </c>
    </row>
    <row r="1974" spans="1:4" x14ac:dyDescent="0.35">
      <c r="A1974" s="1">
        <v>2008</v>
      </c>
      <c r="B1974" t="s">
        <v>162</v>
      </c>
      <c r="C1974" t="s">
        <v>163</v>
      </c>
      <c r="D1974">
        <v>373940</v>
      </c>
    </row>
    <row r="1975" spans="1:4" x14ac:dyDescent="0.35">
      <c r="A1975" s="1">
        <v>2008</v>
      </c>
      <c r="B1975" t="s">
        <v>102</v>
      </c>
      <c r="C1975" t="s">
        <v>103</v>
      </c>
      <c r="D1975">
        <v>380145</v>
      </c>
    </row>
    <row r="1976" spans="1:4" x14ac:dyDescent="0.35">
      <c r="A1976" s="1">
        <v>2008</v>
      </c>
      <c r="B1976" t="s">
        <v>44</v>
      </c>
      <c r="C1976" t="s">
        <v>45</v>
      </c>
      <c r="D1976">
        <v>342359</v>
      </c>
    </row>
    <row r="1977" spans="1:4" x14ac:dyDescent="0.35">
      <c r="A1977" s="1">
        <v>2008</v>
      </c>
      <c r="B1977" t="s">
        <v>46</v>
      </c>
      <c r="C1977" t="s">
        <v>221</v>
      </c>
      <c r="D1977">
        <v>141958</v>
      </c>
    </row>
    <row r="1978" spans="1:4" x14ac:dyDescent="0.35">
      <c r="A1978" s="1">
        <v>2008</v>
      </c>
      <c r="B1978" t="s">
        <v>120</v>
      </c>
      <c r="C1978" t="s">
        <v>121</v>
      </c>
      <c r="D1978">
        <v>1205850</v>
      </c>
    </row>
    <row r="1979" spans="1:4" x14ac:dyDescent="0.35">
      <c r="A1979" s="1">
        <v>2008</v>
      </c>
      <c r="B1979" t="s">
        <v>122</v>
      </c>
      <c r="C1979" t="s">
        <v>222</v>
      </c>
      <c r="D1979">
        <v>1549619</v>
      </c>
    </row>
    <row r="1980" spans="1:4" x14ac:dyDescent="0.35">
      <c r="A1980" s="1">
        <v>2008</v>
      </c>
      <c r="B1980" t="s">
        <v>124</v>
      </c>
      <c r="C1980" t="s">
        <v>125</v>
      </c>
      <c r="D1980">
        <v>1506466</v>
      </c>
    </row>
    <row r="1981" spans="1:4" x14ac:dyDescent="0.35">
      <c r="A1981" s="1">
        <v>2008</v>
      </c>
      <c r="B1981" t="s">
        <v>126</v>
      </c>
      <c r="C1981" t="s">
        <v>127</v>
      </c>
      <c r="D1981">
        <v>1310876</v>
      </c>
    </row>
    <row r="1982" spans="1:4" x14ac:dyDescent="0.35">
      <c r="A1982" s="1">
        <v>2008</v>
      </c>
      <c r="B1982" t="s">
        <v>128</v>
      </c>
      <c r="C1982" t="s">
        <v>129</v>
      </c>
      <c r="D1982">
        <v>1165397</v>
      </c>
    </row>
    <row r="1983" spans="1:4" x14ac:dyDescent="0.35">
      <c r="A1983" s="1">
        <v>2008</v>
      </c>
      <c r="B1983" t="s">
        <v>223</v>
      </c>
      <c r="D1983">
        <v>62134866</v>
      </c>
    </row>
    <row r="1984" spans="1:4" x14ac:dyDescent="0.35">
      <c r="A1984" s="1">
        <v>2008</v>
      </c>
      <c r="B1984">
        <v>971</v>
      </c>
      <c r="C1984" t="s">
        <v>224</v>
      </c>
      <c r="D1984">
        <v>401784</v>
      </c>
    </row>
    <row r="1985" spans="1:4" x14ac:dyDescent="0.35">
      <c r="A1985" s="1">
        <v>2008</v>
      </c>
      <c r="B1985">
        <v>972</v>
      </c>
      <c r="C1985" t="s">
        <v>225</v>
      </c>
      <c r="D1985">
        <v>397693</v>
      </c>
    </row>
    <row r="1986" spans="1:4" x14ac:dyDescent="0.35">
      <c r="A1986" s="1">
        <v>2008</v>
      </c>
      <c r="B1986">
        <v>973</v>
      </c>
      <c r="C1986" t="s">
        <v>77</v>
      </c>
      <c r="D1986">
        <v>219266</v>
      </c>
    </row>
    <row r="1987" spans="1:4" x14ac:dyDescent="0.35">
      <c r="A1987" s="1">
        <v>2008</v>
      </c>
      <c r="B1987">
        <v>974</v>
      </c>
      <c r="C1987" t="s">
        <v>79</v>
      </c>
      <c r="D1987">
        <v>808250</v>
      </c>
    </row>
    <row r="1988" spans="1:4" x14ac:dyDescent="0.35">
      <c r="A1988" s="1">
        <v>2008</v>
      </c>
      <c r="B1988" t="s">
        <v>226</v>
      </c>
      <c r="D1988">
        <v>1826993</v>
      </c>
    </row>
    <row r="1989" spans="1:4" x14ac:dyDescent="0.35">
      <c r="A1989" s="1">
        <v>2008</v>
      </c>
      <c r="B1989" t="s">
        <v>227</v>
      </c>
      <c r="D1989">
        <v>63961859</v>
      </c>
    </row>
    <row r="1990" spans="1:4" x14ac:dyDescent="0.35">
      <c r="A1990" s="1">
        <v>2008</v>
      </c>
    </row>
    <row r="1991" spans="1:4" x14ac:dyDescent="0.35">
      <c r="A1991" s="1">
        <v>2008</v>
      </c>
      <c r="B1991" t="s">
        <v>240</v>
      </c>
    </row>
    <row r="1992" spans="1:4" x14ac:dyDescent="0.35">
      <c r="A1992" s="1">
        <v>2007</v>
      </c>
      <c r="B1992" t="s">
        <v>251</v>
      </c>
    </row>
    <row r="1993" spans="1:4" x14ac:dyDescent="0.35">
      <c r="A1993" s="1">
        <v>2007</v>
      </c>
      <c r="B1993" t="s">
        <v>255</v>
      </c>
    </row>
    <row r="1994" spans="1:4" x14ac:dyDescent="0.35">
      <c r="A1994" s="1">
        <v>2007</v>
      </c>
    </row>
    <row r="1995" spans="1:4" x14ac:dyDescent="0.35">
      <c r="A1995" s="1">
        <v>2007</v>
      </c>
      <c r="B1995" t="s">
        <v>231</v>
      </c>
    </row>
    <row r="1996" spans="1:4" x14ac:dyDescent="0.35">
      <c r="A1996" s="1">
        <v>2007</v>
      </c>
      <c r="D1996" t="s">
        <v>232</v>
      </c>
    </row>
    <row r="1997" spans="1:4" x14ac:dyDescent="0.35">
      <c r="A1997" s="1">
        <v>2007</v>
      </c>
      <c r="B1997" t="s">
        <v>5</v>
      </c>
      <c r="C1997" t="s">
        <v>6</v>
      </c>
      <c r="D1997">
        <v>574377</v>
      </c>
    </row>
    <row r="1998" spans="1:4" x14ac:dyDescent="0.35">
      <c r="A1998" s="1">
        <v>2007</v>
      </c>
      <c r="B1998" t="s">
        <v>104</v>
      </c>
      <c r="C1998" t="s">
        <v>105</v>
      </c>
      <c r="D1998">
        <v>537820</v>
      </c>
    </row>
    <row r="1999" spans="1:4" x14ac:dyDescent="0.35">
      <c r="A1999" s="1">
        <v>2007</v>
      </c>
      <c r="B1999" t="s">
        <v>10</v>
      </c>
      <c r="C1999" t="s">
        <v>11</v>
      </c>
      <c r="D1999">
        <v>343114</v>
      </c>
    </row>
    <row r="2000" spans="1:4" x14ac:dyDescent="0.35">
      <c r="A2000" s="1">
        <v>2007</v>
      </c>
      <c r="B2000" t="s">
        <v>200</v>
      </c>
      <c r="C2000" t="s">
        <v>201</v>
      </c>
      <c r="D2000">
        <v>156067</v>
      </c>
    </row>
    <row r="2001" spans="1:4" x14ac:dyDescent="0.35">
      <c r="A2001" s="1">
        <v>2007</v>
      </c>
      <c r="B2001" t="s">
        <v>202</v>
      </c>
      <c r="C2001" t="s">
        <v>203</v>
      </c>
      <c r="D2001">
        <v>132482</v>
      </c>
    </row>
    <row r="2002" spans="1:4" x14ac:dyDescent="0.35">
      <c r="A2002" s="1">
        <v>2007</v>
      </c>
      <c r="B2002" t="s">
        <v>204</v>
      </c>
      <c r="C2002" t="s">
        <v>205</v>
      </c>
      <c r="D2002">
        <v>1082465</v>
      </c>
    </row>
    <row r="2003" spans="1:4" x14ac:dyDescent="0.35">
      <c r="A2003" s="1">
        <v>2007</v>
      </c>
      <c r="B2003" t="s">
        <v>12</v>
      </c>
      <c r="C2003" t="s">
        <v>13</v>
      </c>
      <c r="D2003">
        <v>309456</v>
      </c>
    </row>
    <row r="2004" spans="1:4" x14ac:dyDescent="0.35">
      <c r="A2004" s="1">
        <v>2007</v>
      </c>
      <c r="B2004" t="s">
        <v>84</v>
      </c>
      <c r="C2004" t="s">
        <v>85</v>
      </c>
      <c r="D2004">
        <v>284749</v>
      </c>
    </row>
    <row r="2005" spans="1:4" x14ac:dyDescent="0.35">
      <c r="A2005" s="1">
        <v>2007</v>
      </c>
      <c r="B2005" t="s">
        <v>164</v>
      </c>
      <c r="C2005" t="s">
        <v>165</v>
      </c>
      <c r="D2005">
        <v>148568</v>
      </c>
    </row>
    <row r="2006" spans="1:4" x14ac:dyDescent="0.35">
      <c r="A2006" s="1">
        <v>2007</v>
      </c>
      <c r="B2006" t="s">
        <v>86</v>
      </c>
      <c r="C2006" t="s">
        <v>87</v>
      </c>
      <c r="D2006">
        <v>300840</v>
      </c>
    </row>
    <row r="2007" spans="1:4" x14ac:dyDescent="0.35">
      <c r="A2007" s="1">
        <v>2007</v>
      </c>
      <c r="B2007" t="s">
        <v>166</v>
      </c>
      <c r="C2007" t="s">
        <v>167</v>
      </c>
      <c r="D2007">
        <v>345779</v>
      </c>
    </row>
    <row r="2008" spans="1:4" x14ac:dyDescent="0.35">
      <c r="A2008" s="1">
        <v>2007</v>
      </c>
      <c r="B2008" t="s">
        <v>168</v>
      </c>
      <c r="C2008" t="s">
        <v>169</v>
      </c>
      <c r="D2008">
        <v>274425</v>
      </c>
    </row>
    <row r="2009" spans="1:4" x14ac:dyDescent="0.35">
      <c r="A2009" s="1">
        <v>2007</v>
      </c>
      <c r="B2009" t="s">
        <v>206</v>
      </c>
      <c r="C2009" t="s">
        <v>207</v>
      </c>
      <c r="D2009">
        <v>1958926</v>
      </c>
    </row>
    <row r="2010" spans="1:4" x14ac:dyDescent="0.35">
      <c r="A2010" s="1">
        <v>2007</v>
      </c>
      <c r="B2010" t="s">
        <v>130</v>
      </c>
      <c r="C2010" t="s">
        <v>131</v>
      </c>
      <c r="D2010">
        <v>673667</v>
      </c>
    </row>
    <row r="2011" spans="1:4" x14ac:dyDescent="0.35">
      <c r="A2011" s="1">
        <v>2007</v>
      </c>
      <c r="B2011" t="s">
        <v>14</v>
      </c>
      <c r="C2011" t="s">
        <v>15</v>
      </c>
      <c r="D2011">
        <v>149057</v>
      </c>
    </row>
    <row r="2012" spans="1:4" x14ac:dyDescent="0.35">
      <c r="A2012" s="1">
        <v>2007</v>
      </c>
      <c r="B2012" t="s">
        <v>140</v>
      </c>
      <c r="C2012" t="s">
        <v>141</v>
      </c>
      <c r="D2012">
        <v>349535</v>
      </c>
    </row>
    <row r="2013" spans="1:4" x14ac:dyDescent="0.35">
      <c r="A2013" s="1">
        <v>2007</v>
      </c>
      <c r="B2013" t="s">
        <v>142</v>
      </c>
      <c r="C2013" t="s">
        <v>143</v>
      </c>
      <c r="D2013">
        <v>605410</v>
      </c>
    </row>
    <row r="2014" spans="1:4" x14ac:dyDescent="0.35">
      <c r="A2014" s="1">
        <v>2007</v>
      </c>
      <c r="B2014" t="s">
        <v>56</v>
      </c>
      <c r="C2014" t="s">
        <v>57</v>
      </c>
      <c r="D2014">
        <v>314599</v>
      </c>
    </row>
    <row r="2015" spans="1:4" x14ac:dyDescent="0.35">
      <c r="A2015" s="1">
        <v>2007</v>
      </c>
      <c r="B2015" t="s">
        <v>144</v>
      </c>
      <c r="C2015" t="s">
        <v>145</v>
      </c>
      <c r="D2015">
        <v>242038</v>
      </c>
    </row>
    <row r="2016" spans="1:4" x14ac:dyDescent="0.35">
      <c r="A2016" s="1">
        <v>2007</v>
      </c>
      <c r="B2016" t="s">
        <v>68</v>
      </c>
      <c r="C2016" t="s">
        <v>69</v>
      </c>
      <c r="D2016">
        <v>139362</v>
      </c>
    </row>
    <row r="2017" spans="1:4" x14ac:dyDescent="0.35">
      <c r="A2017" s="1">
        <v>2007</v>
      </c>
      <c r="B2017" t="s">
        <v>70</v>
      </c>
      <c r="C2017" t="s">
        <v>71</v>
      </c>
      <c r="D2017">
        <v>159847</v>
      </c>
    </row>
    <row r="2018" spans="1:4" x14ac:dyDescent="0.35">
      <c r="A2018" s="1">
        <v>2007</v>
      </c>
      <c r="B2018" t="s">
        <v>32</v>
      </c>
      <c r="C2018" t="s">
        <v>219</v>
      </c>
      <c r="D2018">
        <v>519143</v>
      </c>
    </row>
    <row r="2019" spans="1:4" x14ac:dyDescent="0.35">
      <c r="A2019" s="1">
        <v>2007</v>
      </c>
      <c r="B2019" t="s">
        <v>48</v>
      </c>
      <c r="C2019" t="s">
        <v>220</v>
      </c>
      <c r="D2019">
        <v>576049</v>
      </c>
    </row>
    <row r="2020" spans="1:4" x14ac:dyDescent="0.35">
      <c r="A2020" s="1">
        <v>2007</v>
      </c>
      <c r="B2020" t="s">
        <v>146</v>
      </c>
      <c r="C2020" t="s">
        <v>147</v>
      </c>
      <c r="D2020">
        <v>123861</v>
      </c>
    </row>
    <row r="2021" spans="1:4" x14ac:dyDescent="0.35">
      <c r="A2021" s="1">
        <v>2007</v>
      </c>
      <c r="B2021" t="s">
        <v>148</v>
      </c>
      <c r="C2021" t="s">
        <v>149</v>
      </c>
      <c r="D2021">
        <v>406793</v>
      </c>
    </row>
    <row r="2022" spans="1:4" x14ac:dyDescent="0.35">
      <c r="A2022" s="1">
        <v>2007</v>
      </c>
      <c r="B2022" t="s">
        <v>34</v>
      </c>
      <c r="C2022" t="s">
        <v>35</v>
      </c>
      <c r="D2022">
        <v>520133</v>
      </c>
    </row>
    <row r="2023" spans="1:4" x14ac:dyDescent="0.35">
      <c r="A2023" s="1">
        <v>2007</v>
      </c>
      <c r="B2023" t="s">
        <v>16</v>
      </c>
      <c r="C2023" t="s">
        <v>17</v>
      </c>
      <c r="D2023">
        <v>473428</v>
      </c>
    </row>
    <row r="2024" spans="1:4" x14ac:dyDescent="0.35">
      <c r="A2024" s="1">
        <v>2007</v>
      </c>
      <c r="B2024" t="s">
        <v>132</v>
      </c>
      <c r="C2024" t="s">
        <v>133</v>
      </c>
      <c r="D2024">
        <v>572105</v>
      </c>
    </row>
    <row r="2025" spans="1:4" x14ac:dyDescent="0.35">
      <c r="A2025" s="1">
        <v>2007</v>
      </c>
      <c r="B2025" t="s">
        <v>58</v>
      </c>
      <c r="C2025" t="s">
        <v>59</v>
      </c>
      <c r="D2025">
        <v>422411</v>
      </c>
    </row>
    <row r="2026" spans="1:4" x14ac:dyDescent="0.35">
      <c r="A2026" s="1">
        <v>2007</v>
      </c>
      <c r="B2026" t="s">
        <v>50</v>
      </c>
      <c r="C2026" t="s">
        <v>51</v>
      </c>
      <c r="D2026">
        <v>885906</v>
      </c>
    </row>
    <row r="2027" spans="1:4" x14ac:dyDescent="0.35">
      <c r="A2027" s="1">
        <v>2007</v>
      </c>
      <c r="B2027" t="s">
        <v>170</v>
      </c>
      <c r="C2027" t="s">
        <v>171</v>
      </c>
      <c r="D2027">
        <v>689847</v>
      </c>
    </row>
    <row r="2028" spans="1:4" x14ac:dyDescent="0.35">
      <c r="A2028" s="1">
        <v>2007</v>
      </c>
      <c r="B2028" t="s">
        <v>172</v>
      </c>
      <c r="C2028" t="s">
        <v>173</v>
      </c>
      <c r="D2028">
        <v>1202920</v>
      </c>
    </row>
    <row r="2029" spans="1:4" x14ac:dyDescent="0.35">
      <c r="A2029" s="1">
        <v>2007</v>
      </c>
      <c r="B2029" t="s">
        <v>174</v>
      </c>
      <c r="C2029" t="s">
        <v>175</v>
      </c>
      <c r="D2029">
        <v>183615</v>
      </c>
    </row>
    <row r="2030" spans="1:4" x14ac:dyDescent="0.35">
      <c r="A2030" s="1">
        <v>2007</v>
      </c>
      <c r="B2030" t="s">
        <v>150</v>
      </c>
      <c r="C2030" t="s">
        <v>151</v>
      </c>
      <c r="D2030">
        <v>1409345</v>
      </c>
    </row>
    <row r="2031" spans="1:4" x14ac:dyDescent="0.35">
      <c r="A2031" s="1">
        <v>2007</v>
      </c>
      <c r="B2031" t="s">
        <v>176</v>
      </c>
      <c r="C2031" t="s">
        <v>177</v>
      </c>
      <c r="D2031">
        <v>1011207</v>
      </c>
    </row>
    <row r="2032" spans="1:4" x14ac:dyDescent="0.35">
      <c r="A2032" s="1">
        <v>2007</v>
      </c>
      <c r="B2032" t="s">
        <v>52</v>
      </c>
      <c r="C2032" t="s">
        <v>53</v>
      </c>
      <c r="D2032">
        <v>955846</v>
      </c>
    </row>
    <row r="2033" spans="1:4" x14ac:dyDescent="0.35">
      <c r="A2033" s="1">
        <v>2007</v>
      </c>
      <c r="B2033" t="s">
        <v>60</v>
      </c>
      <c r="C2033" t="s">
        <v>61</v>
      </c>
      <c r="D2033">
        <v>232799</v>
      </c>
    </row>
    <row r="2034" spans="1:4" x14ac:dyDescent="0.35">
      <c r="A2034" s="1">
        <v>2007</v>
      </c>
      <c r="B2034" t="s">
        <v>62</v>
      </c>
      <c r="C2034" t="s">
        <v>63</v>
      </c>
      <c r="D2034">
        <v>583086</v>
      </c>
    </row>
    <row r="2035" spans="1:4" x14ac:dyDescent="0.35">
      <c r="A2035" s="1">
        <v>2007</v>
      </c>
      <c r="B2035" t="s">
        <v>18</v>
      </c>
      <c r="C2035" t="s">
        <v>19</v>
      </c>
      <c r="D2035">
        <v>1178714</v>
      </c>
    </row>
    <row r="2036" spans="1:4" x14ac:dyDescent="0.35">
      <c r="A2036" s="1">
        <v>2007</v>
      </c>
      <c r="B2036" t="s">
        <v>36</v>
      </c>
      <c r="C2036" t="s">
        <v>37</v>
      </c>
      <c r="D2036">
        <v>258897</v>
      </c>
    </row>
    <row r="2037" spans="1:4" x14ac:dyDescent="0.35">
      <c r="A2037" s="1">
        <v>2007</v>
      </c>
      <c r="B2037" t="s">
        <v>152</v>
      </c>
      <c r="C2037" t="s">
        <v>153</v>
      </c>
      <c r="D2037">
        <v>367492</v>
      </c>
    </row>
    <row r="2038" spans="1:4" x14ac:dyDescent="0.35">
      <c r="A2038" s="1">
        <v>2007</v>
      </c>
      <c r="B2038" t="s">
        <v>64</v>
      </c>
      <c r="C2038" t="s">
        <v>65</v>
      </c>
      <c r="D2038">
        <v>326291</v>
      </c>
    </row>
    <row r="2039" spans="1:4" x14ac:dyDescent="0.35">
      <c r="A2039" s="1">
        <v>2007</v>
      </c>
      <c r="B2039" t="s">
        <v>20</v>
      </c>
      <c r="C2039" t="s">
        <v>21</v>
      </c>
      <c r="D2039">
        <v>740668</v>
      </c>
    </row>
    <row r="2040" spans="1:4" x14ac:dyDescent="0.35">
      <c r="A2040" s="1">
        <v>2007</v>
      </c>
      <c r="B2040" t="s">
        <v>22</v>
      </c>
      <c r="C2040" t="s">
        <v>23</v>
      </c>
      <c r="D2040">
        <v>220437</v>
      </c>
    </row>
    <row r="2041" spans="1:4" x14ac:dyDescent="0.35">
      <c r="A2041" s="1">
        <v>2007</v>
      </c>
      <c r="B2041" t="s">
        <v>190</v>
      </c>
      <c r="C2041" t="s">
        <v>191</v>
      </c>
      <c r="D2041">
        <v>1246798</v>
      </c>
    </row>
    <row r="2042" spans="1:4" x14ac:dyDescent="0.35">
      <c r="A2042" s="1">
        <v>2007</v>
      </c>
      <c r="B2042" t="s">
        <v>66</v>
      </c>
      <c r="C2042" t="s">
        <v>67</v>
      </c>
      <c r="D2042">
        <v>647733</v>
      </c>
    </row>
    <row r="2043" spans="1:4" x14ac:dyDescent="0.35">
      <c r="A2043" s="1">
        <v>2007</v>
      </c>
      <c r="B2043" t="s">
        <v>178</v>
      </c>
      <c r="C2043" t="s">
        <v>179</v>
      </c>
      <c r="D2043">
        <v>171173</v>
      </c>
    </row>
    <row r="2044" spans="1:4" x14ac:dyDescent="0.35">
      <c r="A2044" s="1">
        <v>2007</v>
      </c>
      <c r="B2044" t="s">
        <v>154</v>
      </c>
      <c r="C2044" t="s">
        <v>155</v>
      </c>
      <c r="D2044">
        <v>324170</v>
      </c>
    </row>
    <row r="2045" spans="1:4" x14ac:dyDescent="0.35">
      <c r="A2045" s="1">
        <v>2007</v>
      </c>
      <c r="B2045" t="s">
        <v>180</v>
      </c>
      <c r="C2045" t="s">
        <v>181</v>
      </c>
      <c r="D2045">
        <v>76880</v>
      </c>
    </row>
    <row r="2046" spans="1:4" x14ac:dyDescent="0.35">
      <c r="A2046" s="1">
        <v>2007</v>
      </c>
      <c r="B2046" t="s">
        <v>192</v>
      </c>
      <c r="C2046" t="s">
        <v>193</v>
      </c>
      <c r="D2046">
        <v>770777</v>
      </c>
    </row>
    <row r="2047" spans="1:4" x14ac:dyDescent="0.35">
      <c r="A2047" s="1">
        <v>2007</v>
      </c>
      <c r="B2047" t="s">
        <v>134</v>
      </c>
      <c r="C2047" t="s">
        <v>135</v>
      </c>
      <c r="D2047">
        <v>495153</v>
      </c>
    </row>
    <row r="2048" spans="1:4" x14ac:dyDescent="0.35">
      <c r="A2048" s="1">
        <v>2007</v>
      </c>
      <c r="B2048" t="s">
        <v>88</v>
      </c>
      <c r="C2048" t="s">
        <v>89</v>
      </c>
      <c r="D2048">
        <v>566491</v>
      </c>
    </row>
    <row r="2049" spans="1:4" x14ac:dyDescent="0.35">
      <c r="A2049" s="1">
        <v>2007</v>
      </c>
      <c r="B2049" t="s">
        <v>90</v>
      </c>
      <c r="C2049" t="s">
        <v>91</v>
      </c>
      <c r="D2049">
        <v>187407</v>
      </c>
    </row>
    <row r="2050" spans="1:4" x14ac:dyDescent="0.35">
      <c r="A2050" s="1">
        <v>2007</v>
      </c>
      <c r="B2050" t="s">
        <v>194</v>
      </c>
      <c r="C2050" t="s">
        <v>195</v>
      </c>
      <c r="D2050">
        <v>300643</v>
      </c>
    </row>
    <row r="2051" spans="1:4" x14ac:dyDescent="0.35">
      <c r="A2051" s="1">
        <v>2007</v>
      </c>
      <c r="B2051" t="s">
        <v>92</v>
      </c>
      <c r="C2051" t="s">
        <v>93</v>
      </c>
      <c r="D2051">
        <v>726592</v>
      </c>
    </row>
    <row r="2052" spans="1:4" x14ac:dyDescent="0.35">
      <c r="A2052" s="1">
        <v>2007</v>
      </c>
      <c r="B2052" t="s">
        <v>94</v>
      </c>
      <c r="C2052" t="s">
        <v>95</v>
      </c>
      <c r="D2052">
        <v>193962</v>
      </c>
    </row>
    <row r="2053" spans="1:4" x14ac:dyDescent="0.35">
      <c r="A2053" s="1">
        <v>2007</v>
      </c>
      <c r="B2053" t="s">
        <v>54</v>
      </c>
      <c r="C2053" t="s">
        <v>55</v>
      </c>
      <c r="D2053">
        <v>702487</v>
      </c>
    </row>
    <row r="2054" spans="1:4" x14ac:dyDescent="0.35">
      <c r="A2054" s="1">
        <v>2007</v>
      </c>
      <c r="B2054" t="s">
        <v>96</v>
      </c>
      <c r="C2054" t="s">
        <v>97</v>
      </c>
      <c r="D2054">
        <v>1039023</v>
      </c>
    </row>
    <row r="2055" spans="1:4" x14ac:dyDescent="0.35">
      <c r="A2055" s="1">
        <v>2007</v>
      </c>
      <c r="B2055" t="s">
        <v>38</v>
      </c>
      <c r="C2055" t="s">
        <v>39</v>
      </c>
      <c r="D2055">
        <v>221488</v>
      </c>
    </row>
    <row r="2056" spans="1:4" x14ac:dyDescent="0.35">
      <c r="A2056" s="1">
        <v>2007</v>
      </c>
      <c r="B2056" t="s">
        <v>106</v>
      </c>
      <c r="C2056" t="s">
        <v>107</v>
      </c>
      <c r="D2056">
        <v>2564950</v>
      </c>
    </row>
    <row r="2057" spans="1:4" x14ac:dyDescent="0.35">
      <c r="A2057" s="1">
        <v>2007</v>
      </c>
      <c r="B2057" t="s">
        <v>108</v>
      </c>
      <c r="C2057" t="s">
        <v>109</v>
      </c>
      <c r="D2057">
        <v>796624</v>
      </c>
    </row>
    <row r="2058" spans="1:4" x14ac:dyDescent="0.35">
      <c r="A2058" s="1">
        <v>2007</v>
      </c>
      <c r="B2058" t="s">
        <v>136</v>
      </c>
      <c r="C2058" t="s">
        <v>137</v>
      </c>
      <c r="D2058">
        <v>292609</v>
      </c>
    </row>
    <row r="2059" spans="1:4" x14ac:dyDescent="0.35">
      <c r="A2059" s="1">
        <v>2007</v>
      </c>
      <c r="B2059" t="s">
        <v>110</v>
      </c>
      <c r="C2059" t="s">
        <v>111</v>
      </c>
      <c r="D2059">
        <v>1456726</v>
      </c>
    </row>
    <row r="2060" spans="1:4" x14ac:dyDescent="0.35">
      <c r="A2060" s="1">
        <v>2007</v>
      </c>
      <c r="B2060" t="s">
        <v>24</v>
      </c>
      <c r="C2060" t="s">
        <v>25</v>
      </c>
      <c r="D2060">
        <v>626639</v>
      </c>
    </row>
    <row r="2061" spans="1:4" x14ac:dyDescent="0.35">
      <c r="A2061" s="1">
        <v>2007</v>
      </c>
      <c r="B2061" t="s">
        <v>156</v>
      </c>
      <c r="C2061" t="s">
        <v>157</v>
      </c>
      <c r="D2061">
        <v>643090</v>
      </c>
    </row>
    <row r="2062" spans="1:4" x14ac:dyDescent="0.35">
      <c r="A2062" s="1">
        <v>2007</v>
      </c>
      <c r="B2062" t="s">
        <v>182</v>
      </c>
      <c r="C2062" t="s">
        <v>183</v>
      </c>
      <c r="D2062">
        <v>228594</v>
      </c>
    </row>
    <row r="2063" spans="1:4" x14ac:dyDescent="0.35">
      <c r="A2063" s="1">
        <v>2007</v>
      </c>
      <c r="B2063" t="s">
        <v>184</v>
      </c>
      <c r="C2063" t="s">
        <v>185</v>
      </c>
      <c r="D2063">
        <v>437157</v>
      </c>
    </row>
    <row r="2064" spans="1:4" x14ac:dyDescent="0.35">
      <c r="A2064" s="1">
        <v>2007</v>
      </c>
      <c r="B2064" t="s">
        <v>98</v>
      </c>
      <c r="C2064" t="s">
        <v>99</v>
      </c>
      <c r="D2064">
        <v>1084840</v>
      </c>
    </row>
    <row r="2065" spans="1:4" x14ac:dyDescent="0.35">
      <c r="A2065" s="1">
        <v>2007</v>
      </c>
      <c r="B2065" t="s">
        <v>100</v>
      </c>
      <c r="C2065" t="s">
        <v>101</v>
      </c>
      <c r="D2065">
        <v>742408</v>
      </c>
    </row>
    <row r="2066" spans="1:4" x14ac:dyDescent="0.35">
      <c r="A2066" s="1">
        <v>2007</v>
      </c>
      <c r="B2066" t="s">
        <v>26</v>
      </c>
      <c r="C2066" t="s">
        <v>27</v>
      </c>
      <c r="D2066">
        <v>1677073</v>
      </c>
    </row>
    <row r="2067" spans="1:4" x14ac:dyDescent="0.35">
      <c r="A2067" s="1">
        <v>2007</v>
      </c>
      <c r="B2067" t="s">
        <v>40</v>
      </c>
      <c r="C2067" t="s">
        <v>41</v>
      </c>
      <c r="D2067">
        <v>237197</v>
      </c>
    </row>
    <row r="2068" spans="1:4" x14ac:dyDescent="0.35">
      <c r="A2068" s="1">
        <v>2007</v>
      </c>
      <c r="B2068" t="s">
        <v>42</v>
      </c>
      <c r="C2068" t="s">
        <v>43</v>
      </c>
      <c r="D2068">
        <v>551842</v>
      </c>
    </row>
    <row r="2069" spans="1:4" x14ac:dyDescent="0.35">
      <c r="A2069" s="1">
        <v>2007</v>
      </c>
      <c r="B2069" t="s">
        <v>196</v>
      </c>
      <c r="C2069" t="s">
        <v>197</v>
      </c>
      <c r="D2069">
        <v>556946</v>
      </c>
    </row>
    <row r="2070" spans="1:4" x14ac:dyDescent="0.35">
      <c r="A2070" s="1">
        <v>2007</v>
      </c>
      <c r="B2070" t="s">
        <v>28</v>
      </c>
      <c r="C2070" t="s">
        <v>29</v>
      </c>
      <c r="D2070">
        <v>405535</v>
      </c>
    </row>
    <row r="2071" spans="1:4" x14ac:dyDescent="0.35">
      <c r="A2071" s="1">
        <v>2007</v>
      </c>
      <c r="B2071" t="s">
        <v>30</v>
      </c>
      <c r="C2071" t="s">
        <v>31</v>
      </c>
      <c r="D2071">
        <v>706708</v>
      </c>
    </row>
    <row r="2072" spans="1:4" x14ac:dyDescent="0.35">
      <c r="A2072" s="1">
        <v>2007</v>
      </c>
      <c r="B2072" t="s">
        <v>114</v>
      </c>
      <c r="C2072" t="s">
        <v>115</v>
      </c>
      <c r="D2072">
        <v>2193030</v>
      </c>
    </row>
    <row r="2073" spans="1:4" x14ac:dyDescent="0.35">
      <c r="A2073" s="1">
        <v>2007</v>
      </c>
      <c r="B2073" t="s">
        <v>138</v>
      </c>
      <c r="C2073" t="s">
        <v>139</v>
      </c>
      <c r="D2073">
        <v>1244611</v>
      </c>
    </row>
    <row r="2074" spans="1:4" x14ac:dyDescent="0.35">
      <c r="A2074" s="1">
        <v>2007</v>
      </c>
      <c r="B2074" t="s">
        <v>116</v>
      </c>
      <c r="C2074" t="s">
        <v>117</v>
      </c>
      <c r="D2074">
        <v>1289524</v>
      </c>
    </row>
    <row r="2075" spans="1:4" x14ac:dyDescent="0.35">
      <c r="A2075" s="1">
        <v>2007</v>
      </c>
      <c r="B2075" t="s">
        <v>118</v>
      </c>
      <c r="C2075" t="s">
        <v>119</v>
      </c>
      <c r="D2075">
        <v>1403957</v>
      </c>
    </row>
    <row r="2076" spans="1:4" x14ac:dyDescent="0.35">
      <c r="A2076" s="1">
        <v>2007</v>
      </c>
      <c r="B2076" t="s">
        <v>158</v>
      </c>
      <c r="C2076" t="s">
        <v>159</v>
      </c>
      <c r="D2076">
        <v>362944</v>
      </c>
    </row>
    <row r="2077" spans="1:4" x14ac:dyDescent="0.35">
      <c r="A2077" s="1">
        <v>2007</v>
      </c>
      <c r="B2077" t="s">
        <v>112</v>
      </c>
      <c r="C2077" t="s">
        <v>113</v>
      </c>
      <c r="D2077">
        <v>565910</v>
      </c>
    </row>
    <row r="2078" spans="1:4" x14ac:dyDescent="0.35">
      <c r="A2078" s="1">
        <v>2007</v>
      </c>
      <c r="B2078" t="s">
        <v>186</v>
      </c>
      <c r="C2078" t="s">
        <v>187</v>
      </c>
      <c r="D2078">
        <v>369189</v>
      </c>
    </row>
    <row r="2079" spans="1:4" x14ac:dyDescent="0.35">
      <c r="A2079" s="1">
        <v>2007</v>
      </c>
      <c r="B2079" t="s">
        <v>188</v>
      </c>
      <c r="C2079" t="s">
        <v>189</v>
      </c>
      <c r="D2079">
        <v>231763</v>
      </c>
    </row>
    <row r="2080" spans="1:4" x14ac:dyDescent="0.35">
      <c r="A2080" s="1">
        <v>2007</v>
      </c>
      <c r="B2080" t="s">
        <v>208</v>
      </c>
      <c r="C2080" t="s">
        <v>209</v>
      </c>
      <c r="D2080">
        <v>995934</v>
      </c>
    </row>
    <row r="2081" spans="1:4" x14ac:dyDescent="0.35">
      <c r="A2081" s="1">
        <v>2007</v>
      </c>
      <c r="B2081" t="s">
        <v>210</v>
      </c>
      <c r="C2081" t="s">
        <v>211</v>
      </c>
      <c r="D2081">
        <v>538141</v>
      </c>
    </row>
    <row r="2082" spans="1:4" x14ac:dyDescent="0.35">
      <c r="A2082" s="1">
        <v>2007</v>
      </c>
      <c r="B2082" t="s">
        <v>198</v>
      </c>
      <c r="C2082" t="s">
        <v>199</v>
      </c>
      <c r="D2082">
        <v>607430</v>
      </c>
    </row>
    <row r="2083" spans="1:4" x14ac:dyDescent="0.35">
      <c r="A2083" s="1">
        <v>2007</v>
      </c>
      <c r="B2083" t="s">
        <v>160</v>
      </c>
      <c r="C2083" t="s">
        <v>161</v>
      </c>
      <c r="D2083">
        <v>421891</v>
      </c>
    </row>
    <row r="2084" spans="1:4" x14ac:dyDescent="0.35">
      <c r="A2084" s="1">
        <v>2007</v>
      </c>
      <c r="B2084" t="s">
        <v>162</v>
      </c>
      <c r="C2084" t="s">
        <v>163</v>
      </c>
      <c r="D2084">
        <v>371102</v>
      </c>
    </row>
    <row r="2085" spans="1:4" x14ac:dyDescent="0.35">
      <c r="A2085" s="1">
        <v>2007</v>
      </c>
      <c r="B2085" t="s">
        <v>102</v>
      </c>
      <c r="C2085" t="s">
        <v>103</v>
      </c>
      <c r="D2085">
        <v>380304</v>
      </c>
    </row>
    <row r="2086" spans="1:4" x14ac:dyDescent="0.35">
      <c r="A2086" s="1">
        <v>2007</v>
      </c>
      <c r="B2086" t="s">
        <v>44</v>
      </c>
      <c r="C2086" t="s">
        <v>45</v>
      </c>
      <c r="D2086">
        <v>341418</v>
      </c>
    </row>
    <row r="2087" spans="1:4" x14ac:dyDescent="0.35">
      <c r="A2087" s="1">
        <v>2007</v>
      </c>
      <c r="B2087" t="s">
        <v>46</v>
      </c>
      <c r="C2087" t="s">
        <v>221</v>
      </c>
      <c r="D2087">
        <v>142444</v>
      </c>
    </row>
    <row r="2088" spans="1:4" x14ac:dyDescent="0.35">
      <c r="A2088" s="1">
        <v>2007</v>
      </c>
      <c r="B2088" t="s">
        <v>120</v>
      </c>
      <c r="C2088" t="s">
        <v>121</v>
      </c>
      <c r="D2088">
        <v>1201994</v>
      </c>
    </row>
    <row r="2089" spans="1:4" x14ac:dyDescent="0.35">
      <c r="A2089" s="1">
        <v>2007</v>
      </c>
      <c r="B2089" t="s">
        <v>122</v>
      </c>
      <c r="C2089" t="s">
        <v>222</v>
      </c>
      <c r="D2089">
        <v>1544411</v>
      </c>
    </row>
    <row r="2090" spans="1:4" x14ac:dyDescent="0.35">
      <c r="A2090" s="1">
        <v>2007</v>
      </c>
      <c r="B2090" t="s">
        <v>124</v>
      </c>
      <c r="C2090" t="s">
        <v>125</v>
      </c>
      <c r="D2090">
        <v>1502340</v>
      </c>
    </row>
    <row r="2091" spans="1:4" x14ac:dyDescent="0.35">
      <c r="A2091" s="1">
        <v>2007</v>
      </c>
      <c r="B2091" t="s">
        <v>126</v>
      </c>
      <c r="C2091" t="s">
        <v>127</v>
      </c>
      <c r="D2091">
        <v>1302889</v>
      </c>
    </row>
    <row r="2092" spans="1:4" x14ac:dyDescent="0.35">
      <c r="A2092" s="1">
        <v>2007</v>
      </c>
      <c r="B2092" t="s">
        <v>128</v>
      </c>
      <c r="C2092" t="s">
        <v>129</v>
      </c>
      <c r="D2092">
        <v>1160721</v>
      </c>
    </row>
    <row r="2093" spans="1:4" x14ac:dyDescent="0.35">
      <c r="A2093" s="1">
        <v>2007</v>
      </c>
      <c r="B2093" t="s">
        <v>223</v>
      </c>
      <c r="D2093">
        <v>61795238</v>
      </c>
    </row>
    <row r="2094" spans="1:4" x14ac:dyDescent="0.35">
      <c r="A2094" s="1">
        <v>2007</v>
      </c>
      <c r="B2094">
        <v>971</v>
      </c>
      <c r="C2094" t="s">
        <v>224</v>
      </c>
      <c r="D2094">
        <v>400584</v>
      </c>
    </row>
    <row r="2095" spans="1:4" x14ac:dyDescent="0.35">
      <c r="A2095" s="1">
        <v>2007</v>
      </c>
      <c r="B2095">
        <v>972</v>
      </c>
      <c r="C2095" t="s">
        <v>225</v>
      </c>
      <c r="D2095">
        <v>397730</v>
      </c>
    </row>
    <row r="2096" spans="1:4" x14ac:dyDescent="0.35">
      <c r="A2096" s="1">
        <v>2007</v>
      </c>
      <c r="B2096">
        <v>973</v>
      </c>
      <c r="C2096" t="s">
        <v>77</v>
      </c>
      <c r="D2096">
        <v>213031</v>
      </c>
    </row>
    <row r="2097" spans="1:4" x14ac:dyDescent="0.35">
      <c r="A2097" s="1">
        <v>2007</v>
      </c>
      <c r="B2097">
        <v>974</v>
      </c>
      <c r="C2097" t="s">
        <v>79</v>
      </c>
      <c r="D2097">
        <v>794107</v>
      </c>
    </row>
    <row r="2098" spans="1:4" x14ac:dyDescent="0.35">
      <c r="A2098" s="1">
        <v>2007</v>
      </c>
      <c r="B2098" t="s">
        <v>226</v>
      </c>
      <c r="D2098">
        <v>1805452</v>
      </c>
    </row>
    <row r="2099" spans="1:4" x14ac:dyDescent="0.35">
      <c r="A2099" s="1">
        <v>2007</v>
      </c>
      <c r="B2099" t="s">
        <v>227</v>
      </c>
      <c r="D2099">
        <v>63600690</v>
      </c>
    </row>
    <row r="2100" spans="1:4" x14ac:dyDescent="0.35">
      <c r="A2100" s="1">
        <v>2007</v>
      </c>
    </row>
    <row r="2101" spans="1:4" x14ac:dyDescent="0.35">
      <c r="A2101" s="1">
        <v>2007</v>
      </c>
      <c r="B2101" t="s">
        <v>240</v>
      </c>
    </row>
    <row r="2102" spans="1:4" x14ac:dyDescent="0.35">
      <c r="A2102" s="1">
        <v>2006</v>
      </c>
      <c r="B2102" t="s">
        <v>251</v>
      </c>
    </row>
    <row r="2103" spans="1:4" x14ac:dyDescent="0.35">
      <c r="A2103" s="1">
        <v>2006</v>
      </c>
      <c r="B2103" t="s">
        <v>256</v>
      </c>
    </row>
    <row r="2104" spans="1:4" x14ac:dyDescent="0.35">
      <c r="A2104" s="1">
        <v>2006</v>
      </c>
    </row>
    <row r="2105" spans="1:4" x14ac:dyDescent="0.35">
      <c r="A2105" s="1">
        <v>2006</v>
      </c>
      <c r="B2105" t="s">
        <v>231</v>
      </c>
    </row>
    <row r="2106" spans="1:4" x14ac:dyDescent="0.35">
      <c r="A2106" s="1">
        <v>2006</v>
      </c>
      <c r="D2106" t="s">
        <v>232</v>
      </c>
    </row>
    <row r="2107" spans="1:4" x14ac:dyDescent="0.35">
      <c r="A2107" s="1">
        <v>2006</v>
      </c>
      <c r="B2107" t="s">
        <v>5</v>
      </c>
      <c r="C2107" t="s">
        <v>6</v>
      </c>
      <c r="D2107">
        <v>566740</v>
      </c>
    </row>
    <row r="2108" spans="1:4" x14ac:dyDescent="0.35">
      <c r="A2108" s="1">
        <v>2006</v>
      </c>
      <c r="B2108" t="s">
        <v>104</v>
      </c>
      <c r="C2108" t="s">
        <v>105</v>
      </c>
      <c r="D2108">
        <v>537061</v>
      </c>
    </row>
    <row r="2109" spans="1:4" x14ac:dyDescent="0.35">
      <c r="A2109" s="1">
        <v>2006</v>
      </c>
      <c r="B2109" t="s">
        <v>10</v>
      </c>
      <c r="C2109" t="s">
        <v>11</v>
      </c>
      <c r="D2109">
        <v>343309</v>
      </c>
    </row>
    <row r="2110" spans="1:4" x14ac:dyDescent="0.35">
      <c r="A2110" s="1">
        <v>2006</v>
      </c>
      <c r="B2110" t="s">
        <v>200</v>
      </c>
      <c r="C2110" t="s">
        <v>201</v>
      </c>
      <c r="D2110">
        <v>154501</v>
      </c>
    </row>
    <row r="2111" spans="1:4" x14ac:dyDescent="0.35">
      <c r="A2111" s="1">
        <v>2006</v>
      </c>
      <c r="B2111" t="s">
        <v>202</v>
      </c>
      <c r="C2111" t="s">
        <v>203</v>
      </c>
      <c r="D2111">
        <v>130752</v>
      </c>
    </row>
    <row r="2112" spans="1:4" x14ac:dyDescent="0.35">
      <c r="A2112" s="1">
        <v>2006</v>
      </c>
      <c r="B2112" t="s">
        <v>204</v>
      </c>
      <c r="C2112" t="s">
        <v>205</v>
      </c>
      <c r="D2112">
        <v>1073184</v>
      </c>
    </row>
    <row r="2113" spans="1:4" x14ac:dyDescent="0.35">
      <c r="A2113" s="1">
        <v>2006</v>
      </c>
      <c r="B2113" t="s">
        <v>12</v>
      </c>
      <c r="C2113" t="s">
        <v>13</v>
      </c>
      <c r="D2113">
        <v>306238</v>
      </c>
    </row>
    <row r="2114" spans="1:4" x14ac:dyDescent="0.35">
      <c r="A2114" s="1">
        <v>2006</v>
      </c>
      <c r="B2114" t="s">
        <v>84</v>
      </c>
      <c r="C2114" t="s">
        <v>85</v>
      </c>
      <c r="D2114">
        <v>285653</v>
      </c>
    </row>
    <row r="2115" spans="1:4" x14ac:dyDescent="0.35">
      <c r="A2115" s="1">
        <v>2006</v>
      </c>
      <c r="B2115" t="s">
        <v>164</v>
      </c>
      <c r="C2115" t="s">
        <v>165</v>
      </c>
      <c r="D2115">
        <v>146289</v>
      </c>
    </row>
    <row r="2116" spans="1:4" x14ac:dyDescent="0.35">
      <c r="A2116" s="1">
        <v>2006</v>
      </c>
      <c r="B2116" t="s">
        <v>86</v>
      </c>
      <c r="C2116" t="s">
        <v>87</v>
      </c>
      <c r="D2116">
        <v>299704</v>
      </c>
    </row>
    <row r="2117" spans="1:4" x14ac:dyDescent="0.35">
      <c r="A2117" s="1">
        <v>2006</v>
      </c>
      <c r="B2117" t="s">
        <v>166</v>
      </c>
      <c r="C2117" t="s">
        <v>167</v>
      </c>
      <c r="D2117">
        <v>341022</v>
      </c>
    </row>
    <row r="2118" spans="1:4" x14ac:dyDescent="0.35">
      <c r="A2118" s="1">
        <v>2006</v>
      </c>
      <c r="B2118" t="s">
        <v>168</v>
      </c>
      <c r="C2118" t="s">
        <v>169</v>
      </c>
      <c r="D2118">
        <v>273377</v>
      </c>
    </row>
    <row r="2119" spans="1:4" x14ac:dyDescent="0.35">
      <c r="A2119" s="1">
        <v>2006</v>
      </c>
      <c r="B2119" t="s">
        <v>206</v>
      </c>
      <c r="C2119" t="s">
        <v>207</v>
      </c>
      <c r="D2119">
        <v>1937405</v>
      </c>
    </row>
    <row r="2120" spans="1:4" x14ac:dyDescent="0.35">
      <c r="A2120" s="1">
        <v>2006</v>
      </c>
      <c r="B2120" t="s">
        <v>130</v>
      </c>
      <c r="C2120" t="s">
        <v>131</v>
      </c>
      <c r="D2120">
        <v>671351</v>
      </c>
    </row>
    <row r="2121" spans="1:4" x14ac:dyDescent="0.35">
      <c r="A2121" s="1">
        <v>2006</v>
      </c>
      <c r="B2121" t="s">
        <v>14</v>
      </c>
      <c r="C2121" t="s">
        <v>15</v>
      </c>
      <c r="D2121">
        <v>149682</v>
      </c>
    </row>
    <row r="2122" spans="1:4" x14ac:dyDescent="0.35">
      <c r="A2122" s="1">
        <v>2006</v>
      </c>
      <c r="B2122" t="s">
        <v>140</v>
      </c>
      <c r="C2122" t="s">
        <v>141</v>
      </c>
      <c r="D2122">
        <v>347037</v>
      </c>
    </row>
    <row r="2123" spans="1:4" x14ac:dyDescent="0.35">
      <c r="A2123" s="1">
        <v>2006</v>
      </c>
      <c r="B2123" t="s">
        <v>142</v>
      </c>
      <c r="C2123" t="s">
        <v>143</v>
      </c>
      <c r="D2123">
        <v>598915</v>
      </c>
    </row>
    <row r="2124" spans="1:4" x14ac:dyDescent="0.35">
      <c r="A2124" s="1">
        <v>2006</v>
      </c>
      <c r="B2124" t="s">
        <v>56</v>
      </c>
      <c r="C2124" t="s">
        <v>57</v>
      </c>
      <c r="D2124">
        <v>314675</v>
      </c>
    </row>
    <row r="2125" spans="1:4" x14ac:dyDescent="0.35">
      <c r="A2125" s="1">
        <v>2006</v>
      </c>
      <c r="B2125" t="s">
        <v>144</v>
      </c>
      <c r="C2125" t="s">
        <v>145</v>
      </c>
      <c r="D2125">
        <v>240363</v>
      </c>
    </row>
    <row r="2126" spans="1:4" x14ac:dyDescent="0.35">
      <c r="A2126" s="1">
        <v>2006</v>
      </c>
      <c r="B2126" t="s">
        <v>68</v>
      </c>
      <c r="C2126" t="s">
        <v>69</v>
      </c>
      <c r="D2126">
        <v>135718</v>
      </c>
    </row>
    <row r="2127" spans="1:4" x14ac:dyDescent="0.35">
      <c r="A2127" s="1">
        <v>2006</v>
      </c>
      <c r="B2127" t="s">
        <v>70</v>
      </c>
      <c r="C2127" t="s">
        <v>71</v>
      </c>
      <c r="D2127">
        <v>158400</v>
      </c>
    </row>
    <row r="2128" spans="1:4" x14ac:dyDescent="0.35">
      <c r="A2128" s="1">
        <v>2006</v>
      </c>
      <c r="B2128" t="s">
        <v>32</v>
      </c>
      <c r="C2128" t="s">
        <v>219</v>
      </c>
      <c r="D2128">
        <v>517168</v>
      </c>
    </row>
    <row r="2129" spans="1:4" x14ac:dyDescent="0.35">
      <c r="A2129" s="1">
        <v>2006</v>
      </c>
      <c r="B2129" t="s">
        <v>48</v>
      </c>
      <c r="C2129" t="s">
        <v>220</v>
      </c>
      <c r="D2129">
        <v>570861</v>
      </c>
    </row>
    <row r="2130" spans="1:4" x14ac:dyDescent="0.35">
      <c r="A2130" s="1">
        <v>2006</v>
      </c>
      <c r="B2130" t="s">
        <v>146</v>
      </c>
      <c r="C2130" t="s">
        <v>147</v>
      </c>
      <c r="D2130">
        <v>123401</v>
      </c>
    </row>
    <row r="2131" spans="1:4" x14ac:dyDescent="0.35">
      <c r="A2131" s="1">
        <v>2006</v>
      </c>
      <c r="B2131" t="s">
        <v>148</v>
      </c>
      <c r="C2131" t="s">
        <v>149</v>
      </c>
      <c r="D2131">
        <v>404052</v>
      </c>
    </row>
    <row r="2132" spans="1:4" x14ac:dyDescent="0.35">
      <c r="A2132" s="1">
        <v>2006</v>
      </c>
      <c r="B2132" t="s">
        <v>34</v>
      </c>
      <c r="C2132" t="s">
        <v>35</v>
      </c>
      <c r="D2132">
        <v>516157</v>
      </c>
    </row>
    <row r="2133" spans="1:4" x14ac:dyDescent="0.35">
      <c r="A2133" s="1">
        <v>2006</v>
      </c>
      <c r="B2133" t="s">
        <v>16</v>
      </c>
      <c r="C2133" t="s">
        <v>17</v>
      </c>
      <c r="D2133">
        <v>468608</v>
      </c>
    </row>
    <row r="2134" spans="1:4" x14ac:dyDescent="0.35">
      <c r="A2134" s="1">
        <v>2006</v>
      </c>
      <c r="B2134" t="s">
        <v>132</v>
      </c>
      <c r="C2134" t="s">
        <v>133</v>
      </c>
      <c r="D2134">
        <v>567221</v>
      </c>
    </row>
    <row r="2135" spans="1:4" x14ac:dyDescent="0.35">
      <c r="A2135" s="1">
        <v>2006</v>
      </c>
      <c r="B2135" t="s">
        <v>58</v>
      </c>
      <c r="C2135" t="s">
        <v>59</v>
      </c>
      <c r="D2135">
        <v>421114</v>
      </c>
    </row>
    <row r="2136" spans="1:4" x14ac:dyDescent="0.35">
      <c r="A2136" s="1">
        <v>2006</v>
      </c>
      <c r="B2136" t="s">
        <v>50</v>
      </c>
      <c r="C2136" t="s">
        <v>51</v>
      </c>
      <c r="D2136">
        <v>883001</v>
      </c>
    </row>
    <row r="2137" spans="1:4" x14ac:dyDescent="0.35">
      <c r="A2137" s="1">
        <v>2006</v>
      </c>
      <c r="B2137" t="s">
        <v>170</v>
      </c>
      <c r="C2137" t="s">
        <v>171</v>
      </c>
      <c r="D2137">
        <v>683169</v>
      </c>
    </row>
    <row r="2138" spans="1:4" x14ac:dyDescent="0.35">
      <c r="A2138" s="1">
        <v>2006</v>
      </c>
      <c r="B2138" t="s">
        <v>172</v>
      </c>
      <c r="C2138" t="s">
        <v>173</v>
      </c>
      <c r="D2138">
        <v>1186330</v>
      </c>
    </row>
    <row r="2139" spans="1:4" x14ac:dyDescent="0.35">
      <c r="A2139" s="1">
        <v>2006</v>
      </c>
      <c r="B2139" t="s">
        <v>174</v>
      </c>
      <c r="C2139" t="s">
        <v>175</v>
      </c>
      <c r="D2139">
        <v>181375</v>
      </c>
    </row>
    <row r="2140" spans="1:4" x14ac:dyDescent="0.35">
      <c r="A2140" s="1">
        <v>2006</v>
      </c>
      <c r="B2140" t="s">
        <v>150</v>
      </c>
      <c r="C2140" t="s">
        <v>151</v>
      </c>
      <c r="D2140">
        <v>1393758</v>
      </c>
    </row>
    <row r="2141" spans="1:4" x14ac:dyDescent="0.35">
      <c r="A2141" s="1">
        <v>2006</v>
      </c>
      <c r="B2141" t="s">
        <v>176</v>
      </c>
      <c r="C2141" t="s">
        <v>177</v>
      </c>
      <c r="D2141">
        <v>1001041</v>
      </c>
    </row>
    <row r="2142" spans="1:4" x14ac:dyDescent="0.35">
      <c r="A2142" s="1">
        <v>2006</v>
      </c>
      <c r="B2142" t="s">
        <v>52</v>
      </c>
      <c r="C2142" t="s">
        <v>53</v>
      </c>
      <c r="D2142">
        <v>945851</v>
      </c>
    </row>
    <row r="2143" spans="1:4" x14ac:dyDescent="0.35">
      <c r="A2143" s="1">
        <v>2006</v>
      </c>
      <c r="B2143" t="s">
        <v>60</v>
      </c>
      <c r="C2143" t="s">
        <v>61</v>
      </c>
      <c r="D2143">
        <v>232959</v>
      </c>
    </row>
    <row r="2144" spans="1:4" x14ac:dyDescent="0.35">
      <c r="A2144" s="1">
        <v>2006</v>
      </c>
      <c r="B2144" t="s">
        <v>62</v>
      </c>
      <c r="C2144" t="s">
        <v>63</v>
      </c>
      <c r="D2144">
        <v>580312</v>
      </c>
    </row>
    <row r="2145" spans="1:4" x14ac:dyDescent="0.35">
      <c r="A2145" s="1">
        <v>2006</v>
      </c>
      <c r="B2145" t="s">
        <v>18</v>
      </c>
      <c r="C2145" t="s">
        <v>19</v>
      </c>
      <c r="D2145">
        <v>1169491</v>
      </c>
    </row>
    <row r="2146" spans="1:4" x14ac:dyDescent="0.35">
      <c r="A2146" s="1">
        <v>2006</v>
      </c>
      <c r="B2146" t="s">
        <v>36</v>
      </c>
      <c r="C2146" t="s">
        <v>37</v>
      </c>
      <c r="D2146">
        <v>257399</v>
      </c>
    </row>
    <row r="2147" spans="1:4" x14ac:dyDescent="0.35">
      <c r="A2147" s="1">
        <v>2006</v>
      </c>
      <c r="B2147" t="s">
        <v>152</v>
      </c>
      <c r="C2147" t="s">
        <v>153</v>
      </c>
      <c r="D2147">
        <v>362827</v>
      </c>
    </row>
    <row r="2148" spans="1:4" x14ac:dyDescent="0.35">
      <c r="A2148" s="1">
        <v>2006</v>
      </c>
      <c r="B2148" t="s">
        <v>64</v>
      </c>
      <c r="C2148" t="s">
        <v>65</v>
      </c>
      <c r="D2148">
        <v>325182</v>
      </c>
    </row>
    <row r="2149" spans="1:4" x14ac:dyDescent="0.35">
      <c r="A2149" s="1">
        <v>2006</v>
      </c>
      <c r="B2149" t="s">
        <v>20</v>
      </c>
      <c r="C2149" t="s">
        <v>21</v>
      </c>
      <c r="D2149">
        <v>741269</v>
      </c>
    </row>
    <row r="2150" spans="1:4" x14ac:dyDescent="0.35">
      <c r="A2150" s="1">
        <v>2006</v>
      </c>
      <c r="B2150" t="s">
        <v>22</v>
      </c>
      <c r="C2150" t="s">
        <v>23</v>
      </c>
      <c r="D2150">
        <v>219484</v>
      </c>
    </row>
    <row r="2151" spans="1:4" x14ac:dyDescent="0.35">
      <c r="A2151" s="1">
        <v>2006</v>
      </c>
      <c r="B2151" t="s">
        <v>190</v>
      </c>
      <c r="C2151" t="s">
        <v>191</v>
      </c>
      <c r="D2151">
        <v>1234085</v>
      </c>
    </row>
    <row r="2152" spans="1:4" x14ac:dyDescent="0.35">
      <c r="A2152" s="1">
        <v>2006</v>
      </c>
      <c r="B2152" t="s">
        <v>66</v>
      </c>
      <c r="C2152" t="s">
        <v>67</v>
      </c>
      <c r="D2152">
        <v>645325</v>
      </c>
    </row>
    <row r="2153" spans="1:4" x14ac:dyDescent="0.35">
      <c r="A2153" s="1">
        <v>2006</v>
      </c>
      <c r="B2153" t="s">
        <v>178</v>
      </c>
      <c r="C2153" t="s">
        <v>179</v>
      </c>
      <c r="D2153">
        <v>169531</v>
      </c>
    </row>
    <row r="2154" spans="1:4" x14ac:dyDescent="0.35">
      <c r="A2154" s="1">
        <v>2006</v>
      </c>
      <c r="B2154" t="s">
        <v>154</v>
      </c>
      <c r="C2154" t="s">
        <v>155</v>
      </c>
      <c r="D2154">
        <v>322292</v>
      </c>
    </row>
    <row r="2155" spans="1:4" x14ac:dyDescent="0.35">
      <c r="A2155" s="1">
        <v>2006</v>
      </c>
      <c r="B2155" t="s">
        <v>180</v>
      </c>
      <c r="C2155" t="s">
        <v>181</v>
      </c>
      <c r="D2155">
        <v>76800</v>
      </c>
    </row>
    <row r="2156" spans="1:4" x14ac:dyDescent="0.35">
      <c r="A2156" s="1">
        <v>2006</v>
      </c>
      <c r="B2156" t="s">
        <v>192</v>
      </c>
      <c r="C2156" t="s">
        <v>193</v>
      </c>
      <c r="D2156">
        <v>766659</v>
      </c>
    </row>
    <row r="2157" spans="1:4" x14ac:dyDescent="0.35">
      <c r="A2157" s="1">
        <v>2006</v>
      </c>
      <c r="B2157" t="s">
        <v>134</v>
      </c>
      <c r="C2157" t="s">
        <v>135</v>
      </c>
      <c r="D2157">
        <v>492563</v>
      </c>
    </row>
    <row r="2158" spans="1:4" x14ac:dyDescent="0.35">
      <c r="A2158" s="1">
        <v>2006</v>
      </c>
      <c r="B2158" t="s">
        <v>88</v>
      </c>
      <c r="C2158" t="s">
        <v>89</v>
      </c>
      <c r="D2158">
        <v>565841</v>
      </c>
    </row>
    <row r="2159" spans="1:4" x14ac:dyDescent="0.35">
      <c r="A2159" s="1">
        <v>2006</v>
      </c>
      <c r="B2159" t="s">
        <v>90</v>
      </c>
      <c r="C2159" t="s">
        <v>91</v>
      </c>
      <c r="D2159">
        <v>187652</v>
      </c>
    </row>
    <row r="2160" spans="1:4" x14ac:dyDescent="0.35">
      <c r="A2160" s="1">
        <v>2006</v>
      </c>
      <c r="B2160" t="s">
        <v>194</v>
      </c>
      <c r="C2160" t="s">
        <v>195</v>
      </c>
      <c r="D2160">
        <v>299000</v>
      </c>
    </row>
    <row r="2161" spans="1:4" x14ac:dyDescent="0.35">
      <c r="A2161" s="1">
        <v>2006</v>
      </c>
      <c r="B2161" t="s">
        <v>92</v>
      </c>
      <c r="C2161" t="s">
        <v>93</v>
      </c>
      <c r="D2161">
        <v>725302</v>
      </c>
    </row>
    <row r="2162" spans="1:4" x14ac:dyDescent="0.35">
      <c r="A2162" s="1">
        <v>2006</v>
      </c>
      <c r="B2162" t="s">
        <v>94</v>
      </c>
      <c r="C2162" t="s">
        <v>95</v>
      </c>
      <c r="D2162">
        <v>193696</v>
      </c>
    </row>
    <row r="2163" spans="1:4" x14ac:dyDescent="0.35">
      <c r="A2163" s="1">
        <v>2006</v>
      </c>
      <c r="B2163" t="s">
        <v>54</v>
      </c>
      <c r="C2163" t="s">
        <v>55</v>
      </c>
      <c r="D2163">
        <v>694821</v>
      </c>
    </row>
    <row r="2164" spans="1:4" x14ac:dyDescent="0.35">
      <c r="A2164" s="1">
        <v>2006</v>
      </c>
      <c r="B2164" t="s">
        <v>96</v>
      </c>
      <c r="C2164" t="s">
        <v>97</v>
      </c>
      <c r="D2164">
        <v>1036776</v>
      </c>
    </row>
    <row r="2165" spans="1:4" x14ac:dyDescent="0.35">
      <c r="A2165" s="1">
        <v>2006</v>
      </c>
      <c r="B2165" t="s">
        <v>38</v>
      </c>
      <c r="C2165" t="s">
        <v>39</v>
      </c>
      <c r="D2165">
        <v>222220</v>
      </c>
    </row>
    <row r="2166" spans="1:4" x14ac:dyDescent="0.35">
      <c r="A2166" s="1">
        <v>2006</v>
      </c>
      <c r="B2166" t="s">
        <v>106</v>
      </c>
      <c r="C2166" t="s">
        <v>107</v>
      </c>
      <c r="D2166">
        <v>2565257</v>
      </c>
    </row>
    <row r="2167" spans="1:4" x14ac:dyDescent="0.35">
      <c r="A2167" s="1">
        <v>2006</v>
      </c>
      <c r="B2167" t="s">
        <v>108</v>
      </c>
      <c r="C2167" t="s">
        <v>109</v>
      </c>
      <c r="D2167">
        <v>792975</v>
      </c>
    </row>
    <row r="2168" spans="1:4" x14ac:dyDescent="0.35">
      <c r="A2168" s="1">
        <v>2006</v>
      </c>
      <c r="B2168" t="s">
        <v>136</v>
      </c>
      <c r="C2168" t="s">
        <v>137</v>
      </c>
      <c r="D2168">
        <v>292879</v>
      </c>
    </row>
    <row r="2169" spans="1:4" x14ac:dyDescent="0.35">
      <c r="A2169" s="1">
        <v>2006</v>
      </c>
      <c r="B2169" t="s">
        <v>110</v>
      </c>
      <c r="C2169" t="s">
        <v>111</v>
      </c>
      <c r="D2169">
        <v>1453387</v>
      </c>
    </row>
    <row r="2170" spans="1:4" x14ac:dyDescent="0.35">
      <c r="A2170" s="1">
        <v>2006</v>
      </c>
      <c r="B2170" t="s">
        <v>24</v>
      </c>
      <c r="C2170" t="s">
        <v>25</v>
      </c>
      <c r="D2170">
        <v>623463</v>
      </c>
    </row>
    <row r="2171" spans="1:4" x14ac:dyDescent="0.35">
      <c r="A2171" s="1">
        <v>2006</v>
      </c>
      <c r="B2171" t="s">
        <v>156</v>
      </c>
      <c r="C2171" t="s">
        <v>157</v>
      </c>
      <c r="D2171">
        <v>636849</v>
      </c>
    </row>
    <row r="2172" spans="1:4" x14ac:dyDescent="0.35">
      <c r="A2172" s="1">
        <v>2006</v>
      </c>
      <c r="B2172" t="s">
        <v>182</v>
      </c>
      <c r="C2172" t="s">
        <v>183</v>
      </c>
      <c r="D2172">
        <v>227736</v>
      </c>
    </row>
    <row r="2173" spans="1:4" x14ac:dyDescent="0.35">
      <c r="A2173" s="1">
        <v>2006</v>
      </c>
      <c r="B2173" t="s">
        <v>184</v>
      </c>
      <c r="C2173" t="s">
        <v>185</v>
      </c>
      <c r="D2173">
        <v>432112</v>
      </c>
    </row>
    <row r="2174" spans="1:4" x14ac:dyDescent="0.35">
      <c r="A2174" s="1">
        <v>2006</v>
      </c>
      <c r="B2174" t="s">
        <v>98</v>
      </c>
      <c r="C2174" t="s">
        <v>99</v>
      </c>
      <c r="D2174">
        <v>1079016</v>
      </c>
    </row>
    <row r="2175" spans="1:4" x14ac:dyDescent="0.35">
      <c r="A2175" s="1">
        <v>2006</v>
      </c>
      <c r="B2175" t="s">
        <v>100</v>
      </c>
      <c r="C2175" t="s">
        <v>101</v>
      </c>
      <c r="D2175">
        <v>736477</v>
      </c>
    </row>
    <row r="2176" spans="1:4" x14ac:dyDescent="0.35">
      <c r="A2176" s="1">
        <v>2006</v>
      </c>
      <c r="B2176" t="s">
        <v>26</v>
      </c>
      <c r="C2176" t="s">
        <v>27</v>
      </c>
      <c r="D2176">
        <v>1669655</v>
      </c>
    </row>
    <row r="2177" spans="1:4" x14ac:dyDescent="0.35">
      <c r="A2177" s="1">
        <v>2006</v>
      </c>
      <c r="B2177" t="s">
        <v>40</v>
      </c>
      <c r="C2177" t="s">
        <v>41</v>
      </c>
      <c r="D2177">
        <v>235867</v>
      </c>
    </row>
    <row r="2178" spans="1:4" x14ac:dyDescent="0.35">
      <c r="A2178" s="1">
        <v>2006</v>
      </c>
      <c r="B2178" t="s">
        <v>42</v>
      </c>
      <c r="C2178" t="s">
        <v>43</v>
      </c>
      <c r="D2178">
        <v>549361</v>
      </c>
    </row>
    <row r="2179" spans="1:4" x14ac:dyDescent="0.35">
      <c r="A2179" s="1">
        <v>2006</v>
      </c>
      <c r="B2179" t="s">
        <v>196</v>
      </c>
      <c r="C2179" t="s">
        <v>197</v>
      </c>
      <c r="D2179">
        <v>553484</v>
      </c>
    </row>
    <row r="2180" spans="1:4" x14ac:dyDescent="0.35">
      <c r="A2180" s="1">
        <v>2006</v>
      </c>
      <c r="B2180" t="s">
        <v>28</v>
      </c>
      <c r="C2180" t="s">
        <v>29</v>
      </c>
      <c r="D2180">
        <v>403090</v>
      </c>
    </row>
    <row r="2181" spans="1:4" x14ac:dyDescent="0.35">
      <c r="A2181" s="1">
        <v>2006</v>
      </c>
      <c r="B2181" t="s">
        <v>30</v>
      </c>
      <c r="C2181" t="s">
        <v>31</v>
      </c>
      <c r="D2181">
        <v>696255</v>
      </c>
    </row>
    <row r="2182" spans="1:4" x14ac:dyDescent="0.35">
      <c r="A2182" s="1">
        <v>2006</v>
      </c>
      <c r="B2182" t="s">
        <v>114</v>
      </c>
      <c r="C2182" t="s">
        <v>115</v>
      </c>
      <c r="D2182">
        <v>2181371</v>
      </c>
    </row>
    <row r="2183" spans="1:4" x14ac:dyDescent="0.35">
      <c r="A2183" s="1">
        <v>2006</v>
      </c>
      <c r="B2183" t="s">
        <v>138</v>
      </c>
      <c r="C2183" t="s">
        <v>139</v>
      </c>
      <c r="D2183">
        <v>1243834</v>
      </c>
    </row>
    <row r="2184" spans="1:4" x14ac:dyDescent="0.35">
      <c r="A2184" s="1">
        <v>2006</v>
      </c>
      <c r="B2184" t="s">
        <v>116</v>
      </c>
      <c r="C2184" t="s">
        <v>117</v>
      </c>
      <c r="D2184">
        <v>1273488</v>
      </c>
    </row>
    <row r="2185" spans="1:4" x14ac:dyDescent="0.35">
      <c r="A2185" s="1">
        <v>2006</v>
      </c>
      <c r="B2185" t="s">
        <v>118</v>
      </c>
      <c r="C2185" t="s">
        <v>119</v>
      </c>
      <c r="D2185">
        <v>1395804</v>
      </c>
    </row>
    <row r="2186" spans="1:4" x14ac:dyDescent="0.35">
      <c r="A2186" s="1">
        <v>2006</v>
      </c>
      <c r="B2186" t="s">
        <v>158</v>
      </c>
      <c r="C2186" t="s">
        <v>159</v>
      </c>
      <c r="D2186">
        <v>359711</v>
      </c>
    </row>
    <row r="2187" spans="1:4" x14ac:dyDescent="0.35">
      <c r="A2187" s="1">
        <v>2006</v>
      </c>
      <c r="B2187" t="s">
        <v>112</v>
      </c>
      <c r="C2187" t="s">
        <v>113</v>
      </c>
      <c r="D2187">
        <v>564319</v>
      </c>
    </row>
    <row r="2188" spans="1:4" x14ac:dyDescent="0.35">
      <c r="A2188" s="1">
        <v>2006</v>
      </c>
      <c r="B2188" t="s">
        <v>186</v>
      </c>
      <c r="C2188" t="s">
        <v>187</v>
      </c>
      <c r="D2188">
        <v>365335</v>
      </c>
    </row>
    <row r="2189" spans="1:4" x14ac:dyDescent="0.35">
      <c r="A2189" s="1">
        <v>2006</v>
      </c>
      <c r="B2189" t="s">
        <v>188</v>
      </c>
      <c r="C2189" t="s">
        <v>189</v>
      </c>
      <c r="D2189">
        <v>226849</v>
      </c>
    </row>
    <row r="2190" spans="1:4" x14ac:dyDescent="0.35">
      <c r="A2190" s="1">
        <v>2006</v>
      </c>
      <c r="B2190" t="s">
        <v>208</v>
      </c>
      <c r="C2190" t="s">
        <v>209</v>
      </c>
      <c r="D2190">
        <v>985099</v>
      </c>
    </row>
    <row r="2191" spans="1:4" x14ac:dyDescent="0.35">
      <c r="A2191" s="1">
        <v>2006</v>
      </c>
      <c r="B2191" t="s">
        <v>210</v>
      </c>
      <c r="C2191" t="s">
        <v>211</v>
      </c>
      <c r="D2191">
        <v>534291</v>
      </c>
    </row>
    <row r="2192" spans="1:4" x14ac:dyDescent="0.35">
      <c r="A2192" s="1">
        <v>2006</v>
      </c>
      <c r="B2192" t="s">
        <v>198</v>
      </c>
      <c r="C2192" t="s">
        <v>199</v>
      </c>
      <c r="D2192">
        <v>597185</v>
      </c>
    </row>
    <row r="2193" spans="1:4" x14ac:dyDescent="0.35">
      <c r="A2193" s="1">
        <v>2006</v>
      </c>
      <c r="B2193" t="s">
        <v>160</v>
      </c>
      <c r="C2193" t="s">
        <v>161</v>
      </c>
      <c r="D2193">
        <v>418460</v>
      </c>
    </row>
    <row r="2194" spans="1:4" x14ac:dyDescent="0.35">
      <c r="A2194" s="1">
        <v>2006</v>
      </c>
      <c r="B2194" t="s">
        <v>162</v>
      </c>
      <c r="C2194" t="s">
        <v>163</v>
      </c>
      <c r="D2194">
        <v>367156</v>
      </c>
    </row>
    <row r="2195" spans="1:4" x14ac:dyDescent="0.35">
      <c r="A2195" s="1">
        <v>2006</v>
      </c>
      <c r="B2195" t="s">
        <v>102</v>
      </c>
      <c r="C2195" t="s">
        <v>103</v>
      </c>
      <c r="D2195">
        <v>379975</v>
      </c>
    </row>
    <row r="2196" spans="1:4" x14ac:dyDescent="0.35">
      <c r="A2196" s="1">
        <v>2006</v>
      </c>
      <c r="B2196" t="s">
        <v>44</v>
      </c>
      <c r="C2196" t="s">
        <v>45</v>
      </c>
      <c r="D2196">
        <v>340088</v>
      </c>
    </row>
    <row r="2197" spans="1:4" x14ac:dyDescent="0.35">
      <c r="A2197" s="1">
        <v>2006</v>
      </c>
      <c r="B2197" t="s">
        <v>46</v>
      </c>
      <c r="C2197" t="s">
        <v>221</v>
      </c>
      <c r="D2197">
        <v>141201</v>
      </c>
    </row>
    <row r="2198" spans="1:4" x14ac:dyDescent="0.35">
      <c r="A2198" s="1">
        <v>2006</v>
      </c>
      <c r="B2198" t="s">
        <v>120</v>
      </c>
      <c r="C2198" t="s">
        <v>121</v>
      </c>
      <c r="D2198">
        <v>1198273</v>
      </c>
    </row>
    <row r="2199" spans="1:4" x14ac:dyDescent="0.35">
      <c r="A2199" s="1">
        <v>2006</v>
      </c>
      <c r="B2199" t="s">
        <v>122</v>
      </c>
      <c r="C2199" t="s">
        <v>222</v>
      </c>
      <c r="D2199">
        <v>1536100</v>
      </c>
    </row>
    <row r="2200" spans="1:4" x14ac:dyDescent="0.35">
      <c r="A2200" s="1">
        <v>2006</v>
      </c>
      <c r="B2200" t="s">
        <v>124</v>
      </c>
      <c r="C2200" t="s">
        <v>125</v>
      </c>
      <c r="D2200">
        <v>1491970</v>
      </c>
    </row>
    <row r="2201" spans="1:4" x14ac:dyDescent="0.35">
      <c r="A2201" s="1">
        <v>2006</v>
      </c>
      <c r="B2201" t="s">
        <v>126</v>
      </c>
      <c r="C2201" t="s">
        <v>127</v>
      </c>
      <c r="D2201">
        <v>1298340</v>
      </c>
    </row>
    <row r="2202" spans="1:4" x14ac:dyDescent="0.35">
      <c r="A2202" s="1">
        <v>2006</v>
      </c>
      <c r="B2202" t="s">
        <v>128</v>
      </c>
      <c r="C2202" t="s">
        <v>129</v>
      </c>
      <c r="D2202">
        <v>1157052</v>
      </c>
    </row>
    <row r="2203" spans="1:4" x14ac:dyDescent="0.35">
      <c r="A2203" s="1">
        <v>2006</v>
      </c>
      <c r="B2203" t="s">
        <v>257</v>
      </c>
      <c r="D2203">
        <v>61399733</v>
      </c>
    </row>
    <row r="2204" spans="1:4" x14ac:dyDescent="0.35">
      <c r="A2204" s="1">
        <v>2006</v>
      </c>
      <c r="B2204">
        <v>971</v>
      </c>
      <c r="C2204" t="s">
        <v>73</v>
      </c>
      <c r="D2204">
        <v>400736</v>
      </c>
    </row>
    <row r="2205" spans="1:4" x14ac:dyDescent="0.35">
      <c r="A2205" s="1">
        <v>2006</v>
      </c>
      <c r="B2205">
        <v>972</v>
      </c>
      <c r="C2205" t="s">
        <v>75</v>
      </c>
      <c r="D2205">
        <v>397732</v>
      </c>
    </row>
    <row r="2206" spans="1:4" x14ac:dyDescent="0.35">
      <c r="A2206" s="1">
        <v>2006</v>
      </c>
      <c r="B2206">
        <v>973</v>
      </c>
      <c r="C2206" t="s">
        <v>77</v>
      </c>
      <c r="D2206">
        <v>205954</v>
      </c>
    </row>
    <row r="2207" spans="1:4" x14ac:dyDescent="0.35">
      <c r="A2207" s="1">
        <v>2006</v>
      </c>
      <c r="B2207">
        <v>974</v>
      </c>
      <c r="C2207" t="s">
        <v>258</v>
      </c>
      <c r="D2207">
        <v>781962</v>
      </c>
    </row>
    <row r="2208" spans="1:4" x14ac:dyDescent="0.35">
      <c r="A2208" s="1">
        <v>2006</v>
      </c>
      <c r="B2208" t="s">
        <v>226</v>
      </c>
      <c r="D2208">
        <v>1786384</v>
      </c>
    </row>
    <row r="2209" spans="1:4" x14ac:dyDescent="0.35">
      <c r="A2209" s="1">
        <v>2006</v>
      </c>
      <c r="B2209" t="s">
        <v>227</v>
      </c>
      <c r="D2209">
        <v>63186117</v>
      </c>
    </row>
    <row r="2210" spans="1:4" x14ac:dyDescent="0.35">
      <c r="A2210" s="1">
        <v>2006</v>
      </c>
    </row>
    <row r="2211" spans="1:4" x14ac:dyDescent="0.35">
      <c r="A2211" s="1">
        <v>2006</v>
      </c>
      <c r="B2211" t="s">
        <v>240</v>
      </c>
    </row>
    <row r="2212" spans="1:4" x14ac:dyDescent="0.35">
      <c r="A2212" s="1">
        <v>2005</v>
      </c>
      <c r="B2212" t="s">
        <v>251</v>
      </c>
    </row>
    <row r="2213" spans="1:4" x14ac:dyDescent="0.35">
      <c r="A2213" s="1">
        <v>2005</v>
      </c>
      <c r="B2213" t="s">
        <v>259</v>
      </c>
    </row>
    <row r="2214" spans="1:4" x14ac:dyDescent="0.35">
      <c r="A2214" s="1">
        <v>2005</v>
      </c>
    </row>
    <row r="2215" spans="1:4" x14ac:dyDescent="0.35">
      <c r="A2215" s="1">
        <v>2005</v>
      </c>
      <c r="B2215" t="s">
        <v>231</v>
      </c>
    </row>
    <row r="2216" spans="1:4" x14ac:dyDescent="0.35">
      <c r="A2216" s="1">
        <v>2005</v>
      </c>
      <c r="D2216" t="s">
        <v>232</v>
      </c>
    </row>
    <row r="2217" spans="1:4" x14ac:dyDescent="0.35">
      <c r="A2217" s="1">
        <v>2005</v>
      </c>
      <c r="B2217" t="s">
        <v>5</v>
      </c>
      <c r="C2217" t="s">
        <v>6</v>
      </c>
      <c r="D2217">
        <v>558968</v>
      </c>
    </row>
    <row r="2218" spans="1:4" x14ac:dyDescent="0.35">
      <c r="A2218" s="1">
        <v>2005</v>
      </c>
      <c r="B2218" t="s">
        <v>104</v>
      </c>
      <c r="C2218" t="s">
        <v>105</v>
      </c>
      <c r="D2218">
        <v>536798</v>
      </c>
    </row>
    <row r="2219" spans="1:4" x14ac:dyDescent="0.35">
      <c r="A2219" s="1">
        <v>2005</v>
      </c>
      <c r="B2219" t="s">
        <v>10</v>
      </c>
      <c r="C2219" t="s">
        <v>11</v>
      </c>
      <c r="D2219">
        <v>343558</v>
      </c>
    </row>
    <row r="2220" spans="1:4" x14ac:dyDescent="0.35">
      <c r="A2220" s="1">
        <v>2005</v>
      </c>
      <c r="B2220" t="s">
        <v>200</v>
      </c>
      <c r="C2220" t="s">
        <v>201</v>
      </c>
      <c r="D2220">
        <v>152376</v>
      </c>
    </row>
    <row r="2221" spans="1:4" x14ac:dyDescent="0.35">
      <c r="A2221" s="1">
        <v>2005</v>
      </c>
      <c r="B2221" t="s">
        <v>202</v>
      </c>
      <c r="C2221" t="s">
        <v>203</v>
      </c>
      <c r="D2221">
        <v>129453</v>
      </c>
    </row>
    <row r="2222" spans="1:4" x14ac:dyDescent="0.35">
      <c r="A2222" s="1">
        <v>2005</v>
      </c>
      <c r="B2222" t="s">
        <v>204</v>
      </c>
      <c r="C2222" t="s">
        <v>205</v>
      </c>
      <c r="D2222">
        <v>1063500</v>
      </c>
    </row>
    <row r="2223" spans="1:4" x14ac:dyDescent="0.35">
      <c r="A2223" s="1">
        <v>2005</v>
      </c>
      <c r="B2223" t="s">
        <v>12</v>
      </c>
      <c r="C2223" t="s">
        <v>13</v>
      </c>
      <c r="D2223">
        <v>303117</v>
      </c>
    </row>
    <row r="2224" spans="1:4" x14ac:dyDescent="0.35">
      <c r="A2224" s="1">
        <v>2005</v>
      </c>
      <c r="B2224" t="s">
        <v>84</v>
      </c>
      <c r="C2224" t="s">
        <v>85</v>
      </c>
      <c r="D2224">
        <v>286425</v>
      </c>
    </row>
    <row r="2225" spans="1:4" x14ac:dyDescent="0.35">
      <c r="A2225" s="1">
        <v>2005</v>
      </c>
      <c r="B2225" t="s">
        <v>164</v>
      </c>
      <c r="C2225" t="s">
        <v>165</v>
      </c>
      <c r="D2225">
        <v>144888</v>
      </c>
    </row>
    <row r="2226" spans="1:4" x14ac:dyDescent="0.35">
      <c r="A2226" s="1">
        <v>2005</v>
      </c>
      <c r="B2226" t="s">
        <v>86</v>
      </c>
      <c r="C2226" t="s">
        <v>87</v>
      </c>
      <c r="D2226">
        <v>298483</v>
      </c>
    </row>
    <row r="2227" spans="1:4" x14ac:dyDescent="0.35">
      <c r="A2227" s="1">
        <v>2005</v>
      </c>
      <c r="B2227" t="s">
        <v>166</v>
      </c>
      <c r="C2227" t="s">
        <v>167</v>
      </c>
      <c r="D2227">
        <v>336237</v>
      </c>
    </row>
    <row r="2228" spans="1:4" x14ac:dyDescent="0.35">
      <c r="A2228" s="1">
        <v>2005</v>
      </c>
      <c r="B2228" t="s">
        <v>168</v>
      </c>
      <c r="C2228" t="s">
        <v>169</v>
      </c>
      <c r="D2228">
        <v>271979</v>
      </c>
    </row>
    <row r="2229" spans="1:4" x14ac:dyDescent="0.35">
      <c r="A2229" s="1">
        <v>2005</v>
      </c>
      <c r="B2229" t="s">
        <v>206</v>
      </c>
      <c r="C2229" t="s">
        <v>207</v>
      </c>
      <c r="D2229">
        <v>1921821</v>
      </c>
    </row>
    <row r="2230" spans="1:4" x14ac:dyDescent="0.35">
      <c r="A2230" s="1">
        <v>2005</v>
      </c>
      <c r="B2230" t="s">
        <v>130</v>
      </c>
      <c r="C2230" t="s">
        <v>131</v>
      </c>
      <c r="D2230">
        <v>668210</v>
      </c>
    </row>
    <row r="2231" spans="1:4" x14ac:dyDescent="0.35">
      <c r="A2231" s="1">
        <v>2005</v>
      </c>
      <c r="B2231" t="s">
        <v>14</v>
      </c>
      <c r="C2231" t="s">
        <v>15</v>
      </c>
      <c r="D2231">
        <v>149830</v>
      </c>
    </row>
    <row r="2232" spans="1:4" x14ac:dyDescent="0.35">
      <c r="A2232" s="1">
        <v>2005</v>
      </c>
      <c r="B2232" t="s">
        <v>140</v>
      </c>
      <c r="C2232" t="s">
        <v>141</v>
      </c>
      <c r="D2232">
        <v>345911</v>
      </c>
    </row>
    <row r="2233" spans="1:4" x14ac:dyDescent="0.35">
      <c r="A2233" s="1">
        <v>2005</v>
      </c>
      <c r="B2233" t="s">
        <v>142</v>
      </c>
      <c r="C2233" t="s">
        <v>143</v>
      </c>
      <c r="D2233">
        <v>592640</v>
      </c>
    </row>
    <row r="2234" spans="1:4" x14ac:dyDescent="0.35">
      <c r="A2234" s="1">
        <v>2005</v>
      </c>
      <c r="B2234" t="s">
        <v>56</v>
      </c>
      <c r="C2234" t="s">
        <v>57</v>
      </c>
      <c r="D2234">
        <v>314642</v>
      </c>
    </row>
    <row r="2235" spans="1:4" x14ac:dyDescent="0.35">
      <c r="A2235" s="1">
        <v>2005</v>
      </c>
      <c r="B2235" t="s">
        <v>144</v>
      </c>
      <c r="C2235" t="s">
        <v>145</v>
      </c>
      <c r="D2235">
        <v>239185</v>
      </c>
    </row>
    <row r="2236" spans="1:4" x14ac:dyDescent="0.35">
      <c r="A2236" s="1">
        <v>2005</v>
      </c>
      <c r="B2236" t="s">
        <v>68</v>
      </c>
      <c r="C2236" t="s">
        <v>69</v>
      </c>
      <c r="D2236">
        <v>133128</v>
      </c>
    </row>
    <row r="2237" spans="1:4" x14ac:dyDescent="0.35">
      <c r="A2237" s="1">
        <v>2005</v>
      </c>
      <c r="B2237" t="s">
        <v>70</v>
      </c>
      <c r="C2237" t="s">
        <v>71</v>
      </c>
      <c r="D2237">
        <v>155964</v>
      </c>
    </row>
    <row r="2238" spans="1:4" x14ac:dyDescent="0.35">
      <c r="A2238" s="1">
        <v>2005</v>
      </c>
      <c r="B2238" t="s">
        <v>32</v>
      </c>
      <c r="C2238" t="s">
        <v>219</v>
      </c>
      <c r="D2238">
        <v>515829</v>
      </c>
    </row>
    <row r="2239" spans="1:4" x14ac:dyDescent="0.35">
      <c r="A2239" s="1">
        <v>2005</v>
      </c>
      <c r="B2239" t="s">
        <v>48</v>
      </c>
      <c r="C2239" t="s">
        <v>220</v>
      </c>
      <c r="D2239">
        <v>566688</v>
      </c>
    </row>
    <row r="2240" spans="1:4" x14ac:dyDescent="0.35">
      <c r="A2240" s="1">
        <v>2005</v>
      </c>
      <c r="B2240" t="s">
        <v>146</v>
      </c>
      <c r="C2240" t="s">
        <v>147</v>
      </c>
      <c r="D2240">
        <v>123423</v>
      </c>
    </row>
    <row r="2241" spans="1:4" x14ac:dyDescent="0.35">
      <c r="A2241" s="1">
        <v>2005</v>
      </c>
      <c r="B2241" t="s">
        <v>148</v>
      </c>
      <c r="C2241" t="s">
        <v>149</v>
      </c>
      <c r="D2241">
        <v>401607</v>
      </c>
    </row>
    <row r="2242" spans="1:4" x14ac:dyDescent="0.35">
      <c r="A2242" s="1">
        <v>2005</v>
      </c>
      <c r="B2242" t="s">
        <v>34</v>
      </c>
      <c r="C2242" t="s">
        <v>35</v>
      </c>
      <c r="D2242">
        <v>513571</v>
      </c>
    </row>
    <row r="2243" spans="1:4" x14ac:dyDescent="0.35">
      <c r="A2243" s="1">
        <v>2005</v>
      </c>
      <c r="B2243" t="s">
        <v>16</v>
      </c>
      <c r="C2243" t="s">
        <v>17</v>
      </c>
      <c r="D2243">
        <v>463976</v>
      </c>
    </row>
    <row r="2244" spans="1:4" x14ac:dyDescent="0.35">
      <c r="A2244" s="1">
        <v>2005</v>
      </c>
      <c r="B2244" t="s">
        <v>132</v>
      </c>
      <c r="C2244" t="s">
        <v>133</v>
      </c>
      <c r="D2244">
        <v>563316</v>
      </c>
    </row>
    <row r="2245" spans="1:4" x14ac:dyDescent="0.35">
      <c r="A2245" s="1">
        <v>2005</v>
      </c>
      <c r="B2245" t="s">
        <v>58</v>
      </c>
      <c r="C2245" t="s">
        <v>59</v>
      </c>
      <c r="D2245">
        <v>418968</v>
      </c>
    </row>
    <row r="2246" spans="1:4" x14ac:dyDescent="0.35">
      <c r="A2246" s="1">
        <v>2005</v>
      </c>
      <c r="B2246" t="s">
        <v>50</v>
      </c>
      <c r="C2246" t="s">
        <v>51</v>
      </c>
      <c r="D2246">
        <v>878532</v>
      </c>
    </row>
    <row r="2247" spans="1:4" x14ac:dyDescent="0.35">
      <c r="A2247" s="1">
        <v>2005</v>
      </c>
      <c r="B2247" t="s">
        <v>170</v>
      </c>
      <c r="C2247" t="s">
        <v>171</v>
      </c>
      <c r="D2247">
        <v>674062</v>
      </c>
    </row>
    <row r="2248" spans="1:4" x14ac:dyDescent="0.35">
      <c r="A2248" s="1">
        <v>2005</v>
      </c>
      <c r="B2248" t="s">
        <v>172</v>
      </c>
      <c r="C2248" t="s">
        <v>173</v>
      </c>
      <c r="D2248">
        <v>1165193</v>
      </c>
    </row>
    <row r="2249" spans="1:4" x14ac:dyDescent="0.35">
      <c r="A2249" s="1">
        <v>2005</v>
      </c>
      <c r="B2249" t="s">
        <v>174</v>
      </c>
      <c r="C2249" t="s">
        <v>175</v>
      </c>
      <c r="D2249">
        <v>179995</v>
      </c>
    </row>
    <row r="2250" spans="1:4" x14ac:dyDescent="0.35">
      <c r="A2250" s="1">
        <v>2005</v>
      </c>
      <c r="B2250" t="s">
        <v>150</v>
      </c>
      <c r="C2250" t="s">
        <v>151</v>
      </c>
      <c r="D2250">
        <v>1377991</v>
      </c>
    </row>
    <row r="2251" spans="1:4" x14ac:dyDescent="0.35">
      <c r="A2251" s="1">
        <v>2005</v>
      </c>
      <c r="B2251" t="s">
        <v>176</v>
      </c>
      <c r="C2251" t="s">
        <v>177</v>
      </c>
      <c r="D2251">
        <v>985113</v>
      </c>
    </row>
    <row r="2252" spans="1:4" x14ac:dyDescent="0.35">
      <c r="A2252" s="1">
        <v>2005</v>
      </c>
      <c r="B2252" t="s">
        <v>52</v>
      </c>
      <c r="C2252" t="s">
        <v>53</v>
      </c>
      <c r="D2252">
        <v>933885</v>
      </c>
    </row>
    <row r="2253" spans="1:4" x14ac:dyDescent="0.35">
      <c r="A2253" s="1">
        <v>2005</v>
      </c>
      <c r="B2253" t="s">
        <v>60</v>
      </c>
      <c r="C2253" t="s">
        <v>61</v>
      </c>
      <c r="D2253">
        <v>232612</v>
      </c>
    </row>
    <row r="2254" spans="1:4" x14ac:dyDescent="0.35">
      <c r="A2254" s="1">
        <v>2005</v>
      </c>
      <c r="B2254" t="s">
        <v>62</v>
      </c>
      <c r="C2254" t="s">
        <v>63</v>
      </c>
      <c r="D2254">
        <v>576366</v>
      </c>
    </row>
    <row r="2255" spans="1:4" x14ac:dyDescent="0.35">
      <c r="A2255" s="1">
        <v>2005</v>
      </c>
      <c r="B2255" t="s">
        <v>18</v>
      </c>
      <c r="C2255" t="s">
        <v>19</v>
      </c>
      <c r="D2255">
        <v>1157903</v>
      </c>
    </row>
    <row r="2256" spans="1:4" x14ac:dyDescent="0.35">
      <c r="A2256" s="1">
        <v>2005</v>
      </c>
      <c r="B2256" t="s">
        <v>36</v>
      </c>
      <c r="C2256" t="s">
        <v>37</v>
      </c>
      <c r="D2256">
        <v>256567</v>
      </c>
    </row>
    <row r="2257" spans="1:4" x14ac:dyDescent="0.35">
      <c r="A2257" s="1">
        <v>2005</v>
      </c>
      <c r="B2257" t="s">
        <v>152</v>
      </c>
      <c r="C2257" t="s">
        <v>153</v>
      </c>
      <c r="D2257">
        <v>357544</v>
      </c>
    </row>
    <row r="2258" spans="1:4" x14ac:dyDescent="0.35">
      <c r="A2258" s="1">
        <v>2005</v>
      </c>
      <c r="B2258" t="s">
        <v>64</v>
      </c>
      <c r="C2258" t="s">
        <v>65</v>
      </c>
      <c r="D2258">
        <v>323489</v>
      </c>
    </row>
    <row r="2259" spans="1:4" x14ac:dyDescent="0.35">
      <c r="A2259" s="1">
        <v>2005</v>
      </c>
      <c r="B2259" t="s">
        <v>20</v>
      </c>
      <c r="C2259" t="s">
        <v>21</v>
      </c>
      <c r="D2259">
        <v>739393</v>
      </c>
    </row>
    <row r="2260" spans="1:4" x14ac:dyDescent="0.35">
      <c r="A2260" s="1">
        <v>2005</v>
      </c>
      <c r="B2260" t="s">
        <v>22</v>
      </c>
      <c r="C2260" t="s">
        <v>23</v>
      </c>
      <c r="D2260">
        <v>217820</v>
      </c>
    </row>
    <row r="2261" spans="1:4" x14ac:dyDescent="0.35">
      <c r="A2261" s="1">
        <v>2005</v>
      </c>
      <c r="B2261" t="s">
        <v>190</v>
      </c>
      <c r="C2261" t="s">
        <v>191</v>
      </c>
      <c r="D2261">
        <v>1218810</v>
      </c>
    </row>
    <row r="2262" spans="1:4" x14ac:dyDescent="0.35">
      <c r="A2262" s="1">
        <v>2005</v>
      </c>
      <c r="B2262" t="s">
        <v>66</v>
      </c>
      <c r="C2262" t="s">
        <v>67</v>
      </c>
      <c r="D2262">
        <v>641169</v>
      </c>
    </row>
    <row r="2263" spans="1:4" x14ac:dyDescent="0.35">
      <c r="A2263" s="1">
        <v>2005</v>
      </c>
      <c r="B2263" t="s">
        <v>178</v>
      </c>
      <c r="C2263" t="s">
        <v>179</v>
      </c>
      <c r="D2263">
        <v>168271</v>
      </c>
    </row>
    <row r="2264" spans="1:4" x14ac:dyDescent="0.35">
      <c r="A2264" s="1">
        <v>2005</v>
      </c>
      <c r="B2264" t="s">
        <v>154</v>
      </c>
      <c r="C2264" t="s">
        <v>155</v>
      </c>
      <c r="D2264">
        <v>319719</v>
      </c>
    </row>
    <row r="2265" spans="1:4" x14ac:dyDescent="0.35">
      <c r="A2265" s="1">
        <v>2005</v>
      </c>
      <c r="B2265" t="s">
        <v>180</v>
      </c>
      <c r="C2265" t="s">
        <v>181</v>
      </c>
      <c r="D2265">
        <v>76298</v>
      </c>
    </row>
    <row r="2266" spans="1:4" x14ac:dyDescent="0.35">
      <c r="A2266" s="1">
        <v>2005</v>
      </c>
      <c r="B2266" t="s">
        <v>192</v>
      </c>
      <c r="C2266" t="s">
        <v>193</v>
      </c>
      <c r="D2266">
        <v>761529</v>
      </c>
    </row>
    <row r="2267" spans="1:4" x14ac:dyDescent="0.35">
      <c r="A2267" s="1">
        <v>2005</v>
      </c>
      <c r="B2267" t="s">
        <v>134</v>
      </c>
      <c r="C2267" t="s">
        <v>135</v>
      </c>
      <c r="D2267">
        <v>491110</v>
      </c>
    </row>
    <row r="2268" spans="1:4" x14ac:dyDescent="0.35">
      <c r="A2268" s="1">
        <v>2005</v>
      </c>
      <c r="B2268" t="s">
        <v>88</v>
      </c>
      <c r="C2268" t="s">
        <v>89</v>
      </c>
      <c r="D2268">
        <v>565675</v>
      </c>
    </row>
    <row r="2269" spans="1:4" x14ac:dyDescent="0.35">
      <c r="A2269" s="1">
        <v>2005</v>
      </c>
      <c r="B2269" t="s">
        <v>90</v>
      </c>
      <c r="C2269" t="s">
        <v>91</v>
      </c>
      <c r="D2269">
        <v>188817</v>
      </c>
    </row>
    <row r="2270" spans="1:4" x14ac:dyDescent="0.35">
      <c r="A2270" s="1">
        <v>2005</v>
      </c>
      <c r="B2270" t="s">
        <v>194</v>
      </c>
      <c r="C2270" t="s">
        <v>195</v>
      </c>
      <c r="D2270">
        <v>296884</v>
      </c>
    </row>
    <row r="2271" spans="1:4" x14ac:dyDescent="0.35">
      <c r="A2271" s="1">
        <v>2005</v>
      </c>
      <c r="B2271" t="s">
        <v>92</v>
      </c>
      <c r="C2271" t="s">
        <v>93</v>
      </c>
      <c r="D2271">
        <v>723797</v>
      </c>
    </row>
    <row r="2272" spans="1:4" x14ac:dyDescent="0.35">
      <c r="A2272" s="1">
        <v>2005</v>
      </c>
      <c r="B2272" t="s">
        <v>94</v>
      </c>
      <c r="C2272" t="s">
        <v>95</v>
      </c>
      <c r="D2272">
        <v>193637</v>
      </c>
    </row>
    <row r="2273" spans="1:4" x14ac:dyDescent="0.35">
      <c r="A2273" s="1">
        <v>2005</v>
      </c>
      <c r="B2273" t="s">
        <v>54</v>
      </c>
      <c r="C2273" t="s">
        <v>55</v>
      </c>
      <c r="D2273">
        <v>687480</v>
      </c>
    </row>
    <row r="2274" spans="1:4" x14ac:dyDescent="0.35">
      <c r="A2274" s="1">
        <v>2005</v>
      </c>
      <c r="B2274" t="s">
        <v>96</v>
      </c>
      <c r="C2274" t="s">
        <v>97</v>
      </c>
      <c r="D2274">
        <v>1034768</v>
      </c>
    </row>
    <row r="2275" spans="1:4" x14ac:dyDescent="0.35">
      <c r="A2275" s="1">
        <v>2005</v>
      </c>
      <c r="B2275" t="s">
        <v>38</v>
      </c>
      <c r="C2275" t="s">
        <v>39</v>
      </c>
      <c r="D2275">
        <v>222711</v>
      </c>
    </row>
    <row r="2276" spans="1:4" x14ac:dyDescent="0.35">
      <c r="A2276" s="1">
        <v>2005</v>
      </c>
      <c r="B2276" t="s">
        <v>106</v>
      </c>
      <c r="C2276" t="s">
        <v>107</v>
      </c>
      <c r="D2276">
        <v>2563886</v>
      </c>
    </row>
    <row r="2277" spans="1:4" x14ac:dyDescent="0.35">
      <c r="A2277" s="1">
        <v>2005</v>
      </c>
      <c r="B2277" t="s">
        <v>108</v>
      </c>
      <c r="C2277" t="s">
        <v>109</v>
      </c>
      <c r="D2277">
        <v>789012</v>
      </c>
    </row>
    <row r="2278" spans="1:4" x14ac:dyDescent="0.35">
      <c r="A2278" s="1">
        <v>2005</v>
      </c>
      <c r="B2278" t="s">
        <v>136</v>
      </c>
      <c r="C2278" t="s">
        <v>137</v>
      </c>
      <c r="D2278">
        <v>293105</v>
      </c>
    </row>
    <row r="2279" spans="1:4" x14ac:dyDescent="0.35">
      <c r="A2279" s="1">
        <v>2005</v>
      </c>
      <c r="B2279" t="s">
        <v>110</v>
      </c>
      <c r="C2279" t="s">
        <v>111</v>
      </c>
      <c r="D2279">
        <v>1451727</v>
      </c>
    </row>
    <row r="2280" spans="1:4" x14ac:dyDescent="0.35">
      <c r="A2280" s="1">
        <v>2005</v>
      </c>
      <c r="B2280" t="s">
        <v>24</v>
      </c>
      <c r="C2280" t="s">
        <v>25</v>
      </c>
      <c r="D2280">
        <v>620571</v>
      </c>
    </row>
    <row r="2281" spans="1:4" x14ac:dyDescent="0.35">
      <c r="A2281" s="1">
        <v>2005</v>
      </c>
      <c r="B2281" t="s">
        <v>156</v>
      </c>
      <c r="C2281" t="s">
        <v>157</v>
      </c>
      <c r="D2281">
        <v>631335</v>
      </c>
    </row>
    <row r="2282" spans="1:4" x14ac:dyDescent="0.35">
      <c r="A2282" s="1">
        <v>2005</v>
      </c>
      <c r="B2282" t="s">
        <v>182</v>
      </c>
      <c r="C2282" t="s">
        <v>183</v>
      </c>
      <c r="D2282">
        <v>227083</v>
      </c>
    </row>
    <row r="2283" spans="1:4" x14ac:dyDescent="0.35">
      <c r="A2283" s="1">
        <v>2005</v>
      </c>
      <c r="B2283" t="s">
        <v>184</v>
      </c>
      <c r="C2283" t="s">
        <v>185</v>
      </c>
      <c r="D2283">
        <v>426008</v>
      </c>
    </row>
    <row r="2284" spans="1:4" x14ac:dyDescent="0.35">
      <c r="A2284" s="1">
        <v>2005</v>
      </c>
      <c r="B2284" t="s">
        <v>98</v>
      </c>
      <c r="C2284" t="s">
        <v>99</v>
      </c>
      <c r="D2284">
        <v>1071160</v>
      </c>
    </row>
    <row r="2285" spans="1:4" x14ac:dyDescent="0.35">
      <c r="A2285" s="1">
        <v>2005</v>
      </c>
      <c r="B2285" t="s">
        <v>100</v>
      </c>
      <c r="C2285" t="s">
        <v>101</v>
      </c>
      <c r="D2285">
        <v>732242</v>
      </c>
    </row>
    <row r="2286" spans="1:4" x14ac:dyDescent="0.35">
      <c r="A2286" s="1">
        <v>2005</v>
      </c>
      <c r="B2286" t="s">
        <v>26</v>
      </c>
      <c r="C2286" t="s">
        <v>27</v>
      </c>
      <c r="D2286">
        <v>1655211</v>
      </c>
    </row>
    <row r="2287" spans="1:4" x14ac:dyDescent="0.35">
      <c r="A2287" s="1">
        <v>2005</v>
      </c>
      <c r="B2287" t="s">
        <v>40</v>
      </c>
      <c r="C2287" t="s">
        <v>41</v>
      </c>
      <c r="D2287">
        <v>234934</v>
      </c>
    </row>
    <row r="2288" spans="1:4" x14ac:dyDescent="0.35">
      <c r="A2288" s="1">
        <v>2005</v>
      </c>
      <c r="B2288" t="s">
        <v>42</v>
      </c>
      <c r="C2288" t="s">
        <v>43</v>
      </c>
      <c r="D2288">
        <v>548667</v>
      </c>
    </row>
    <row r="2289" spans="1:4" x14ac:dyDescent="0.35">
      <c r="A2289" s="1">
        <v>2005</v>
      </c>
      <c r="B2289" t="s">
        <v>196</v>
      </c>
      <c r="C2289" t="s">
        <v>197</v>
      </c>
      <c r="D2289">
        <v>550067</v>
      </c>
    </row>
    <row r="2290" spans="1:4" x14ac:dyDescent="0.35">
      <c r="A2290" s="1">
        <v>2005</v>
      </c>
      <c r="B2290" t="s">
        <v>28</v>
      </c>
      <c r="C2290" t="s">
        <v>29</v>
      </c>
      <c r="D2290">
        <v>398546</v>
      </c>
    </row>
    <row r="2291" spans="1:4" x14ac:dyDescent="0.35">
      <c r="A2291" s="1">
        <v>2005</v>
      </c>
      <c r="B2291" t="s">
        <v>30</v>
      </c>
      <c r="C2291" t="s">
        <v>31</v>
      </c>
      <c r="D2291">
        <v>686622</v>
      </c>
    </row>
    <row r="2292" spans="1:4" x14ac:dyDescent="0.35">
      <c r="A2292" s="1">
        <v>2005</v>
      </c>
      <c r="B2292" t="s">
        <v>114</v>
      </c>
      <c r="C2292" t="s">
        <v>115</v>
      </c>
      <c r="D2292">
        <v>2172186</v>
      </c>
    </row>
    <row r="2293" spans="1:4" x14ac:dyDescent="0.35">
      <c r="A2293" s="1">
        <v>2005</v>
      </c>
      <c r="B2293" t="s">
        <v>138</v>
      </c>
      <c r="C2293" t="s">
        <v>139</v>
      </c>
      <c r="D2293">
        <v>1243361</v>
      </c>
    </row>
    <row r="2294" spans="1:4" x14ac:dyDescent="0.35">
      <c r="A2294" s="1">
        <v>2005</v>
      </c>
      <c r="B2294" t="s">
        <v>116</v>
      </c>
      <c r="C2294" t="s">
        <v>117</v>
      </c>
      <c r="D2294">
        <v>1261010</v>
      </c>
    </row>
    <row r="2295" spans="1:4" x14ac:dyDescent="0.35">
      <c r="A2295" s="1">
        <v>2005</v>
      </c>
      <c r="B2295" t="s">
        <v>118</v>
      </c>
      <c r="C2295" t="s">
        <v>119</v>
      </c>
      <c r="D2295">
        <v>1389456</v>
      </c>
    </row>
    <row r="2296" spans="1:4" x14ac:dyDescent="0.35">
      <c r="A2296" s="1">
        <v>2005</v>
      </c>
      <c r="B2296" t="s">
        <v>158</v>
      </c>
      <c r="C2296" t="s">
        <v>159</v>
      </c>
      <c r="D2296">
        <v>357319</v>
      </c>
    </row>
    <row r="2297" spans="1:4" x14ac:dyDescent="0.35">
      <c r="A2297" s="1">
        <v>2005</v>
      </c>
      <c r="B2297" t="s">
        <v>112</v>
      </c>
      <c r="C2297" t="s">
        <v>113</v>
      </c>
      <c r="D2297">
        <v>563218</v>
      </c>
    </row>
    <row r="2298" spans="1:4" x14ac:dyDescent="0.35">
      <c r="A2298" s="1">
        <v>2005</v>
      </c>
      <c r="B2298" t="s">
        <v>186</v>
      </c>
      <c r="C2298" t="s">
        <v>187</v>
      </c>
      <c r="D2298">
        <v>361932</v>
      </c>
    </row>
    <row r="2299" spans="1:4" x14ac:dyDescent="0.35">
      <c r="A2299" s="1">
        <v>2005</v>
      </c>
      <c r="B2299" t="s">
        <v>188</v>
      </c>
      <c r="C2299" t="s">
        <v>189</v>
      </c>
      <c r="D2299">
        <v>223732</v>
      </c>
    </row>
    <row r="2300" spans="1:4" x14ac:dyDescent="0.35">
      <c r="A2300" s="1">
        <v>2005</v>
      </c>
      <c r="B2300" t="s">
        <v>208</v>
      </c>
      <c r="C2300" t="s">
        <v>209</v>
      </c>
      <c r="D2300">
        <v>972379</v>
      </c>
    </row>
    <row r="2301" spans="1:4" x14ac:dyDescent="0.35">
      <c r="A2301" s="1">
        <v>2005</v>
      </c>
      <c r="B2301" t="s">
        <v>210</v>
      </c>
      <c r="C2301" t="s">
        <v>211</v>
      </c>
      <c r="D2301">
        <v>529035</v>
      </c>
    </row>
    <row r="2302" spans="1:4" x14ac:dyDescent="0.35">
      <c r="A2302" s="1">
        <v>2005</v>
      </c>
      <c r="B2302" t="s">
        <v>198</v>
      </c>
      <c r="C2302" t="s">
        <v>199</v>
      </c>
      <c r="D2302">
        <v>588101</v>
      </c>
    </row>
    <row r="2303" spans="1:4" x14ac:dyDescent="0.35">
      <c r="A2303" s="1">
        <v>2005</v>
      </c>
      <c r="B2303" t="s">
        <v>160</v>
      </c>
      <c r="C2303" t="s">
        <v>161</v>
      </c>
      <c r="D2303">
        <v>415437</v>
      </c>
    </row>
    <row r="2304" spans="1:4" x14ac:dyDescent="0.35">
      <c r="A2304" s="1">
        <v>2005</v>
      </c>
      <c r="B2304" t="s">
        <v>162</v>
      </c>
      <c r="C2304" t="s">
        <v>163</v>
      </c>
      <c r="D2304">
        <v>364879</v>
      </c>
    </row>
    <row r="2305" spans="1:4" x14ac:dyDescent="0.35">
      <c r="A2305" s="1">
        <v>2005</v>
      </c>
      <c r="B2305" t="s">
        <v>102</v>
      </c>
      <c r="C2305" t="s">
        <v>103</v>
      </c>
      <c r="D2305">
        <v>380266</v>
      </c>
    </row>
    <row r="2306" spans="1:4" x14ac:dyDescent="0.35">
      <c r="A2306" s="1">
        <v>2005</v>
      </c>
      <c r="B2306" t="s">
        <v>44</v>
      </c>
      <c r="C2306" t="s">
        <v>45</v>
      </c>
      <c r="D2306">
        <v>338983</v>
      </c>
    </row>
    <row r="2307" spans="1:4" x14ac:dyDescent="0.35">
      <c r="A2307" s="1">
        <v>2005</v>
      </c>
      <c r="B2307" t="s">
        <v>46</v>
      </c>
      <c r="C2307" t="s">
        <v>221</v>
      </c>
      <c r="D2307">
        <v>140672</v>
      </c>
    </row>
    <row r="2308" spans="1:4" x14ac:dyDescent="0.35">
      <c r="A2308" s="1">
        <v>2005</v>
      </c>
      <c r="B2308" t="s">
        <v>120</v>
      </c>
      <c r="C2308" t="s">
        <v>121</v>
      </c>
      <c r="D2308">
        <v>1188351</v>
      </c>
    </row>
    <row r="2309" spans="1:4" x14ac:dyDescent="0.35">
      <c r="A2309" s="1">
        <v>2005</v>
      </c>
      <c r="B2309" t="s">
        <v>122</v>
      </c>
      <c r="C2309" t="s">
        <v>222</v>
      </c>
      <c r="D2309">
        <v>1520106</v>
      </c>
    </row>
    <row r="2310" spans="1:4" x14ac:dyDescent="0.35">
      <c r="A2310" s="1">
        <v>2005</v>
      </c>
      <c r="B2310" t="s">
        <v>124</v>
      </c>
      <c r="C2310" t="s">
        <v>125</v>
      </c>
      <c r="D2310">
        <v>1474920</v>
      </c>
    </row>
    <row r="2311" spans="1:4" x14ac:dyDescent="0.35">
      <c r="A2311" s="1">
        <v>2005</v>
      </c>
      <c r="B2311" t="s">
        <v>126</v>
      </c>
      <c r="C2311" t="s">
        <v>127</v>
      </c>
      <c r="D2311">
        <v>1287350</v>
      </c>
    </row>
    <row r="2312" spans="1:4" x14ac:dyDescent="0.35">
      <c r="A2312" s="1">
        <v>2005</v>
      </c>
      <c r="B2312" t="s">
        <v>128</v>
      </c>
      <c r="C2312" t="s">
        <v>129</v>
      </c>
      <c r="D2312">
        <v>1148764</v>
      </c>
    </row>
    <row r="2313" spans="1:4" x14ac:dyDescent="0.35">
      <c r="A2313" s="1">
        <v>2005</v>
      </c>
      <c r="B2313" t="s">
        <v>257</v>
      </c>
      <c r="D2313">
        <v>60963264</v>
      </c>
    </row>
    <row r="2314" spans="1:4" x14ac:dyDescent="0.35">
      <c r="A2314" s="1">
        <v>2005</v>
      </c>
      <c r="B2314">
        <v>971</v>
      </c>
      <c r="C2314" t="s">
        <v>73</v>
      </c>
      <c r="D2314">
        <v>399178</v>
      </c>
    </row>
    <row r="2315" spans="1:4" x14ac:dyDescent="0.35">
      <c r="A2315" s="1">
        <v>2005</v>
      </c>
      <c r="B2315">
        <v>972</v>
      </c>
      <c r="C2315" t="s">
        <v>75</v>
      </c>
      <c r="D2315">
        <v>395982</v>
      </c>
    </row>
    <row r="2316" spans="1:4" x14ac:dyDescent="0.35">
      <c r="A2316" s="1">
        <v>2005</v>
      </c>
      <c r="B2316">
        <v>973</v>
      </c>
      <c r="C2316" t="s">
        <v>77</v>
      </c>
      <c r="D2316">
        <v>199206</v>
      </c>
    </row>
    <row r="2317" spans="1:4" x14ac:dyDescent="0.35">
      <c r="A2317" s="1">
        <v>2005</v>
      </c>
      <c r="B2317">
        <v>974</v>
      </c>
      <c r="C2317" t="s">
        <v>79</v>
      </c>
      <c r="D2317">
        <v>772907</v>
      </c>
    </row>
    <row r="2318" spans="1:4" x14ac:dyDescent="0.35">
      <c r="A2318" s="1">
        <v>2005</v>
      </c>
      <c r="B2318" t="s">
        <v>226</v>
      </c>
      <c r="D2318">
        <v>1767273</v>
      </c>
    </row>
    <row r="2319" spans="1:4" x14ac:dyDescent="0.35">
      <c r="A2319" s="1">
        <v>2005</v>
      </c>
      <c r="B2319" t="s">
        <v>227</v>
      </c>
      <c r="D2319">
        <v>62730537</v>
      </c>
    </row>
    <row r="2320" spans="1:4" x14ac:dyDescent="0.35">
      <c r="A2320" s="1">
        <v>2005</v>
      </c>
    </row>
    <row r="2321" spans="1:4" x14ac:dyDescent="0.35">
      <c r="A2321" s="1">
        <v>2005</v>
      </c>
      <c r="B2321" t="s">
        <v>240</v>
      </c>
    </row>
    <row r="2322" spans="1:4" x14ac:dyDescent="0.35">
      <c r="A2322" s="1">
        <v>2004</v>
      </c>
      <c r="B2322" t="s">
        <v>251</v>
      </c>
    </row>
    <row r="2323" spans="1:4" x14ac:dyDescent="0.35">
      <c r="A2323" s="1">
        <v>2004</v>
      </c>
      <c r="B2323" t="s">
        <v>260</v>
      </c>
    </row>
    <row r="2324" spans="1:4" x14ac:dyDescent="0.35">
      <c r="A2324" s="1">
        <v>2004</v>
      </c>
    </row>
    <row r="2325" spans="1:4" x14ac:dyDescent="0.35">
      <c r="A2325" s="1">
        <v>2004</v>
      </c>
      <c r="B2325" t="s">
        <v>231</v>
      </c>
    </row>
    <row r="2326" spans="1:4" x14ac:dyDescent="0.35">
      <c r="A2326" s="1">
        <v>2004</v>
      </c>
      <c r="D2326" t="s">
        <v>232</v>
      </c>
    </row>
    <row r="2327" spans="1:4" x14ac:dyDescent="0.35">
      <c r="A2327" s="1">
        <v>2004</v>
      </c>
      <c r="B2327" t="s">
        <v>5</v>
      </c>
      <c r="C2327" t="s">
        <v>6</v>
      </c>
      <c r="D2327">
        <v>550939</v>
      </c>
    </row>
    <row r="2328" spans="1:4" x14ac:dyDescent="0.35">
      <c r="A2328" s="1">
        <v>2004</v>
      </c>
      <c r="B2328" t="s">
        <v>104</v>
      </c>
      <c r="C2328" t="s">
        <v>105</v>
      </c>
      <c r="D2328">
        <v>536464</v>
      </c>
    </row>
    <row r="2329" spans="1:4" x14ac:dyDescent="0.35">
      <c r="A2329" s="1">
        <v>2004</v>
      </c>
      <c r="B2329" t="s">
        <v>10</v>
      </c>
      <c r="C2329" t="s">
        <v>11</v>
      </c>
      <c r="D2329">
        <v>343547</v>
      </c>
    </row>
    <row r="2330" spans="1:4" x14ac:dyDescent="0.35">
      <c r="A2330" s="1">
        <v>2004</v>
      </c>
      <c r="B2330" t="s">
        <v>200</v>
      </c>
      <c r="C2330" t="s">
        <v>201</v>
      </c>
      <c r="D2330">
        <v>150051</v>
      </c>
    </row>
    <row r="2331" spans="1:4" x14ac:dyDescent="0.35">
      <c r="A2331" s="1">
        <v>2004</v>
      </c>
      <c r="B2331" t="s">
        <v>202</v>
      </c>
      <c r="C2331" t="s">
        <v>203</v>
      </c>
      <c r="D2331">
        <v>128067</v>
      </c>
    </row>
    <row r="2332" spans="1:4" x14ac:dyDescent="0.35">
      <c r="A2332" s="1">
        <v>2004</v>
      </c>
      <c r="B2332" t="s">
        <v>204</v>
      </c>
      <c r="C2332" t="s">
        <v>205</v>
      </c>
      <c r="D2332">
        <v>1053182</v>
      </c>
    </row>
    <row r="2333" spans="1:4" x14ac:dyDescent="0.35">
      <c r="A2333" s="1">
        <v>2004</v>
      </c>
      <c r="B2333" t="s">
        <v>12</v>
      </c>
      <c r="C2333" t="s">
        <v>13</v>
      </c>
      <c r="D2333">
        <v>300021</v>
      </c>
    </row>
    <row r="2334" spans="1:4" x14ac:dyDescent="0.35">
      <c r="A2334" s="1">
        <v>2004</v>
      </c>
      <c r="B2334" t="s">
        <v>84</v>
      </c>
      <c r="C2334" t="s">
        <v>85</v>
      </c>
      <c r="D2334">
        <v>287136</v>
      </c>
    </row>
    <row r="2335" spans="1:4" x14ac:dyDescent="0.35">
      <c r="A2335" s="1">
        <v>2004</v>
      </c>
      <c r="B2335" t="s">
        <v>164</v>
      </c>
      <c r="C2335" t="s">
        <v>165</v>
      </c>
      <c r="D2335">
        <v>143371</v>
      </c>
    </row>
    <row r="2336" spans="1:4" x14ac:dyDescent="0.35">
      <c r="A2336" s="1">
        <v>2004</v>
      </c>
      <c r="B2336" t="s">
        <v>86</v>
      </c>
      <c r="C2336" t="s">
        <v>87</v>
      </c>
      <c r="D2336">
        <v>297154</v>
      </c>
    </row>
    <row r="2337" spans="1:4" x14ac:dyDescent="0.35">
      <c r="A2337" s="1">
        <v>2004</v>
      </c>
      <c r="B2337" t="s">
        <v>166</v>
      </c>
      <c r="C2337" t="s">
        <v>167</v>
      </c>
      <c r="D2337">
        <v>331267</v>
      </c>
    </row>
    <row r="2338" spans="1:4" x14ac:dyDescent="0.35">
      <c r="A2338" s="1">
        <v>2004</v>
      </c>
      <c r="B2338" t="s">
        <v>168</v>
      </c>
      <c r="C2338" t="s">
        <v>169</v>
      </c>
      <c r="D2338">
        <v>270275</v>
      </c>
    </row>
    <row r="2339" spans="1:4" x14ac:dyDescent="0.35">
      <c r="A2339" s="1">
        <v>2004</v>
      </c>
      <c r="B2339" t="s">
        <v>206</v>
      </c>
      <c r="C2339" t="s">
        <v>207</v>
      </c>
      <c r="D2339">
        <v>1905689</v>
      </c>
    </row>
    <row r="2340" spans="1:4" x14ac:dyDescent="0.35">
      <c r="A2340" s="1">
        <v>2004</v>
      </c>
      <c r="B2340" t="s">
        <v>130</v>
      </c>
      <c r="C2340" t="s">
        <v>131</v>
      </c>
      <c r="D2340">
        <v>664769</v>
      </c>
    </row>
    <row r="2341" spans="1:4" x14ac:dyDescent="0.35">
      <c r="A2341" s="1">
        <v>2004</v>
      </c>
      <c r="B2341" t="s">
        <v>14</v>
      </c>
      <c r="C2341" t="s">
        <v>15</v>
      </c>
      <c r="D2341">
        <v>149944</v>
      </c>
    </row>
    <row r="2342" spans="1:4" x14ac:dyDescent="0.35">
      <c r="A2342" s="1">
        <v>2004</v>
      </c>
      <c r="B2342" t="s">
        <v>140</v>
      </c>
      <c r="C2342" t="s">
        <v>141</v>
      </c>
      <c r="D2342">
        <v>344708</v>
      </c>
    </row>
    <row r="2343" spans="1:4" x14ac:dyDescent="0.35">
      <c r="A2343" s="1">
        <v>2004</v>
      </c>
      <c r="B2343" t="s">
        <v>142</v>
      </c>
      <c r="C2343" t="s">
        <v>143</v>
      </c>
      <c r="D2343">
        <v>586082</v>
      </c>
    </row>
    <row r="2344" spans="1:4" x14ac:dyDescent="0.35">
      <c r="A2344" s="1">
        <v>2004</v>
      </c>
      <c r="B2344" t="s">
        <v>56</v>
      </c>
      <c r="C2344" t="s">
        <v>57</v>
      </c>
      <c r="D2344">
        <v>314490</v>
      </c>
    </row>
    <row r="2345" spans="1:4" x14ac:dyDescent="0.35">
      <c r="A2345" s="1">
        <v>2004</v>
      </c>
      <c r="B2345" t="s">
        <v>144</v>
      </c>
      <c r="C2345" t="s">
        <v>145</v>
      </c>
      <c r="D2345">
        <v>237823</v>
      </c>
    </row>
    <row r="2346" spans="1:4" x14ac:dyDescent="0.35">
      <c r="A2346" s="1">
        <v>2004</v>
      </c>
      <c r="B2346" t="s">
        <v>68</v>
      </c>
      <c r="C2346" t="s">
        <v>69</v>
      </c>
      <c r="D2346">
        <v>130613</v>
      </c>
    </row>
    <row r="2347" spans="1:4" x14ac:dyDescent="0.35">
      <c r="A2347" s="1">
        <v>2004</v>
      </c>
      <c r="B2347" t="s">
        <v>70</v>
      </c>
      <c r="C2347" t="s">
        <v>71</v>
      </c>
      <c r="D2347">
        <v>153359</v>
      </c>
    </row>
    <row r="2348" spans="1:4" x14ac:dyDescent="0.35">
      <c r="A2348" s="1">
        <v>2004</v>
      </c>
      <c r="B2348" t="s">
        <v>32</v>
      </c>
      <c r="C2348" t="s">
        <v>219</v>
      </c>
      <c r="D2348">
        <v>514022</v>
      </c>
    </row>
    <row r="2349" spans="1:4" x14ac:dyDescent="0.35">
      <c r="A2349" s="1">
        <v>2004</v>
      </c>
      <c r="B2349" t="s">
        <v>48</v>
      </c>
      <c r="C2349" t="s">
        <v>220</v>
      </c>
      <c r="D2349">
        <v>562226</v>
      </c>
    </row>
    <row r="2350" spans="1:4" x14ac:dyDescent="0.35">
      <c r="A2350" s="1">
        <v>2004</v>
      </c>
      <c r="B2350" t="s">
        <v>146</v>
      </c>
      <c r="C2350" t="s">
        <v>147</v>
      </c>
      <c r="D2350">
        <v>123561</v>
      </c>
    </row>
    <row r="2351" spans="1:4" x14ac:dyDescent="0.35">
      <c r="A2351" s="1">
        <v>2004</v>
      </c>
      <c r="B2351" t="s">
        <v>148</v>
      </c>
      <c r="C2351" t="s">
        <v>149</v>
      </c>
      <c r="D2351">
        <v>398994</v>
      </c>
    </row>
    <row r="2352" spans="1:4" x14ac:dyDescent="0.35">
      <c r="A2352" s="1">
        <v>2004</v>
      </c>
      <c r="B2352" t="s">
        <v>34</v>
      </c>
      <c r="C2352" t="s">
        <v>35</v>
      </c>
      <c r="D2352">
        <v>510794</v>
      </c>
    </row>
    <row r="2353" spans="1:4" x14ac:dyDescent="0.35">
      <c r="A2353" s="1">
        <v>2004</v>
      </c>
      <c r="B2353" t="s">
        <v>16</v>
      </c>
      <c r="C2353" t="s">
        <v>17</v>
      </c>
      <c r="D2353">
        <v>459076</v>
      </c>
    </row>
    <row r="2354" spans="1:4" x14ac:dyDescent="0.35">
      <c r="A2354" s="1">
        <v>2004</v>
      </c>
      <c r="B2354" t="s">
        <v>132</v>
      </c>
      <c r="C2354" t="s">
        <v>133</v>
      </c>
      <c r="D2354">
        <v>559393</v>
      </c>
    </row>
    <row r="2355" spans="1:4" x14ac:dyDescent="0.35">
      <c r="A2355" s="1">
        <v>2004</v>
      </c>
      <c r="B2355" t="s">
        <v>58</v>
      </c>
      <c r="C2355" t="s">
        <v>59</v>
      </c>
      <c r="D2355">
        <v>416808</v>
      </c>
    </row>
    <row r="2356" spans="1:4" x14ac:dyDescent="0.35">
      <c r="A2356" s="1">
        <v>2004</v>
      </c>
      <c r="B2356" t="s">
        <v>50</v>
      </c>
      <c r="C2356" t="s">
        <v>51</v>
      </c>
      <c r="D2356">
        <v>873568</v>
      </c>
    </row>
    <row r="2357" spans="1:4" x14ac:dyDescent="0.35">
      <c r="A2357" s="1">
        <v>2004</v>
      </c>
      <c r="B2357" t="s">
        <v>170</v>
      </c>
      <c r="C2357" t="s">
        <v>171</v>
      </c>
      <c r="D2357">
        <v>664622</v>
      </c>
    </row>
    <row r="2358" spans="1:4" x14ac:dyDescent="0.35">
      <c r="A2358" s="1">
        <v>2004</v>
      </c>
      <c r="B2358" t="s">
        <v>172</v>
      </c>
      <c r="C2358" t="s">
        <v>173</v>
      </c>
      <c r="D2358">
        <v>1143706</v>
      </c>
    </row>
    <row r="2359" spans="1:4" x14ac:dyDescent="0.35">
      <c r="A2359" s="1">
        <v>2004</v>
      </c>
      <c r="B2359" t="s">
        <v>174</v>
      </c>
      <c r="C2359" t="s">
        <v>175</v>
      </c>
      <c r="D2359">
        <v>178515</v>
      </c>
    </row>
    <row r="2360" spans="1:4" x14ac:dyDescent="0.35">
      <c r="A2360" s="1">
        <v>2004</v>
      </c>
      <c r="B2360" t="s">
        <v>150</v>
      </c>
      <c r="C2360" t="s">
        <v>151</v>
      </c>
      <c r="D2360">
        <v>1361225</v>
      </c>
    </row>
    <row r="2361" spans="1:4" x14ac:dyDescent="0.35">
      <c r="A2361" s="1">
        <v>2004</v>
      </c>
      <c r="B2361" t="s">
        <v>176</v>
      </c>
      <c r="C2361" t="s">
        <v>177</v>
      </c>
      <c r="D2361">
        <v>968476</v>
      </c>
    </row>
    <row r="2362" spans="1:4" x14ac:dyDescent="0.35">
      <c r="A2362" s="1">
        <v>2004</v>
      </c>
      <c r="B2362" t="s">
        <v>52</v>
      </c>
      <c r="C2362" t="s">
        <v>53</v>
      </c>
      <c r="D2362">
        <v>921911</v>
      </c>
    </row>
    <row r="2363" spans="1:4" x14ac:dyDescent="0.35">
      <c r="A2363" s="1">
        <v>2004</v>
      </c>
      <c r="B2363" t="s">
        <v>60</v>
      </c>
      <c r="C2363" t="s">
        <v>61</v>
      </c>
      <c r="D2363">
        <v>232211</v>
      </c>
    </row>
    <row r="2364" spans="1:4" x14ac:dyDescent="0.35">
      <c r="A2364" s="1">
        <v>2004</v>
      </c>
      <c r="B2364" t="s">
        <v>62</v>
      </c>
      <c r="C2364" t="s">
        <v>63</v>
      </c>
      <c r="D2364">
        <v>572255</v>
      </c>
    </row>
    <row r="2365" spans="1:4" x14ac:dyDescent="0.35">
      <c r="A2365" s="1">
        <v>2004</v>
      </c>
      <c r="B2365" t="s">
        <v>18</v>
      </c>
      <c r="C2365" t="s">
        <v>19</v>
      </c>
      <c r="D2365">
        <v>1145897</v>
      </c>
    </row>
    <row r="2366" spans="1:4" x14ac:dyDescent="0.35">
      <c r="A2366" s="1">
        <v>2004</v>
      </c>
      <c r="B2366" t="s">
        <v>36</v>
      </c>
      <c r="C2366" t="s">
        <v>37</v>
      </c>
      <c r="D2366">
        <v>255536</v>
      </c>
    </row>
    <row r="2367" spans="1:4" x14ac:dyDescent="0.35">
      <c r="A2367" s="1">
        <v>2004</v>
      </c>
      <c r="B2367" t="s">
        <v>152</v>
      </c>
      <c r="C2367" t="s">
        <v>153</v>
      </c>
      <c r="D2367">
        <v>351827</v>
      </c>
    </row>
    <row r="2368" spans="1:4" x14ac:dyDescent="0.35">
      <c r="A2368" s="1">
        <v>2004</v>
      </c>
      <c r="B2368" t="s">
        <v>64</v>
      </c>
      <c r="C2368" t="s">
        <v>65</v>
      </c>
      <c r="D2368">
        <v>321808</v>
      </c>
    </row>
    <row r="2369" spans="1:4" x14ac:dyDescent="0.35">
      <c r="A2369" s="1">
        <v>2004</v>
      </c>
      <c r="B2369" t="s">
        <v>20</v>
      </c>
      <c r="C2369" t="s">
        <v>21</v>
      </c>
      <c r="D2369">
        <v>737297</v>
      </c>
    </row>
    <row r="2370" spans="1:4" x14ac:dyDescent="0.35">
      <c r="A2370" s="1">
        <v>2004</v>
      </c>
      <c r="B2370" t="s">
        <v>22</v>
      </c>
      <c r="C2370" t="s">
        <v>23</v>
      </c>
      <c r="D2370">
        <v>216165</v>
      </c>
    </row>
    <row r="2371" spans="1:4" x14ac:dyDescent="0.35">
      <c r="A2371" s="1">
        <v>2004</v>
      </c>
      <c r="B2371" t="s">
        <v>190</v>
      </c>
      <c r="C2371" t="s">
        <v>191</v>
      </c>
      <c r="D2371">
        <v>1203474</v>
      </c>
    </row>
    <row r="2372" spans="1:4" x14ac:dyDescent="0.35">
      <c r="A2372" s="1">
        <v>2004</v>
      </c>
      <c r="B2372" t="s">
        <v>66</v>
      </c>
      <c r="C2372" t="s">
        <v>67</v>
      </c>
      <c r="D2372">
        <v>636707</v>
      </c>
    </row>
    <row r="2373" spans="1:4" x14ac:dyDescent="0.35">
      <c r="A2373" s="1">
        <v>2004</v>
      </c>
      <c r="B2373" t="s">
        <v>178</v>
      </c>
      <c r="C2373" t="s">
        <v>179</v>
      </c>
      <c r="D2373">
        <v>166873</v>
      </c>
    </row>
    <row r="2374" spans="1:4" x14ac:dyDescent="0.35">
      <c r="A2374" s="1">
        <v>2004</v>
      </c>
      <c r="B2374" t="s">
        <v>154</v>
      </c>
      <c r="C2374" t="s">
        <v>155</v>
      </c>
      <c r="D2374">
        <v>316872</v>
      </c>
    </row>
    <row r="2375" spans="1:4" x14ac:dyDescent="0.35">
      <c r="A2375" s="1">
        <v>2004</v>
      </c>
      <c r="B2375" t="s">
        <v>180</v>
      </c>
      <c r="C2375" t="s">
        <v>181</v>
      </c>
      <c r="D2375">
        <v>75784</v>
      </c>
    </row>
    <row r="2376" spans="1:4" x14ac:dyDescent="0.35">
      <c r="A2376" s="1">
        <v>2004</v>
      </c>
      <c r="B2376" t="s">
        <v>192</v>
      </c>
      <c r="C2376" t="s">
        <v>193</v>
      </c>
      <c r="D2376">
        <v>756253</v>
      </c>
    </row>
    <row r="2377" spans="1:4" x14ac:dyDescent="0.35">
      <c r="A2377" s="1">
        <v>2004</v>
      </c>
      <c r="B2377" t="s">
        <v>134</v>
      </c>
      <c r="C2377" t="s">
        <v>135</v>
      </c>
      <c r="D2377">
        <v>489608</v>
      </c>
    </row>
    <row r="2378" spans="1:4" x14ac:dyDescent="0.35">
      <c r="A2378" s="1">
        <v>2004</v>
      </c>
      <c r="B2378" t="s">
        <v>88</v>
      </c>
      <c r="C2378" t="s">
        <v>89</v>
      </c>
      <c r="D2378">
        <v>565512</v>
      </c>
    </row>
    <row r="2379" spans="1:4" x14ac:dyDescent="0.35">
      <c r="A2379" s="1">
        <v>2004</v>
      </c>
      <c r="B2379" t="s">
        <v>90</v>
      </c>
      <c r="C2379" t="s">
        <v>91</v>
      </c>
      <c r="D2379">
        <v>189795</v>
      </c>
    </row>
    <row r="2380" spans="1:4" x14ac:dyDescent="0.35">
      <c r="A2380" s="1">
        <v>2004</v>
      </c>
      <c r="B2380" t="s">
        <v>194</v>
      </c>
      <c r="C2380" t="s">
        <v>195</v>
      </c>
      <c r="D2380">
        <v>294813</v>
      </c>
    </row>
    <row r="2381" spans="1:4" x14ac:dyDescent="0.35">
      <c r="A2381" s="1">
        <v>2004</v>
      </c>
      <c r="B2381" t="s">
        <v>92</v>
      </c>
      <c r="C2381" t="s">
        <v>93</v>
      </c>
      <c r="D2381">
        <v>721734</v>
      </c>
    </row>
    <row r="2382" spans="1:4" x14ac:dyDescent="0.35">
      <c r="A2382" s="1">
        <v>2004</v>
      </c>
      <c r="B2382" t="s">
        <v>94</v>
      </c>
      <c r="C2382" t="s">
        <v>95</v>
      </c>
      <c r="D2382">
        <v>193376</v>
      </c>
    </row>
    <row r="2383" spans="1:4" x14ac:dyDescent="0.35">
      <c r="A2383" s="1">
        <v>2004</v>
      </c>
      <c r="B2383" t="s">
        <v>54</v>
      </c>
      <c r="C2383" t="s">
        <v>55</v>
      </c>
      <c r="D2383">
        <v>679372</v>
      </c>
    </row>
    <row r="2384" spans="1:4" x14ac:dyDescent="0.35">
      <c r="A2384" s="1">
        <v>2004</v>
      </c>
      <c r="B2384" t="s">
        <v>96</v>
      </c>
      <c r="C2384" t="s">
        <v>97</v>
      </c>
      <c r="D2384">
        <v>1032634</v>
      </c>
    </row>
    <row r="2385" spans="1:4" x14ac:dyDescent="0.35">
      <c r="A2385" s="1">
        <v>2004</v>
      </c>
      <c r="B2385" t="s">
        <v>38</v>
      </c>
      <c r="C2385" t="s">
        <v>39</v>
      </c>
      <c r="D2385">
        <v>223050</v>
      </c>
    </row>
    <row r="2386" spans="1:4" x14ac:dyDescent="0.35">
      <c r="A2386" s="1">
        <v>2004</v>
      </c>
      <c r="B2386" t="s">
        <v>106</v>
      </c>
      <c r="C2386" t="s">
        <v>107</v>
      </c>
      <c r="D2386">
        <v>2561038</v>
      </c>
    </row>
    <row r="2387" spans="1:4" x14ac:dyDescent="0.35">
      <c r="A2387" s="1">
        <v>2004</v>
      </c>
      <c r="B2387" t="s">
        <v>108</v>
      </c>
      <c r="C2387" t="s">
        <v>109</v>
      </c>
      <c r="D2387">
        <v>785007</v>
      </c>
    </row>
    <row r="2388" spans="1:4" x14ac:dyDescent="0.35">
      <c r="A2388" s="1">
        <v>2004</v>
      </c>
      <c r="B2388" t="s">
        <v>136</v>
      </c>
      <c r="C2388" t="s">
        <v>137</v>
      </c>
      <c r="D2388">
        <v>293052</v>
      </c>
    </row>
    <row r="2389" spans="1:4" x14ac:dyDescent="0.35">
      <c r="A2389" s="1">
        <v>2004</v>
      </c>
      <c r="B2389" t="s">
        <v>110</v>
      </c>
      <c r="C2389" t="s">
        <v>111</v>
      </c>
      <c r="D2389">
        <v>1449510</v>
      </c>
    </row>
    <row r="2390" spans="1:4" x14ac:dyDescent="0.35">
      <c r="A2390" s="1">
        <v>2004</v>
      </c>
      <c r="B2390" t="s">
        <v>24</v>
      </c>
      <c r="C2390" t="s">
        <v>25</v>
      </c>
      <c r="D2390">
        <v>617448</v>
      </c>
    </row>
    <row r="2391" spans="1:4" x14ac:dyDescent="0.35">
      <c r="A2391" s="1">
        <v>2004</v>
      </c>
      <c r="B2391" t="s">
        <v>156</v>
      </c>
      <c r="C2391" t="s">
        <v>157</v>
      </c>
      <c r="D2391">
        <v>625669</v>
      </c>
    </row>
    <row r="2392" spans="1:4" x14ac:dyDescent="0.35">
      <c r="A2392" s="1">
        <v>2004</v>
      </c>
      <c r="B2392" t="s">
        <v>182</v>
      </c>
      <c r="C2392" t="s">
        <v>183</v>
      </c>
      <c r="D2392">
        <v>226132</v>
      </c>
    </row>
    <row r="2393" spans="1:4" x14ac:dyDescent="0.35">
      <c r="A2393" s="1">
        <v>2004</v>
      </c>
      <c r="B2393" t="s">
        <v>184</v>
      </c>
      <c r="C2393" t="s">
        <v>185</v>
      </c>
      <c r="D2393">
        <v>419820</v>
      </c>
    </row>
    <row r="2394" spans="1:4" x14ac:dyDescent="0.35">
      <c r="A2394" s="1">
        <v>2004</v>
      </c>
      <c r="B2394" t="s">
        <v>98</v>
      </c>
      <c r="C2394" t="s">
        <v>99</v>
      </c>
      <c r="D2394">
        <v>1063274</v>
      </c>
    </row>
    <row r="2395" spans="1:4" x14ac:dyDescent="0.35">
      <c r="A2395" s="1">
        <v>2004</v>
      </c>
      <c r="B2395" t="s">
        <v>100</v>
      </c>
      <c r="C2395" t="s">
        <v>101</v>
      </c>
      <c r="D2395">
        <v>727871</v>
      </c>
    </row>
    <row r="2396" spans="1:4" x14ac:dyDescent="0.35">
      <c r="A2396" s="1">
        <v>2004</v>
      </c>
      <c r="B2396" t="s">
        <v>26</v>
      </c>
      <c r="C2396" t="s">
        <v>27</v>
      </c>
      <c r="D2396">
        <v>1640876</v>
      </c>
    </row>
    <row r="2397" spans="1:4" x14ac:dyDescent="0.35">
      <c r="A2397" s="1">
        <v>2004</v>
      </c>
      <c r="B2397" t="s">
        <v>40</v>
      </c>
      <c r="C2397" t="s">
        <v>41</v>
      </c>
      <c r="D2397">
        <v>233991</v>
      </c>
    </row>
    <row r="2398" spans="1:4" x14ac:dyDescent="0.35">
      <c r="A2398" s="1">
        <v>2004</v>
      </c>
      <c r="B2398" t="s">
        <v>42</v>
      </c>
      <c r="C2398" t="s">
        <v>43</v>
      </c>
      <c r="D2398">
        <v>547660</v>
      </c>
    </row>
    <row r="2399" spans="1:4" x14ac:dyDescent="0.35">
      <c r="A2399" s="1">
        <v>2004</v>
      </c>
      <c r="B2399" t="s">
        <v>196</v>
      </c>
      <c r="C2399" t="s">
        <v>197</v>
      </c>
      <c r="D2399">
        <v>546270</v>
      </c>
    </row>
    <row r="2400" spans="1:4" x14ac:dyDescent="0.35">
      <c r="A2400" s="1">
        <v>2004</v>
      </c>
      <c r="B2400" t="s">
        <v>28</v>
      </c>
      <c r="C2400" t="s">
        <v>29</v>
      </c>
      <c r="D2400">
        <v>393868</v>
      </c>
    </row>
    <row r="2401" spans="1:4" x14ac:dyDescent="0.35">
      <c r="A2401" s="1">
        <v>2004</v>
      </c>
      <c r="B2401" t="s">
        <v>30</v>
      </c>
      <c r="C2401" t="s">
        <v>31</v>
      </c>
      <c r="D2401">
        <v>676755</v>
      </c>
    </row>
    <row r="2402" spans="1:4" x14ac:dyDescent="0.35">
      <c r="A2402" s="1">
        <v>2004</v>
      </c>
      <c r="B2402" t="s">
        <v>114</v>
      </c>
      <c r="C2402" t="s">
        <v>115</v>
      </c>
      <c r="D2402">
        <v>2161932</v>
      </c>
    </row>
    <row r="2403" spans="1:4" x14ac:dyDescent="0.35">
      <c r="A2403" s="1">
        <v>2004</v>
      </c>
      <c r="B2403" t="s">
        <v>138</v>
      </c>
      <c r="C2403" t="s">
        <v>139</v>
      </c>
      <c r="D2403">
        <v>1242398</v>
      </c>
    </row>
    <row r="2404" spans="1:4" x14ac:dyDescent="0.35">
      <c r="A2404" s="1">
        <v>2004</v>
      </c>
      <c r="B2404" t="s">
        <v>116</v>
      </c>
      <c r="C2404" t="s">
        <v>117</v>
      </c>
      <c r="D2404">
        <v>1248865</v>
      </c>
    </row>
    <row r="2405" spans="1:4" x14ac:dyDescent="0.35">
      <c r="A2405" s="1">
        <v>2004</v>
      </c>
      <c r="B2405" t="s">
        <v>118</v>
      </c>
      <c r="C2405" t="s">
        <v>119</v>
      </c>
      <c r="D2405">
        <v>1383145</v>
      </c>
    </row>
    <row r="2406" spans="1:4" x14ac:dyDescent="0.35">
      <c r="A2406" s="1">
        <v>2004</v>
      </c>
      <c r="B2406" t="s">
        <v>158</v>
      </c>
      <c r="C2406" t="s">
        <v>159</v>
      </c>
      <c r="D2406">
        <v>354914</v>
      </c>
    </row>
    <row r="2407" spans="1:4" x14ac:dyDescent="0.35">
      <c r="A2407" s="1">
        <v>2004</v>
      </c>
      <c r="B2407" t="s">
        <v>112</v>
      </c>
      <c r="C2407" t="s">
        <v>113</v>
      </c>
      <c r="D2407">
        <v>561938</v>
      </c>
    </row>
    <row r="2408" spans="1:4" x14ac:dyDescent="0.35">
      <c r="A2408" s="1">
        <v>2004</v>
      </c>
      <c r="B2408" t="s">
        <v>186</v>
      </c>
      <c r="C2408" t="s">
        <v>187</v>
      </c>
      <c r="D2408">
        <v>358395</v>
      </c>
    </row>
    <row r="2409" spans="1:4" x14ac:dyDescent="0.35">
      <c r="A2409" s="1">
        <v>2004</v>
      </c>
      <c r="B2409" t="s">
        <v>188</v>
      </c>
      <c r="C2409" t="s">
        <v>189</v>
      </c>
      <c r="D2409">
        <v>220316</v>
      </c>
    </row>
    <row r="2410" spans="1:4" x14ac:dyDescent="0.35">
      <c r="A2410" s="1">
        <v>2004</v>
      </c>
      <c r="B2410" t="s">
        <v>208</v>
      </c>
      <c r="C2410" t="s">
        <v>209</v>
      </c>
      <c r="D2410">
        <v>958745</v>
      </c>
    </row>
    <row r="2411" spans="1:4" x14ac:dyDescent="0.35">
      <c r="A2411" s="1">
        <v>2004</v>
      </c>
      <c r="B2411" t="s">
        <v>210</v>
      </c>
      <c r="C2411" t="s">
        <v>211</v>
      </c>
      <c r="D2411">
        <v>523398</v>
      </c>
    </row>
    <row r="2412" spans="1:4" x14ac:dyDescent="0.35">
      <c r="A2412" s="1">
        <v>2004</v>
      </c>
      <c r="B2412" t="s">
        <v>198</v>
      </c>
      <c r="C2412" t="s">
        <v>199</v>
      </c>
      <c r="D2412">
        <v>578974</v>
      </c>
    </row>
    <row r="2413" spans="1:4" x14ac:dyDescent="0.35">
      <c r="A2413" s="1">
        <v>2004</v>
      </c>
      <c r="B2413" t="s">
        <v>160</v>
      </c>
      <c r="C2413" t="s">
        <v>161</v>
      </c>
      <c r="D2413">
        <v>412316</v>
      </c>
    </row>
    <row r="2414" spans="1:4" x14ac:dyDescent="0.35">
      <c r="A2414" s="1">
        <v>2004</v>
      </c>
      <c r="B2414" t="s">
        <v>162</v>
      </c>
      <c r="C2414" t="s">
        <v>163</v>
      </c>
      <c r="D2414">
        <v>362522</v>
      </c>
    </row>
    <row r="2415" spans="1:4" x14ac:dyDescent="0.35">
      <c r="A2415" s="1">
        <v>2004</v>
      </c>
      <c r="B2415" t="s">
        <v>102</v>
      </c>
      <c r="C2415" t="s">
        <v>103</v>
      </c>
      <c r="D2415">
        <v>380392</v>
      </c>
    </row>
    <row r="2416" spans="1:4" x14ac:dyDescent="0.35">
      <c r="A2416" s="1">
        <v>2004</v>
      </c>
      <c r="B2416" t="s">
        <v>44</v>
      </c>
      <c r="C2416" t="s">
        <v>45</v>
      </c>
      <c r="D2416">
        <v>337724</v>
      </c>
    </row>
    <row r="2417" spans="1:4" x14ac:dyDescent="0.35">
      <c r="A2417" s="1">
        <v>2004</v>
      </c>
      <c r="B2417" t="s">
        <v>46</v>
      </c>
      <c r="C2417" t="s">
        <v>221</v>
      </c>
      <c r="D2417">
        <v>140157</v>
      </c>
    </row>
    <row r="2418" spans="1:4" x14ac:dyDescent="0.35">
      <c r="A2418" s="1">
        <v>2004</v>
      </c>
      <c r="B2418" t="s">
        <v>120</v>
      </c>
      <c r="C2418" t="s">
        <v>121</v>
      </c>
      <c r="D2418">
        <v>1178214</v>
      </c>
    </row>
    <row r="2419" spans="1:4" x14ac:dyDescent="0.35">
      <c r="A2419" s="1">
        <v>2004</v>
      </c>
      <c r="B2419" t="s">
        <v>122</v>
      </c>
      <c r="C2419" t="s">
        <v>222</v>
      </c>
      <c r="D2419">
        <v>1503568</v>
      </c>
    </row>
    <row r="2420" spans="1:4" x14ac:dyDescent="0.35">
      <c r="A2420" s="1">
        <v>2004</v>
      </c>
      <c r="B2420" t="s">
        <v>124</v>
      </c>
      <c r="C2420" t="s">
        <v>125</v>
      </c>
      <c r="D2420">
        <v>1458081</v>
      </c>
    </row>
    <row r="2421" spans="1:4" x14ac:dyDescent="0.35">
      <c r="A2421" s="1">
        <v>2004</v>
      </c>
      <c r="B2421" t="s">
        <v>126</v>
      </c>
      <c r="C2421" t="s">
        <v>127</v>
      </c>
      <c r="D2421">
        <v>1276157</v>
      </c>
    </row>
    <row r="2422" spans="1:4" x14ac:dyDescent="0.35">
      <c r="A2422" s="1">
        <v>2004</v>
      </c>
      <c r="B2422" t="s">
        <v>128</v>
      </c>
      <c r="C2422" t="s">
        <v>129</v>
      </c>
      <c r="D2422">
        <v>1140328</v>
      </c>
    </row>
    <row r="2423" spans="1:4" x14ac:dyDescent="0.35">
      <c r="A2423" s="1">
        <v>2004</v>
      </c>
      <c r="B2423" t="s">
        <v>257</v>
      </c>
      <c r="D2423">
        <v>60505421</v>
      </c>
    </row>
    <row r="2424" spans="1:4" x14ac:dyDescent="0.35">
      <c r="A2424" s="1">
        <v>2004</v>
      </c>
      <c r="B2424">
        <v>971</v>
      </c>
      <c r="C2424" t="s">
        <v>73</v>
      </c>
      <c r="D2424">
        <v>396992</v>
      </c>
    </row>
    <row r="2425" spans="1:4" x14ac:dyDescent="0.35">
      <c r="A2425" s="1">
        <v>2004</v>
      </c>
      <c r="B2425">
        <v>972</v>
      </c>
      <c r="C2425" t="s">
        <v>75</v>
      </c>
      <c r="D2425">
        <v>393852</v>
      </c>
    </row>
    <row r="2426" spans="1:4" x14ac:dyDescent="0.35">
      <c r="A2426" s="1">
        <v>2004</v>
      </c>
      <c r="B2426">
        <v>973</v>
      </c>
      <c r="C2426" t="s">
        <v>77</v>
      </c>
      <c r="D2426">
        <v>193167</v>
      </c>
    </row>
    <row r="2427" spans="1:4" x14ac:dyDescent="0.35">
      <c r="A2427" s="1">
        <v>2004</v>
      </c>
      <c r="B2427">
        <v>974</v>
      </c>
      <c r="C2427" t="s">
        <v>79</v>
      </c>
      <c r="D2427">
        <v>761630</v>
      </c>
    </row>
    <row r="2428" spans="1:4" x14ac:dyDescent="0.35">
      <c r="A2428" s="1">
        <v>2004</v>
      </c>
      <c r="B2428" t="s">
        <v>226</v>
      </c>
      <c r="D2428">
        <v>1745641</v>
      </c>
    </row>
    <row r="2429" spans="1:4" x14ac:dyDescent="0.35">
      <c r="A2429" s="1">
        <v>2004</v>
      </c>
      <c r="B2429" t="s">
        <v>227</v>
      </c>
      <c r="D2429">
        <v>62251062</v>
      </c>
    </row>
    <row r="2430" spans="1:4" x14ac:dyDescent="0.35">
      <c r="A2430" s="1">
        <v>2004</v>
      </c>
    </row>
    <row r="2431" spans="1:4" x14ac:dyDescent="0.35">
      <c r="A2431" s="1">
        <v>2004</v>
      </c>
      <c r="B2431" t="s">
        <v>240</v>
      </c>
    </row>
    <row r="2432" spans="1:4" x14ac:dyDescent="0.35">
      <c r="A2432" s="1">
        <v>2003</v>
      </c>
      <c r="B2432" t="s">
        <v>251</v>
      </c>
    </row>
    <row r="2433" spans="1:4" x14ac:dyDescent="0.35">
      <c r="A2433" s="1">
        <v>2003</v>
      </c>
      <c r="B2433" t="s">
        <v>261</v>
      </c>
    </row>
    <row r="2434" spans="1:4" x14ac:dyDescent="0.35">
      <c r="A2434" s="1">
        <v>2003</v>
      </c>
    </row>
    <row r="2435" spans="1:4" x14ac:dyDescent="0.35">
      <c r="A2435" s="1">
        <v>2003</v>
      </c>
      <c r="B2435" t="s">
        <v>231</v>
      </c>
    </row>
    <row r="2436" spans="1:4" x14ac:dyDescent="0.35">
      <c r="A2436" s="1">
        <v>2003</v>
      </c>
      <c r="D2436" t="s">
        <v>232</v>
      </c>
    </row>
    <row r="2437" spans="1:4" x14ac:dyDescent="0.35">
      <c r="A2437" s="1">
        <v>2003</v>
      </c>
      <c r="B2437" t="s">
        <v>5</v>
      </c>
      <c r="C2437" t="s">
        <v>6</v>
      </c>
      <c r="D2437">
        <v>543136</v>
      </c>
    </row>
    <row r="2438" spans="1:4" x14ac:dyDescent="0.35">
      <c r="A2438" s="1">
        <v>2003</v>
      </c>
      <c r="B2438" t="s">
        <v>104</v>
      </c>
      <c r="C2438" t="s">
        <v>105</v>
      </c>
      <c r="D2438">
        <v>536651</v>
      </c>
    </row>
    <row r="2439" spans="1:4" x14ac:dyDescent="0.35">
      <c r="A2439" s="1">
        <v>2003</v>
      </c>
      <c r="B2439" t="s">
        <v>10</v>
      </c>
      <c r="C2439" t="s">
        <v>11</v>
      </c>
      <c r="D2439">
        <v>344005</v>
      </c>
    </row>
    <row r="2440" spans="1:4" x14ac:dyDescent="0.35">
      <c r="A2440" s="1">
        <v>2003</v>
      </c>
      <c r="B2440" t="s">
        <v>200</v>
      </c>
      <c r="C2440" t="s">
        <v>201</v>
      </c>
      <c r="D2440">
        <v>147970</v>
      </c>
    </row>
    <row r="2441" spans="1:4" x14ac:dyDescent="0.35">
      <c r="A2441" s="1">
        <v>2003</v>
      </c>
      <c r="B2441" t="s">
        <v>202</v>
      </c>
      <c r="C2441" t="s">
        <v>203</v>
      </c>
      <c r="D2441">
        <v>126721</v>
      </c>
    </row>
    <row r="2442" spans="1:4" x14ac:dyDescent="0.35">
      <c r="A2442" s="1">
        <v>2003</v>
      </c>
      <c r="B2442" t="s">
        <v>204</v>
      </c>
      <c r="C2442" t="s">
        <v>205</v>
      </c>
      <c r="D2442">
        <v>1044429</v>
      </c>
    </row>
    <row r="2443" spans="1:4" x14ac:dyDescent="0.35">
      <c r="A2443" s="1">
        <v>2003</v>
      </c>
      <c r="B2443" t="s">
        <v>12</v>
      </c>
      <c r="C2443" t="s">
        <v>13</v>
      </c>
      <c r="D2443">
        <v>296960</v>
      </c>
    </row>
    <row r="2444" spans="1:4" x14ac:dyDescent="0.35">
      <c r="A2444" s="1">
        <v>2003</v>
      </c>
      <c r="B2444" t="s">
        <v>84</v>
      </c>
      <c r="C2444" t="s">
        <v>85</v>
      </c>
      <c r="D2444">
        <v>287820</v>
      </c>
    </row>
    <row r="2445" spans="1:4" x14ac:dyDescent="0.35">
      <c r="A2445" s="1">
        <v>2003</v>
      </c>
      <c r="B2445" t="s">
        <v>164</v>
      </c>
      <c r="C2445" t="s">
        <v>165</v>
      </c>
      <c r="D2445">
        <v>142043</v>
      </c>
    </row>
    <row r="2446" spans="1:4" x14ac:dyDescent="0.35">
      <c r="A2446" s="1">
        <v>2003</v>
      </c>
      <c r="B2446" t="s">
        <v>86</v>
      </c>
      <c r="C2446" t="s">
        <v>87</v>
      </c>
      <c r="D2446">
        <v>296294</v>
      </c>
    </row>
    <row r="2447" spans="1:4" x14ac:dyDescent="0.35">
      <c r="A2447" s="1">
        <v>2003</v>
      </c>
      <c r="B2447" t="s">
        <v>166</v>
      </c>
      <c r="C2447" t="s">
        <v>167</v>
      </c>
      <c r="D2447">
        <v>326491</v>
      </c>
    </row>
    <row r="2448" spans="1:4" x14ac:dyDescent="0.35">
      <c r="A2448" s="1">
        <v>2003</v>
      </c>
      <c r="B2448" t="s">
        <v>168</v>
      </c>
      <c r="C2448" t="s">
        <v>169</v>
      </c>
      <c r="D2448">
        <v>269114</v>
      </c>
    </row>
    <row r="2449" spans="1:4" x14ac:dyDescent="0.35">
      <c r="A2449" s="1">
        <v>2003</v>
      </c>
      <c r="B2449" t="s">
        <v>206</v>
      </c>
      <c r="C2449" t="s">
        <v>207</v>
      </c>
      <c r="D2449">
        <v>1891344</v>
      </c>
    </row>
    <row r="2450" spans="1:4" x14ac:dyDescent="0.35">
      <c r="A2450" s="1">
        <v>2003</v>
      </c>
      <c r="B2450" t="s">
        <v>130</v>
      </c>
      <c r="C2450" t="s">
        <v>131</v>
      </c>
      <c r="D2450">
        <v>661498</v>
      </c>
    </row>
    <row r="2451" spans="1:4" x14ac:dyDescent="0.35">
      <c r="A2451" s="1">
        <v>2003</v>
      </c>
      <c r="B2451" t="s">
        <v>14</v>
      </c>
      <c r="C2451" t="s">
        <v>15</v>
      </c>
      <c r="D2451">
        <v>150118</v>
      </c>
    </row>
    <row r="2452" spans="1:4" x14ac:dyDescent="0.35">
      <c r="A2452" s="1">
        <v>2003</v>
      </c>
      <c r="B2452" t="s">
        <v>140</v>
      </c>
      <c r="C2452" t="s">
        <v>141</v>
      </c>
      <c r="D2452">
        <v>343894</v>
      </c>
    </row>
    <row r="2453" spans="1:4" x14ac:dyDescent="0.35">
      <c r="A2453" s="1">
        <v>2003</v>
      </c>
      <c r="B2453" t="s">
        <v>142</v>
      </c>
      <c r="C2453" t="s">
        <v>143</v>
      </c>
      <c r="D2453">
        <v>579877</v>
      </c>
    </row>
    <row r="2454" spans="1:4" x14ac:dyDescent="0.35">
      <c r="A2454" s="1">
        <v>2003</v>
      </c>
      <c r="B2454" t="s">
        <v>56</v>
      </c>
      <c r="C2454" t="s">
        <v>57</v>
      </c>
      <c r="D2454">
        <v>314781</v>
      </c>
    </row>
    <row r="2455" spans="1:4" x14ac:dyDescent="0.35">
      <c r="A2455" s="1">
        <v>2003</v>
      </c>
      <c r="B2455" t="s">
        <v>144</v>
      </c>
      <c r="C2455" t="s">
        <v>145</v>
      </c>
      <c r="D2455">
        <v>236805</v>
      </c>
    </row>
    <row r="2456" spans="1:4" x14ac:dyDescent="0.35">
      <c r="A2456" s="1">
        <v>2003</v>
      </c>
      <c r="B2456" t="s">
        <v>68</v>
      </c>
      <c r="C2456" t="s">
        <v>69</v>
      </c>
      <c r="D2456">
        <v>128098</v>
      </c>
    </row>
    <row r="2457" spans="1:4" x14ac:dyDescent="0.35">
      <c r="A2457" s="1">
        <v>2003</v>
      </c>
      <c r="B2457" t="s">
        <v>70</v>
      </c>
      <c r="C2457" t="s">
        <v>71</v>
      </c>
      <c r="D2457">
        <v>150929</v>
      </c>
    </row>
    <row r="2458" spans="1:4" x14ac:dyDescent="0.35">
      <c r="A2458" s="1">
        <v>2003</v>
      </c>
      <c r="B2458" t="s">
        <v>32</v>
      </c>
      <c r="C2458" t="s">
        <v>219</v>
      </c>
      <c r="D2458">
        <v>512591</v>
      </c>
    </row>
    <row r="2459" spans="1:4" x14ac:dyDescent="0.35">
      <c r="A2459" s="1">
        <v>2003</v>
      </c>
      <c r="B2459" t="s">
        <v>48</v>
      </c>
      <c r="C2459" t="s">
        <v>220</v>
      </c>
      <c r="D2459">
        <v>557831</v>
      </c>
    </row>
    <row r="2460" spans="1:4" x14ac:dyDescent="0.35">
      <c r="A2460" s="1">
        <v>2003</v>
      </c>
      <c r="B2460" t="s">
        <v>146</v>
      </c>
      <c r="C2460" t="s">
        <v>147</v>
      </c>
      <c r="D2460">
        <v>123797</v>
      </c>
    </row>
    <row r="2461" spans="1:4" x14ac:dyDescent="0.35">
      <c r="A2461" s="1">
        <v>2003</v>
      </c>
      <c r="B2461" t="s">
        <v>148</v>
      </c>
      <c r="C2461" t="s">
        <v>149</v>
      </c>
      <c r="D2461">
        <v>396905</v>
      </c>
    </row>
    <row r="2462" spans="1:4" x14ac:dyDescent="0.35">
      <c r="A2462" s="1">
        <v>2003</v>
      </c>
      <c r="B2462" t="s">
        <v>34</v>
      </c>
      <c r="C2462" t="s">
        <v>35</v>
      </c>
      <c r="D2462">
        <v>508532</v>
      </c>
    </row>
    <row r="2463" spans="1:4" x14ac:dyDescent="0.35">
      <c r="A2463" s="1">
        <v>2003</v>
      </c>
      <c r="B2463" t="s">
        <v>16</v>
      </c>
      <c r="C2463" t="s">
        <v>17</v>
      </c>
      <c r="D2463">
        <v>454702</v>
      </c>
    </row>
    <row r="2464" spans="1:4" x14ac:dyDescent="0.35">
      <c r="A2464" s="1">
        <v>2003</v>
      </c>
      <c r="B2464" t="s">
        <v>132</v>
      </c>
      <c r="C2464" t="s">
        <v>133</v>
      </c>
      <c r="D2464">
        <v>555822</v>
      </c>
    </row>
    <row r="2465" spans="1:4" x14ac:dyDescent="0.35">
      <c r="A2465" s="1">
        <v>2003</v>
      </c>
      <c r="B2465" t="s">
        <v>58</v>
      </c>
      <c r="C2465" t="s">
        <v>59</v>
      </c>
      <c r="D2465">
        <v>415032</v>
      </c>
    </row>
    <row r="2466" spans="1:4" x14ac:dyDescent="0.35">
      <c r="A2466" s="1">
        <v>2003</v>
      </c>
      <c r="B2466" t="s">
        <v>50</v>
      </c>
      <c r="C2466" t="s">
        <v>51</v>
      </c>
      <c r="D2466">
        <v>869205</v>
      </c>
    </row>
    <row r="2467" spans="1:4" x14ac:dyDescent="0.35">
      <c r="A2467" s="1">
        <v>2003</v>
      </c>
      <c r="B2467" t="s">
        <v>170</v>
      </c>
      <c r="C2467" t="s">
        <v>171</v>
      </c>
      <c r="D2467">
        <v>655892</v>
      </c>
    </row>
    <row r="2468" spans="1:4" x14ac:dyDescent="0.35">
      <c r="A2468" s="1">
        <v>2003</v>
      </c>
      <c r="B2468" t="s">
        <v>172</v>
      </c>
      <c r="C2468" t="s">
        <v>173</v>
      </c>
      <c r="D2468">
        <v>1122778</v>
      </c>
    </row>
    <row r="2469" spans="1:4" x14ac:dyDescent="0.35">
      <c r="A2469" s="1">
        <v>2003</v>
      </c>
      <c r="B2469" t="s">
        <v>174</v>
      </c>
      <c r="C2469" t="s">
        <v>175</v>
      </c>
      <c r="D2469">
        <v>177185</v>
      </c>
    </row>
    <row r="2470" spans="1:4" x14ac:dyDescent="0.35">
      <c r="A2470" s="1">
        <v>2003</v>
      </c>
      <c r="B2470" t="s">
        <v>150</v>
      </c>
      <c r="C2470" t="s">
        <v>151</v>
      </c>
      <c r="D2470">
        <v>1345768</v>
      </c>
    </row>
    <row r="2471" spans="1:4" x14ac:dyDescent="0.35">
      <c r="A2471" s="1">
        <v>2003</v>
      </c>
      <c r="B2471" t="s">
        <v>176</v>
      </c>
      <c r="C2471" t="s">
        <v>177</v>
      </c>
      <c r="D2471">
        <v>952865</v>
      </c>
    </row>
    <row r="2472" spans="1:4" x14ac:dyDescent="0.35">
      <c r="A2472" s="1">
        <v>2003</v>
      </c>
      <c r="B2472" t="s">
        <v>52</v>
      </c>
      <c r="C2472" t="s">
        <v>53</v>
      </c>
      <c r="D2472">
        <v>910367</v>
      </c>
    </row>
    <row r="2473" spans="1:4" x14ac:dyDescent="0.35">
      <c r="A2473" s="1">
        <v>2003</v>
      </c>
      <c r="B2473" t="s">
        <v>60</v>
      </c>
      <c r="C2473" t="s">
        <v>61</v>
      </c>
      <c r="D2473">
        <v>232155</v>
      </c>
    </row>
    <row r="2474" spans="1:4" x14ac:dyDescent="0.35">
      <c r="A2474" s="1">
        <v>2003</v>
      </c>
      <c r="B2474" t="s">
        <v>62</v>
      </c>
      <c r="C2474" t="s">
        <v>63</v>
      </c>
      <c r="D2474">
        <v>568765</v>
      </c>
    </row>
    <row r="2475" spans="1:4" x14ac:dyDescent="0.35">
      <c r="A2475" s="1">
        <v>2003</v>
      </c>
      <c r="B2475" t="s">
        <v>18</v>
      </c>
      <c r="C2475" t="s">
        <v>19</v>
      </c>
      <c r="D2475">
        <v>1135080</v>
      </c>
    </row>
    <row r="2476" spans="1:4" x14ac:dyDescent="0.35">
      <c r="A2476" s="1">
        <v>2003</v>
      </c>
      <c r="B2476" t="s">
        <v>36</v>
      </c>
      <c r="C2476" t="s">
        <v>37</v>
      </c>
      <c r="D2476">
        <v>254691</v>
      </c>
    </row>
    <row r="2477" spans="1:4" x14ac:dyDescent="0.35">
      <c r="A2477" s="1">
        <v>2003</v>
      </c>
      <c r="B2477" t="s">
        <v>152</v>
      </c>
      <c r="C2477" t="s">
        <v>153</v>
      </c>
      <c r="D2477">
        <v>346620</v>
      </c>
    </row>
    <row r="2478" spans="1:4" x14ac:dyDescent="0.35">
      <c r="A2478" s="1">
        <v>2003</v>
      </c>
      <c r="B2478" t="s">
        <v>64</v>
      </c>
      <c r="C2478" t="s">
        <v>65</v>
      </c>
      <c r="D2478">
        <v>320536</v>
      </c>
    </row>
    <row r="2479" spans="1:4" x14ac:dyDescent="0.35">
      <c r="A2479" s="1">
        <v>2003</v>
      </c>
      <c r="B2479" t="s">
        <v>20</v>
      </c>
      <c r="C2479" t="s">
        <v>21</v>
      </c>
      <c r="D2479">
        <v>735780</v>
      </c>
    </row>
    <row r="2480" spans="1:4" x14ac:dyDescent="0.35">
      <c r="A2480" s="1">
        <v>2003</v>
      </c>
      <c r="B2480" t="s">
        <v>22</v>
      </c>
      <c r="C2480" t="s">
        <v>23</v>
      </c>
      <c r="D2480">
        <v>214595</v>
      </c>
    </row>
    <row r="2481" spans="1:4" x14ac:dyDescent="0.35">
      <c r="A2481" s="1">
        <v>2003</v>
      </c>
      <c r="B2481" t="s">
        <v>190</v>
      </c>
      <c r="C2481" t="s">
        <v>191</v>
      </c>
      <c r="D2481">
        <v>1189157</v>
      </c>
    </row>
    <row r="2482" spans="1:4" x14ac:dyDescent="0.35">
      <c r="A2482" s="1">
        <v>2003</v>
      </c>
      <c r="B2482" t="s">
        <v>66</v>
      </c>
      <c r="C2482" t="s">
        <v>67</v>
      </c>
      <c r="D2482">
        <v>633019</v>
      </c>
    </row>
    <row r="2483" spans="1:4" x14ac:dyDescent="0.35">
      <c r="A2483" s="1">
        <v>2003</v>
      </c>
      <c r="B2483" t="s">
        <v>178</v>
      </c>
      <c r="C2483" t="s">
        <v>179</v>
      </c>
      <c r="D2483">
        <v>165493</v>
      </c>
    </row>
    <row r="2484" spans="1:4" x14ac:dyDescent="0.35">
      <c r="A2484" s="1">
        <v>2003</v>
      </c>
      <c r="B2484" t="s">
        <v>154</v>
      </c>
      <c r="C2484" t="s">
        <v>155</v>
      </c>
      <c r="D2484">
        <v>314421</v>
      </c>
    </row>
    <row r="2485" spans="1:4" x14ac:dyDescent="0.35">
      <c r="A2485" s="1">
        <v>2003</v>
      </c>
      <c r="B2485" t="s">
        <v>180</v>
      </c>
      <c r="C2485" t="s">
        <v>181</v>
      </c>
      <c r="D2485">
        <v>75314</v>
      </c>
    </row>
    <row r="2486" spans="1:4" x14ac:dyDescent="0.35">
      <c r="A2486" s="1">
        <v>2003</v>
      </c>
      <c r="B2486" t="s">
        <v>192</v>
      </c>
      <c r="C2486" t="s">
        <v>193</v>
      </c>
      <c r="D2486">
        <v>751708</v>
      </c>
    </row>
    <row r="2487" spans="1:4" x14ac:dyDescent="0.35">
      <c r="A2487" s="1">
        <v>2003</v>
      </c>
      <c r="B2487" t="s">
        <v>134</v>
      </c>
      <c r="C2487" t="s">
        <v>135</v>
      </c>
      <c r="D2487">
        <v>488260</v>
      </c>
    </row>
    <row r="2488" spans="1:4" x14ac:dyDescent="0.35">
      <c r="A2488" s="1">
        <v>2003</v>
      </c>
      <c r="B2488" t="s">
        <v>88</v>
      </c>
      <c r="C2488" t="s">
        <v>89</v>
      </c>
      <c r="D2488">
        <v>565830</v>
      </c>
    </row>
    <row r="2489" spans="1:4" x14ac:dyDescent="0.35">
      <c r="A2489" s="1">
        <v>2003</v>
      </c>
      <c r="B2489" t="s">
        <v>90</v>
      </c>
      <c r="C2489" t="s">
        <v>91</v>
      </c>
      <c r="D2489">
        <v>190907</v>
      </c>
    </row>
    <row r="2490" spans="1:4" x14ac:dyDescent="0.35">
      <c r="A2490" s="1">
        <v>2003</v>
      </c>
      <c r="B2490" t="s">
        <v>194</v>
      </c>
      <c r="C2490" t="s">
        <v>195</v>
      </c>
      <c r="D2490">
        <v>293122</v>
      </c>
    </row>
    <row r="2491" spans="1:4" x14ac:dyDescent="0.35">
      <c r="A2491" s="1">
        <v>2003</v>
      </c>
      <c r="B2491" t="s">
        <v>92</v>
      </c>
      <c r="C2491" t="s">
        <v>93</v>
      </c>
      <c r="D2491">
        <v>720638</v>
      </c>
    </row>
    <row r="2492" spans="1:4" x14ac:dyDescent="0.35">
      <c r="A2492" s="1">
        <v>2003</v>
      </c>
      <c r="B2492" t="s">
        <v>94</v>
      </c>
      <c r="C2492" t="s">
        <v>95</v>
      </c>
      <c r="D2492">
        <v>193321</v>
      </c>
    </row>
    <row r="2493" spans="1:4" x14ac:dyDescent="0.35">
      <c r="A2493" s="1">
        <v>2003</v>
      </c>
      <c r="B2493" t="s">
        <v>54</v>
      </c>
      <c r="C2493" t="s">
        <v>55</v>
      </c>
      <c r="D2493">
        <v>671846</v>
      </c>
    </row>
    <row r="2494" spans="1:4" x14ac:dyDescent="0.35">
      <c r="A2494" s="1">
        <v>2003</v>
      </c>
      <c r="B2494" t="s">
        <v>96</v>
      </c>
      <c r="C2494" t="s">
        <v>97</v>
      </c>
      <c r="D2494">
        <v>1031421</v>
      </c>
    </row>
    <row r="2495" spans="1:4" x14ac:dyDescent="0.35">
      <c r="A2495" s="1">
        <v>2003</v>
      </c>
      <c r="B2495" t="s">
        <v>38</v>
      </c>
      <c r="C2495" t="s">
        <v>39</v>
      </c>
      <c r="D2495">
        <v>223605</v>
      </c>
    </row>
    <row r="2496" spans="1:4" x14ac:dyDescent="0.35">
      <c r="A2496" s="1">
        <v>2003</v>
      </c>
      <c r="B2496" t="s">
        <v>106</v>
      </c>
      <c r="C2496" t="s">
        <v>107</v>
      </c>
      <c r="D2496">
        <v>2559871</v>
      </c>
    </row>
    <row r="2497" spans="1:4" x14ac:dyDescent="0.35">
      <c r="A2497" s="1">
        <v>2003</v>
      </c>
      <c r="B2497" t="s">
        <v>108</v>
      </c>
      <c r="C2497" t="s">
        <v>109</v>
      </c>
      <c r="D2497">
        <v>781462</v>
      </c>
    </row>
    <row r="2498" spans="1:4" x14ac:dyDescent="0.35">
      <c r="A2498" s="1">
        <v>2003</v>
      </c>
      <c r="B2498" t="s">
        <v>136</v>
      </c>
      <c r="C2498" t="s">
        <v>137</v>
      </c>
      <c r="D2498">
        <v>293158</v>
      </c>
    </row>
    <row r="2499" spans="1:4" x14ac:dyDescent="0.35">
      <c r="A2499" s="1">
        <v>2003</v>
      </c>
      <c r="B2499" t="s">
        <v>110</v>
      </c>
      <c r="C2499" t="s">
        <v>111</v>
      </c>
      <c r="D2499">
        <v>1448757</v>
      </c>
    </row>
    <row r="2500" spans="1:4" x14ac:dyDescent="0.35">
      <c r="A2500" s="1">
        <v>2003</v>
      </c>
      <c r="B2500" t="s">
        <v>24</v>
      </c>
      <c r="C2500" t="s">
        <v>25</v>
      </c>
      <c r="D2500">
        <v>614688</v>
      </c>
    </row>
    <row r="2501" spans="1:4" x14ac:dyDescent="0.35">
      <c r="A2501" s="1">
        <v>2003</v>
      </c>
      <c r="B2501" t="s">
        <v>156</v>
      </c>
      <c r="C2501" t="s">
        <v>157</v>
      </c>
      <c r="D2501">
        <v>620208</v>
      </c>
    </row>
    <row r="2502" spans="1:4" x14ac:dyDescent="0.35">
      <c r="A2502" s="1">
        <v>2003</v>
      </c>
      <c r="B2502" t="s">
        <v>182</v>
      </c>
      <c r="C2502" t="s">
        <v>183</v>
      </c>
      <c r="D2502">
        <v>225411</v>
      </c>
    </row>
    <row r="2503" spans="1:4" x14ac:dyDescent="0.35">
      <c r="A2503" s="1">
        <v>2003</v>
      </c>
      <c r="B2503" t="s">
        <v>184</v>
      </c>
      <c r="C2503" t="s">
        <v>185</v>
      </c>
      <c r="D2503">
        <v>413956</v>
      </c>
    </row>
    <row r="2504" spans="1:4" x14ac:dyDescent="0.35">
      <c r="A2504" s="1">
        <v>2003</v>
      </c>
      <c r="B2504" t="s">
        <v>98</v>
      </c>
      <c r="C2504" t="s">
        <v>99</v>
      </c>
      <c r="D2504">
        <v>1055890</v>
      </c>
    </row>
    <row r="2505" spans="1:4" x14ac:dyDescent="0.35">
      <c r="A2505" s="1">
        <v>2003</v>
      </c>
      <c r="B2505" t="s">
        <v>100</v>
      </c>
      <c r="C2505" t="s">
        <v>101</v>
      </c>
      <c r="D2505">
        <v>723685</v>
      </c>
    </row>
    <row r="2506" spans="1:4" x14ac:dyDescent="0.35">
      <c r="A2506" s="1">
        <v>2003</v>
      </c>
      <c r="B2506" t="s">
        <v>26</v>
      </c>
      <c r="C2506" t="s">
        <v>27</v>
      </c>
      <c r="D2506">
        <v>1628151</v>
      </c>
    </row>
    <row r="2507" spans="1:4" x14ac:dyDescent="0.35">
      <c r="A2507" s="1">
        <v>2003</v>
      </c>
      <c r="B2507" t="s">
        <v>40</v>
      </c>
      <c r="C2507" t="s">
        <v>41</v>
      </c>
      <c r="D2507">
        <v>233209</v>
      </c>
    </row>
    <row r="2508" spans="1:4" x14ac:dyDescent="0.35">
      <c r="A2508" s="1">
        <v>2003</v>
      </c>
      <c r="B2508" t="s">
        <v>42</v>
      </c>
      <c r="C2508" t="s">
        <v>43</v>
      </c>
      <c r="D2508">
        <v>547532</v>
      </c>
    </row>
    <row r="2509" spans="1:4" x14ac:dyDescent="0.35">
      <c r="A2509" s="1">
        <v>2003</v>
      </c>
      <c r="B2509" t="s">
        <v>196</v>
      </c>
      <c r="C2509" t="s">
        <v>197</v>
      </c>
      <c r="D2509">
        <v>543037</v>
      </c>
    </row>
    <row r="2510" spans="1:4" x14ac:dyDescent="0.35">
      <c r="A2510" s="1">
        <v>2003</v>
      </c>
      <c r="B2510" t="s">
        <v>28</v>
      </c>
      <c r="C2510" t="s">
        <v>29</v>
      </c>
      <c r="D2510">
        <v>389544</v>
      </c>
    </row>
    <row r="2511" spans="1:4" x14ac:dyDescent="0.35">
      <c r="A2511" s="1">
        <v>2003</v>
      </c>
      <c r="B2511" t="s">
        <v>30</v>
      </c>
      <c r="C2511" t="s">
        <v>31</v>
      </c>
      <c r="D2511">
        <v>667160</v>
      </c>
    </row>
    <row r="2512" spans="1:4" x14ac:dyDescent="0.35">
      <c r="A2512" s="1">
        <v>2003</v>
      </c>
      <c r="B2512" t="s">
        <v>114</v>
      </c>
      <c r="C2512" t="s">
        <v>115</v>
      </c>
      <c r="D2512">
        <v>2154521</v>
      </c>
    </row>
    <row r="2513" spans="1:4" x14ac:dyDescent="0.35">
      <c r="A2513" s="1">
        <v>2003</v>
      </c>
      <c r="B2513" t="s">
        <v>138</v>
      </c>
      <c r="C2513" t="s">
        <v>139</v>
      </c>
      <c r="D2513">
        <v>1242102</v>
      </c>
    </row>
    <row r="2514" spans="1:4" x14ac:dyDescent="0.35">
      <c r="A2514" s="1">
        <v>2003</v>
      </c>
      <c r="B2514" t="s">
        <v>116</v>
      </c>
      <c r="C2514" t="s">
        <v>117</v>
      </c>
      <c r="D2514">
        <v>1237515</v>
      </c>
    </row>
    <row r="2515" spans="1:4" x14ac:dyDescent="0.35">
      <c r="A2515" s="1">
        <v>2003</v>
      </c>
      <c r="B2515" t="s">
        <v>118</v>
      </c>
      <c r="C2515" t="s">
        <v>119</v>
      </c>
      <c r="D2515">
        <v>1377260</v>
      </c>
    </row>
    <row r="2516" spans="1:4" x14ac:dyDescent="0.35">
      <c r="A2516" s="1">
        <v>2003</v>
      </c>
      <c r="B2516" t="s">
        <v>158</v>
      </c>
      <c r="C2516" t="s">
        <v>159</v>
      </c>
      <c r="D2516">
        <v>352970</v>
      </c>
    </row>
    <row r="2517" spans="1:4" x14ac:dyDescent="0.35">
      <c r="A2517" s="1">
        <v>2003</v>
      </c>
      <c r="B2517" t="s">
        <v>112</v>
      </c>
      <c r="C2517" t="s">
        <v>113</v>
      </c>
      <c r="D2517">
        <v>560966</v>
      </c>
    </row>
    <row r="2518" spans="1:4" x14ac:dyDescent="0.35">
      <c r="A2518" s="1">
        <v>2003</v>
      </c>
      <c r="B2518" t="s">
        <v>186</v>
      </c>
      <c r="C2518" t="s">
        <v>187</v>
      </c>
      <c r="D2518">
        <v>355243</v>
      </c>
    </row>
    <row r="2519" spans="1:4" x14ac:dyDescent="0.35">
      <c r="A2519" s="1">
        <v>2003</v>
      </c>
      <c r="B2519" t="s">
        <v>188</v>
      </c>
      <c r="C2519" t="s">
        <v>189</v>
      </c>
      <c r="D2519">
        <v>217292</v>
      </c>
    </row>
    <row r="2520" spans="1:4" x14ac:dyDescent="0.35">
      <c r="A2520" s="1">
        <v>2003</v>
      </c>
      <c r="B2520" t="s">
        <v>208</v>
      </c>
      <c r="C2520" t="s">
        <v>209</v>
      </c>
      <c r="D2520">
        <v>946272</v>
      </c>
    </row>
    <row r="2521" spans="1:4" x14ac:dyDescent="0.35">
      <c r="A2521" s="1">
        <v>2003</v>
      </c>
      <c r="B2521" t="s">
        <v>210</v>
      </c>
      <c r="C2521" t="s">
        <v>211</v>
      </c>
      <c r="D2521">
        <v>518320</v>
      </c>
    </row>
    <row r="2522" spans="1:4" x14ac:dyDescent="0.35">
      <c r="A2522" s="1">
        <v>2003</v>
      </c>
      <c r="B2522" t="s">
        <v>198</v>
      </c>
      <c r="C2522" t="s">
        <v>199</v>
      </c>
      <c r="D2522">
        <v>570651</v>
      </c>
    </row>
    <row r="2523" spans="1:4" x14ac:dyDescent="0.35">
      <c r="A2523" s="1">
        <v>2003</v>
      </c>
      <c r="B2523" t="s">
        <v>160</v>
      </c>
      <c r="C2523" t="s">
        <v>161</v>
      </c>
      <c r="D2523">
        <v>409731</v>
      </c>
    </row>
    <row r="2524" spans="1:4" x14ac:dyDescent="0.35">
      <c r="A2524" s="1">
        <v>2003</v>
      </c>
      <c r="B2524" t="s">
        <v>162</v>
      </c>
      <c r="C2524" t="s">
        <v>163</v>
      </c>
      <c r="D2524">
        <v>360749</v>
      </c>
    </row>
    <row r="2525" spans="1:4" x14ac:dyDescent="0.35">
      <c r="A2525" s="1">
        <v>2003</v>
      </c>
      <c r="B2525" t="s">
        <v>102</v>
      </c>
      <c r="C2525" t="s">
        <v>103</v>
      </c>
      <c r="D2525">
        <v>380639</v>
      </c>
    </row>
    <row r="2526" spans="1:4" x14ac:dyDescent="0.35">
      <c r="A2526" s="1">
        <v>2003</v>
      </c>
      <c r="B2526" t="s">
        <v>44</v>
      </c>
      <c r="C2526" t="s">
        <v>45</v>
      </c>
      <c r="D2526">
        <v>337029</v>
      </c>
    </row>
    <row r="2527" spans="1:4" x14ac:dyDescent="0.35">
      <c r="A2527" s="1">
        <v>2003</v>
      </c>
      <c r="B2527" t="s">
        <v>46</v>
      </c>
      <c r="C2527" t="s">
        <v>221</v>
      </c>
      <c r="D2527">
        <v>139550</v>
      </c>
    </row>
    <row r="2528" spans="1:4" x14ac:dyDescent="0.35">
      <c r="A2528" s="1">
        <v>2003</v>
      </c>
      <c r="B2528" t="s">
        <v>120</v>
      </c>
      <c r="C2528" t="s">
        <v>121</v>
      </c>
      <c r="D2528">
        <v>1169540</v>
      </c>
    </row>
    <row r="2529" spans="1:4" x14ac:dyDescent="0.35">
      <c r="A2529" s="1">
        <v>2003</v>
      </c>
      <c r="B2529" t="s">
        <v>122</v>
      </c>
      <c r="C2529" t="s">
        <v>222</v>
      </c>
      <c r="D2529">
        <v>1488605</v>
      </c>
    </row>
    <row r="2530" spans="1:4" x14ac:dyDescent="0.35">
      <c r="A2530" s="1">
        <v>2003</v>
      </c>
      <c r="B2530" t="s">
        <v>124</v>
      </c>
      <c r="C2530" t="s">
        <v>125</v>
      </c>
      <c r="D2530">
        <v>1442929</v>
      </c>
    </row>
    <row r="2531" spans="1:4" x14ac:dyDescent="0.35">
      <c r="A2531" s="1">
        <v>2003</v>
      </c>
      <c r="B2531" t="s">
        <v>126</v>
      </c>
      <c r="C2531" t="s">
        <v>127</v>
      </c>
      <c r="D2531">
        <v>1266690</v>
      </c>
    </row>
    <row r="2532" spans="1:4" x14ac:dyDescent="0.35">
      <c r="A2532" s="1">
        <v>2003</v>
      </c>
      <c r="B2532" t="s">
        <v>128</v>
      </c>
      <c r="C2532" t="s">
        <v>129</v>
      </c>
      <c r="D2532">
        <v>1133014</v>
      </c>
    </row>
    <row r="2533" spans="1:4" x14ac:dyDescent="0.35">
      <c r="A2533" s="1">
        <v>2003</v>
      </c>
      <c r="B2533" t="s">
        <v>257</v>
      </c>
      <c r="D2533">
        <v>60101841</v>
      </c>
    </row>
    <row r="2534" spans="1:4" x14ac:dyDescent="0.35">
      <c r="A2534" s="1">
        <v>2003</v>
      </c>
      <c r="B2534">
        <v>971</v>
      </c>
      <c r="C2534" t="s">
        <v>73</v>
      </c>
      <c r="D2534">
        <v>394881</v>
      </c>
    </row>
    <row r="2535" spans="1:4" x14ac:dyDescent="0.35">
      <c r="A2535" s="1">
        <v>2003</v>
      </c>
      <c r="B2535">
        <v>972</v>
      </c>
      <c r="C2535" t="s">
        <v>75</v>
      </c>
      <c r="D2535">
        <v>391676</v>
      </c>
    </row>
    <row r="2536" spans="1:4" x14ac:dyDescent="0.35">
      <c r="A2536" s="1">
        <v>2003</v>
      </c>
      <c r="B2536">
        <v>973</v>
      </c>
      <c r="C2536" t="s">
        <v>77</v>
      </c>
      <c r="D2536">
        <v>184792</v>
      </c>
    </row>
    <row r="2537" spans="1:4" x14ac:dyDescent="0.35">
      <c r="A2537" s="1">
        <v>2003</v>
      </c>
      <c r="B2537">
        <v>974</v>
      </c>
      <c r="C2537" t="s">
        <v>79</v>
      </c>
      <c r="D2537">
        <v>750840</v>
      </c>
    </row>
    <row r="2538" spans="1:4" x14ac:dyDescent="0.35">
      <c r="A2538" s="1">
        <v>2003</v>
      </c>
      <c r="B2538" t="s">
        <v>226</v>
      </c>
      <c r="D2538">
        <v>1722189</v>
      </c>
    </row>
    <row r="2539" spans="1:4" x14ac:dyDescent="0.35">
      <c r="A2539" s="1">
        <v>2003</v>
      </c>
      <c r="B2539" t="s">
        <v>227</v>
      </c>
      <c r="D2539">
        <v>61824030</v>
      </c>
    </row>
    <row r="2540" spans="1:4" x14ac:dyDescent="0.35">
      <c r="A2540" s="1">
        <v>2003</v>
      </c>
    </row>
    <row r="2541" spans="1:4" x14ac:dyDescent="0.35">
      <c r="A2541" s="1">
        <v>2003</v>
      </c>
      <c r="B2541" t="s">
        <v>240</v>
      </c>
    </row>
    <row r="2542" spans="1:4" x14ac:dyDescent="0.35">
      <c r="A2542" s="1">
        <v>2002</v>
      </c>
      <c r="B2542" t="s">
        <v>251</v>
      </c>
    </row>
    <row r="2543" spans="1:4" x14ac:dyDescent="0.35">
      <c r="A2543" s="1">
        <v>2002</v>
      </c>
      <c r="B2543" t="s">
        <v>262</v>
      </c>
    </row>
    <row r="2544" spans="1:4" x14ac:dyDescent="0.35">
      <c r="A2544" s="1">
        <v>2002</v>
      </c>
    </row>
    <row r="2545" spans="1:4" x14ac:dyDescent="0.35">
      <c r="A2545" s="1">
        <v>2002</v>
      </c>
      <c r="B2545" t="s">
        <v>231</v>
      </c>
    </row>
    <row r="2546" spans="1:4" x14ac:dyDescent="0.35">
      <c r="A2546" s="1">
        <v>2002</v>
      </c>
      <c r="D2546" t="s">
        <v>232</v>
      </c>
    </row>
    <row r="2547" spans="1:4" x14ac:dyDescent="0.35">
      <c r="A2547" s="1">
        <v>2002</v>
      </c>
      <c r="B2547" t="s">
        <v>5</v>
      </c>
      <c r="C2547" t="s">
        <v>6</v>
      </c>
      <c r="D2547">
        <v>535616</v>
      </c>
    </row>
    <row r="2548" spans="1:4" x14ac:dyDescent="0.35">
      <c r="A2548" s="1">
        <v>2002</v>
      </c>
      <c r="B2548" t="s">
        <v>104</v>
      </c>
      <c r="C2548" t="s">
        <v>105</v>
      </c>
      <c r="D2548">
        <v>536784</v>
      </c>
    </row>
    <row r="2549" spans="1:4" x14ac:dyDescent="0.35">
      <c r="A2549" s="1">
        <v>2002</v>
      </c>
      <c r="B2549" t="s">
        <v>10</v>
      </c>
      <c r="C2549" t="s">
        <v>11</v>
      </c>
      <c r="D2549">
        <v>344355</v>
      </c>
    </row>
    <row r="2550" spans="1:4" x14ac:dyDescent="0.35">
      <c r="A2550" s="1">
        <v>2002</v>
      </c>
      <c r="B2550" t="s">
        <v>200</v>
      </c>
      <c r="C2550" t="s">
        <v>201</v>
      </c>
      <c r="D2550">
        <v>145750</v>
      </c>
    </row>
    <row r="2551" spans="1:4" x14ac:dyDescent="0.35">
      <c r="A2551" s="1">
        <v>2002</v>
      </c>
      <c r="B2551" t="s">
        <v>202</v>
      </c>
      <c r="C2551" t="s">
        <v>203</v>
      </c>
      <c r="D2551">
        <v>125287</v>
      </c>
    </row>
    <row r="2552" spans="1:4" x14ac:dyDescent="0.35">
      <c r="A2552" s="1">
        <v>2002</v>
      </c>
      <c r="B2552" t="s">
        <v>204</v>
      </c>
      <c r="C2552" t="s">
        <v>205</v>
      </c>
      <c r="D2552">
        <v>1035271</v>
      </c>
    </row>
    <row r="2553" spans="1:4" x14ac:dyDescent="0.35">
      <c r="A2553" s="1">
        <v>2002</v>
      </c>
      <c r="B2553" t="s">
        <v>12</v>
      </c>
      <c r="C2553" t="s">
        <v>13</v>
      </c>
      <c r="D2553">
        <v>293922</v>
      </c>
    </row>
    <row r="2554" spans="1:4" x14ac:dyDescent="0.35">
      <c r="A2554" s="1">
        <v>2002</v>
      </c>
      <c r="B2554" t="s">
        <v>84</v>
      </c>
      <c r="C2554" t="s">
        <v>85</v>
      </c>
      <c r="D2554">
        <v>288520</v>
      </c>
    </row>
    <row r="2555" spans="1:4" x14ac:dyDescent="0.35">
      <c r="A2555" s="1">
        <v>2002</v>
      </c>
      <c r="B2555" t="s">
        <v>164</v>
      </c>
      <c r="C2555" t="s">
        <v>165</v>
      </c>
      <c r="D2555">
        <v>140681</v>
      </c>
    </row>
    <row r="2556" spans="1:4" x14ac:dyDescent="0.35">
      <c r="A2556" s="1">
        <v>2002</v>
      </c>
      <c r="B2556" t="s">
        <v>86</v>
      </c>
      <c r="C2556" t="s">
        <v>87</v>
      </c>
      <c r="D2556">
        <v>295419</v>
      </c>
    </row>
    <row r="2557" spans="1:4" x14ac:dyDescent="0.35">
      <c r="A2557" s="1">
        <v>2002</v>
      </c>
      <c r="B2557" t="s">
        <v>166</v>
      </c>
      <c r="C2557" t="s">
        <v>167</v>
      </c>
      <c r="D2557">
        <v>321972</v>
      </c>
    </row>
    <row r="2558" spans="1:4" x14ac:dyDescent="0.35">
      <c r="A2558" s="1">
        <v>2002</v>
      </c>
      <c r="B2558" t="s">
        <v>168</v>
      </c>
      <c r="C2558" t="s">
        <v>169</v>
      </c>
      <c r="D2558">
        <v>267766</v>
      </c>
    </row>
    <row r="2559" spans="1:4" x14ac:dyDescent="0.35">
      <c r="A2559" s="1">
        <v>2002</v>
      </c>
      <c r="B2559" t="s">
        <v>206</v>
      </c>
      <c r="C2559" t="s">
        <v>207</v>
      </c>
      <c r="D2559">
        <v>1876310</v>
      </c>
    </row>
    <row r="2560" spans="1:4" x14ac:dyDescent="0.35">
      <c r="A2560" s="1">
        <v>2002</v>
      </c>
      <c r="B2560" t="s">
        <v>130</v>
      </c>
      <c r="C2560" t="s">
        <v>131</v>
      </c>
      <c r="D2560">
        <v>658189</v>
      </c>
    </row>
    <row r="2561" spans="1:4" x14ac:dyDescent="0.35">
      <c r="A2561" s="1">
        <v>2002</v>
      </c>
      <c r="B2561" t="s">
        <v>14</v>
      </c>
      <c r="C2561" t="s">
        <v>15</v>
      </c>
      <c r="D2561">
        <v>150181</v>
      </c>
    </row>
    <row r="2562" spans="1:4" x14ac:dyDescent="0.35">
      <c r="A2562" s="1">
        <v>2002</v>
      </c>
      <c r="B2562" t="s">
        <v>140</v>
      </c>
      <c r="C2562" t="s">
        <v>141</v>
      </c>
      <c r="D2562">
        <v>343012</v>
      </c>
    </row>
    <row r="2563" spans="1:4" x14ac:dyDescent="0.35">
      <c r="A2563" s="1">
        <v>2002</v>
      </c>
      <c r="B2563" t="s">
        <v>142</v>
      </c>
      <c r="C2563" t="s">
        <v>143</v>
      </c>
      <c r="D2563">
        <v>573817</v>
      </c>
    </row>
    <row r="2564" spans="1:4" x14ac:dyDescent="0.35">
      <c r="A2564" s="1">
        <v>2002</v>
      </c>
      <c r="B2564" t="s">
        <v>56</v>
      </c>
      <c r="C2564" t="s">
        <v>57</v>
      </c>
      <c r="D2564">
        <v>314887</v>
      </c>
    </row>
    <row r="2565" spans="1:4" x14ac:dyDescent="0.35">
      <c r="A2565" s="1">
        <v>2002</v>
      </c>
      <c r="B2565" t="s">
        <v>144</v>
      </c>
      <c r="C2565" t="s">
        <v>145</v>
      </c>
      <c r="D2565">
        <v>235775</v>
      </c>
    </row>
    <row r="2566" spans="1:4" x14ac:dyDescent="0.35">
      <c r="A2566" s="1">
        <v>2002</v>
      </c>
      <c r="B2566" t="s">
        <v>68</v>
      </c>
      <c r="C2566" t="s">
        <v>69</v>
      </c>
      <c r="D2566">
        <v>125662</v>
      </c>
    </row>
    <row r="2567" spans="1:4" x14ac:dyDescent="0.35">
      <c r="A2567" s="1">
        <v>2002</v>
      </c>
      <c r="B2567" t="s">
        <v>70</v>
      </c>
      <c r="C2567" t="s">
        <v>71</v>
      </c>
      <c r="D2567">
        <v>148431</v>
      </c>
    </row>
    <row r="2568" spans="1:4" x14ac:dyDescent="0.35">
      <c r="A2568" s="1">
        <v>2002</v>
      </c>
      <c r="B2568" t="s">
        <v>32</v>
      </c>
      <c r="C2568" t="s">
        <v>219</v>
      </c>
      <c r="D2568">
        <v>511197</v>
      </c>
    </row>
    <row r="2569" spans="1:4" x14ac:dyDescent="0.35">
      <c r="A2569" s="1">
        <v>2002</v>
      </c>
      <c r="B2569" t="s">
        <v>48</v>
      </c>
      <c r="C2569" t="s">
        <v>220</v>
      </c>
      <c r="D2569">
        <v>553556</v>
      </c>
    </row>
    <row r="2570" spans="1:4" x14ac:dyDescent="0.35">
      <c r="A2570" s="1">
        <v>2002</v>
      </c>
      <c r="B2570" t="s">
        <v>146</v>
      </c>
      <c r="C2570" t="s">
        <v>147</v>
      </c>
      <c r="D2570">
        <v>123953</v>
      </c>
    </row>
    <row r="2571" spans="1:4" x14ac:dyDescent="0.35">
      <c r="A2571" s="1">
        <v>2002</v>
      </c>
      <c r="B2571" t="s">
        <v>148</v>
      </c>
      <c r="C2571" t="s">
        <v>149</v>
      </c>
      <c r="D2571">
        <v>394747</v>
      </c>
    </row>
    <row r="2572" spans="1:4" x14ac:dyDescent="0.35">
      <c r="A2572" s="1">
        <v>2002</v>
      </c>
      <c r="B2572" t="s">
        <v>34</v>
      </c>
      <c r="C2572" t="s">
        <v>35</v>
      </c>
      <c r="D2572">
        <v>506241</v>
      </c>
    </row>
    <row r="2573" spans="1:4" x14ac:dyDescent="0.35">
      <c r="A2573" s="1">
        <v>2002</v>
      </c>
      <c r="B2573" t="s">
        <v>16</v>
      </c>
      <c r="C2573" t="s">
        <v>17</v>
      </c>
      <c r="D2573">
        <v>450214</v>
      </c>
    </row>
    <row r="2574" spans="1:4" x14ac:dyDescent="0.35">
      <c r="A2574" s="1">
        <v>2002</v>
      </c>
      <c r="B2574" t="s">
        <v>132</v>
      </c>
      <c r="C2574" t="s">
        <v>133</v>
      </c>
      <c r="D2574">
        <v>552211</v>
      </c>
    </row>
    <row r="2575" spans="1:4" x14ac:dyDescent="0.35">
      <c r="A2575" s="1">
        <v>2002</v>
      </c>
      <c r="B2575" t="s">
        <v>58</v>
      </c>
      <c r="C2575" t="s">
        <v>59</v>
      </c>
      <c r="D2575">
        <v>413125</v>
      </c>
    </row>
    <row r="2576" spans="1:4" x14ac:dyDescent="0.35">
      <c r="A2576" s="1">
        <v>2002</v>
      </c>
      <c r="B2576" t="s">
        <v>50</v>
      </c>
      <c r="C2576" t="s">
        <v>51</v>
      </c>
      <c r="D2576">
        <v>865006</v>
      </c>
    </row>
    <row r="2577" spans="1:4" x14ac:dyDescent="0.35">
      <c r="A2577" s="1">
        <v>2002</v>
      </c>
      <c r="B2577" t="s">
        <v>170</v>
      </c>
      <c r="C2577" t="s">
        <v>171</v>
      </c>
      <c r="D2577">
        <v>646976</v>
      </c>
    </row>
    <row r="2578" spans="1:4" x14ac:dyDescent="0.35">
      <c r="A2578" s="1">
        <v>2002</v>
      </c>
      <c r="B2578" t="s">
        <v>172</v>
      </c>
      <c r="C2578" t="s">
        <v>173</v>
      </c>
      <c r="D2578">
        <v>1102414</v>
      </c>
    </row>
    <row r="2579" spans="1:4" x14ac:dyDescent="0.35">
      <c r="A2579" s="1">
        <v>2002</v>
      </c>
      <c r="B2579" t="s">
        <v>174</v>
      </c>
      <c r="C2579" t="s">
        <v>175</v>
      </c>
      <c r="D2579">
        <v>176049</v>
      </c>
    </row>
    <row r="2580" spans="1:4" x14ac:dyDescent="0.35">
      <c r="A2580" s="1">
        <v>2002</v>
      </c>
      <c r="B2580" t="s">
        <v>150</v>
      </c>
      <c r="C2580" t="s">
        <v>151</v>
      </c>
      <c r="D2580">
        <v>1330095</v>
      </c>
    </row>
    <row r="2581" spans="1:4" x14ac:dyDescent="0.35">
      <c r="A2581" s="1">
        <v>2002</v>
      </c>
      <c r="B2581" t="s">
        <v>176</v>
      </c>
      <c r="C2581" t="s">
        <v>177</v>
      </c>
      <c r="D2581">
        <v>936987</v>
      </c>
    </row>
    <row r="2582" spans="1:4" x14ac:dyDescent="0.35">
      <c r="A2582" s="1">
        <v>2002</v>
      </c>
      <c r="B2582" t="s">
        <v>52</v>
      </c>
      <c r="C2582" t="s">
        <v>53</v>
      </c>
      <c r="D2582">
        <v>898909</v>
      </c>
    </row>
    <row r="2583" spans="1:4" x14ac:dyDescent="0.35">
      <c r="A2583" s="1">
        <v>2002</v>
      </c>
      <c r="B2583" t="s">
        <v>60</v>
      </c>
      <c r="C2583" t="s">
        <v>61</v>
      </c>
      <c r="D2583">
        <v>231866</v>
      </c>
    </row>
    <row r="2584" spans="1:4" x14ac:dyDescent="0.35">
      <c r="A2584" s="1">
        <v>2002</v>
      </c>
      <c r="B2584" t="s">
        <v>62</v>
      </c>
      <c r="C2584" t="s">
        <v>63</v>
      </c>
      <c r="D2584">
        <v>564886</v>
      </c>
    </row>
    <row r="2585" spans="1:4" x14ac:dyDescent="0.35">
      <c r="A2585" s="1">
        <v>2002</v>
      </c>
      <c r="B2585" t="s">
        <v>18</v>
      </c>
      <c r="C2585" t="s">
        <v>19</v>
      </c>
      <c r="D2585">
        <v>1124185</v>
      </c>
    </row>
    <row r="2586" spans="1:4" x14ac:dyDescent="0.35">
      <c r="A2586" s="1">
        <v>2002</v>
      </c>
      <c r="B2586" t="s">
        <v>36</v>
      </c>
      <c r="C2586" t="s">
        <v>37</v>
      </c>
      <c r="D2586">
        <v>253875</v>
      </c>
    </row>
    <row r="2587" spans="1:4" x14ac:dyDescent="0.35">
      <c r="A2587" s="1">
        <v>2002</v>
      </c>
      <c r="B2587" t="s">
        <v>152</v>
      </c>
      <c r="C2587" t="s">
        <v>153</v>
      </c>
      <c r="D2587">
        <v>341456</v>
      </c>
    </row>
    <row r="2588" spans="1:4" x14ac:dyDescent="0.35">
      <c r="A2588" s="1">
        <v>2002</v>
      </c>
      <c r="B2588" t="s">
        <v>64</v>
      </c>
      <c r="C2588" t="s">
        <v>65</v>
      </c>
      <c r="D2588">
        <v>319144</v>
      </c>
    </row>
    <row r="2589" spans="1:4" x14ac:dyDescent="0.35">
      <c r="A2589" s="1">
        <v>2002</v>
      </c>
      <c r="B2589" t="s">
        <v>20</v>
      </c>
      <c r="C2589" t="s">
        <v>21</v>
      </c>
      <c r="D2589">
        <v>734267</v>
      </c>
    </row>
    <row r="2590" spans="1:4" x14ac:dyDescent="0.35">
      <c r="A2590" s="1">
        <v>2002</v>
      </c>
      <c r="B2590" t="s">
        <v>22</v>
      </c>
      <c r="C2590" t="s">
        <v>23</v>
      </c>
      <c r="D2590">
        <v>213246</v>
      </c>
    </row>
    <row r="2591" spans="1:4" x14ac:dyDescent="0.35">
      <c r="A2591" s="1">
        <v>2002</v>
      </c>
      <c r="B2591" t="s">
        <v>190</v>
      </c>
      <c r="C2591" t="s">
        <v>191</v>
      </c>
      <c r="D2591">
        <v>1174492</v>
      </c>
    </row>
    <row r="2592" spans="1:4" x14ac:dyDescent="0.35">
      <c r="A2592" s="1">
        <v>2002</v>
      </c>
      <c r="B2592" t="s">
        <v>66</v>
      </c>
      <c r="C2592" t="s">
        <v>67</v>
      </c>
      <c r="D2592">
        <v>629070</v>
      </c>
    </row>
    <row r="2593" spans="1:4" x14ac:dyDescent="0.35">
      <c r="A2593" s="1">
        <v>2002</v>
      </c>
      <c r="B2593" t="s">
        <v>178</v>
      </c>
      <c r="C2593" t="s">
        <v>179</v>
      </c>
      <c r="D2593">
        <v>164076</v>
      </c>
    </row>
    <row r="2594" spans="1:4" x14ac:dyDescent="0.35">
      <c r="A2594" s="1">
        <v>2002</v>
      </c>
      <c r="B2594" t="s">
        <v>154</v>
      </c>
      <c r="C2594" t="s">
        <v>155</v>
      </c>
      <c r="D2594">
        <v>311984</v>
      </c>
    </row>
    <row r="2595" spans="1:4" x14ac:dyDescent="0.35">
      <c r="A2595" s="1">
        <v>2002</v>
      </c>
      <c r="B2595" t="s">
        <v>180</v>
      </c>
      <c r="C2595" t="s">
        <v>181</v>
      </c>
      <c r="D2595">
        <v>74857</v>
      </c>
    </row>
    <row r="2596" spans="1:4" x14ac:dyDescent="0.35">
      <c r="A2596" s="1">
        <v>2002</v>
      </c>
      <c r="B2596" t="s">
        <v>192</v>
      </c>
      <c r="C2596" t="s">
        <v>193</v>
      </c>
      <c r="D2596">
        <v>747089</v>
      </c>
    </row>
    <row r="2597" spans="1:4" x14ac:dyDescent="0.35">
      <c r="A2597" s="1">
        <v>2002</v>
      </c>
      <c r="B2597" t="s">
        <v>134</v>
      </c>
      <c r="C2597" t="s">
        <v>135</v>
      </c>
      <c r="D2597">
        <v>486544</v>
      </c>
    </row>
    <row r="2598" spans="1:4" x14ac:dyDescent="0.35">
      <c r="A2598" s="1">
        <v>2002</v>
      </c>
      <c r="B2598" t="s">
        <v>88</v>
      </c>
      <c r="C2598" t="s">
        <v>89</v>
      </c>
      <c r="D2598">
        <v>565782</v>
      </c>
    </row>
    <row r="2599" spans="1:4" x14ac:dyDescent="0.35">
      <c r="A2599" s="1">
        <v>2002</v>
      </c>
      <c r="B2599" t="s">
        <v>90</v>
      </c>
      <c r="C2599" t="s">
        <v>91</v>
      </c>
      <c r="D2599">
        <v>191914</v>
      </c>
    </row>
    <row r="2600" spans="1:4" x14ac:dyDescent="0.35">
      <c r="A2600" s="1">
        <v>2002</v>
      </c>
      <c r="B2600" t="s">
        <v>194</v>
      </c>
      <c r="C2600" t="s">
        <v>195</v>
      </c>
      <c r="D2600">
        <v>291126</v>
      </c>
    </row>
    <row r="2601" spans="1:4" x14ac:dyDescent="0.35">
      <c r="A2601" s="1">
        <v>2002</v>
      </c>
      <c r="B2601" t="s">
        <v>92</v>
      </c>
      <c r="C2601" t="s">
        <v>93</v>
      </c>
      <c r="D2601">
        <v>719199</v>
      </c>
    </row>
    <row r="2602" spans="1:4" x14ac:dyDescent="0.35">
      <c r="A2602" s="1">
        <v>2002</v>
      </c>
      <c r="B2602" t="s">
        <v>94</v>
      </c>
      <c r="C2602" t="s">
        <v>95</v>
      </c>
      <c r="D2602">
        <v>193312</v>
      </c>
    </row>
    <row r="2603" spans="1:4" x14ac:dyDescent="0.35">
      <c r="A2603" s="1">
        <v>2002</v>
      </c>
      <c r="B2603" t="s">
        <v>54</v>
      </c>
      <c r="C2603" t="s">
        <v>55</v>
      </c>
      <c r="D2603">
        <v>664294</v>
      </c>
    </row>
    <row r="2604" spans="1:4" x14ac:dyDescent="0.35">
      <c r="A2604" s="1">
        <v>2002</v>
      </c>
      <c r="B2604" t="s">
        <v>96</v>
      </c>
      <c r="C2604" t="s">
        <v>97</v>
      </c>
      <c r="D2604">
        <v>1029636</v>
      </c>
    </row>
    <row r="2605" spans="1:4" x14ac:dyDescent="0.35">
      <c r="A2605" s="1">
        <v>2002</v>
      </c>
      <c r="B2605" t="s">
        <v>38</v>
      </c>
      <c r="C2605" t="s">
        <v>39</v>
      </c>
      <c r="D2605">
        <v>224139</v>
      </c>
    </row>
    <row r="2606" spans="1:4" x14ac:dyDescent="0.35">
      <c r="A2606" s="1">
        <v>2002</v>
      </c>
      <c r="B2606" t="s">
        <v>106</v>
      </c>
      <c r="C2606" t="s">
        <v>107</v>
      </c>
      <c r="D2606">
        <v>2558213</v>
      </c>
    </row>
    <row r="2607" spans="1:4" x14ac:dyDescent="0.35">
      <c r="A2607" s="1">
        <v>2002</v>
      </c>
      <c r="B2607" t="s">
        <v>108</v>
      </c>
      <c r="C2607" t="s">
        <v>109</v>
      </c>
      <c r="D2607">
        <v>777612</v>
      </c>
    </row>
    <row r="2608" spans="1:4" x14ac:dyDescent="0.35">
      <c r="A2608" s="1">
        <v>2002</v>
      </c>
      <c r="B2608" t="s">
        <v>136</v>
      </c>
      <c r="C2608" t="s">
        <v>137</v>
      </c>
      <c r="D2608">
        <v>293068</v>
      </c>
    </row>
    <row r="2609" spans="1:4" x14ac:dyDescent="0.35">
      <c r="A2609" s="1">
        <v>2002</v>
      </c>
      <c r="B2609" t="s">
        <v>110</v>
      </c>
      <c r="C2609" t="s">
        <v>111</v>
      </c>
      <c r="D2609">
        <v>1447364</v>
      </c>
    </row>
    <row r="2610" spans="1:4" x14ac:dyDescent="0.35">
      <c r="A2610" s="1">
        <v>2002</v>
      </c>
      <c r="B2610" t="s">
        <v>24</v>
      </c>
      <c r="C2610" t="s">
        <v>25</v>
      </c>
      <c r="D2610">
        <v>612018</v>
      </c>
    </row>
    <row r="2611" spans="1:4" x14ac:dyDescent="0.35">
      <c r="A2611" s="1">
        <v>2002</v>
      </c>
      <c r="B2611" t="s">
        <v>156</v>
      </c>
      <c r="C2611" t="s">
        <v>157</v>
      </c>
      <c r="D2611">
        <v>614850</v>
      </c>
    </row>
    <row r="2612" spans="1:4" x14ac:dyDescent="0.35">
      <c r="A2612" s="1">
        <v>2002</v>
      </c>
      <c r="B2612" t="s">
        <v>182</v>
      </c>
      <c r="C2612" t="s">
        <v>183</v>
      </c>
      <c r="D2612">
        <v>224657</v>
      </c>
    </row>
    <row r="2613" spans="1:4" x14ac:dyDescent="0.35">
      <c r="A2613" s="1">
        <v>2002</v>
      </c>
      <c r="B2613" t="s">
        <v>184</v>
      </c>
      <c r="C2613" t="s">
        <v>185</v>
      </c>
      <c r="D2613">
        <v>407931</v>
      </c>
    </row>
    <row r="2614" spans="1:4" x14ac:dyDescent="0.35">
      <c r="A2614" s="1">
        <v>2002</v>
      </c>
      <c r="B2614" t="s">
        <v>98</v>
      </c>
      <c r="C2614" t="s">
        <v>99</v>
      </c>
      <c r="D2614">
        <v>1048305</v>
      </c>
    </row>
    <row r="2615" spans="1:4" x14ac:dyDescent="0.35">
      <c r="A2615" s="1">
        <v>2002</v>
      </c>
      <c r="B2615" t="s">
        <v>100</v>
      </c>
      <c r="C2615" t="s">
        <v>101</v>
      </c>
      <c r="D2615">
        <v>719749</v>
      </c>
    </row>
    <row r="2616" spans="1:4" x14ac:dyDescent="0.35">
      <c r="A2616" s="1">
        <v>2002</v>
      </c>
      <c r="B2616" t="s">
        <v>26</v>
      </c>
      <c r="C2616" t="s">
        <v>27</v>
      </c>
      <c r="D2616">
        <v>1615116</v>
      </c>
    </row>
    <row r="2617" spans="1:4" x14ac:dyDescent="0.35">
      <c r="A2617" s="1">
        <v>2002</v>
      </c>
      <c r="B2617" t="s">
        <v>40</v>
      </c>
      <c r="C2617" t="s">
        <v>41</v>
      </c>
      <c r="D2617">
        <v>232305</v>
      </c>
    </row>
    <row r="2618" spans="1:4" x14ac:dyDescent="0.35">
      <c r="A2618" s="1">
        <v>2002</v>
      </c>
      <c r="B2618" t="s">
        <v>42</v>
      </c>
      <c r="C2618" t="s">
        <v>43</v>
      </c>
      <c r="D2618">
        <v>547138</v>
      </c>
    </row>
    <row r="2619" spans="1:4" x14ac:dyDescent="0.35">
      <c r="A2619" s="1">
        <v>2002</v>
      </c>
      <c r="B2619" t="s">
        <v>196</v>
      </c>
      <c r="C2619" t="s">
        <v>197</v>
      </c>
      <c r="D2619">
        <v>539720</v>
      </c>
    </row>
    <row r="2620" spans="1:4" x14ac:dyDescent="0.35">
      <c r="A2620" s="1">
        <v>2002</v>
      </c>
      <c r="B2620" t="s">
        <v>28</v>
      </c>
      <c r="C2620" t="s">
        <v>29</v>
      </c>
      <c r="D2620">
        <v>385099</v>
      </c>
    </row>
    <row r="2621" spans="1:4" x14ac:dyDescent="0.35">
      <c r="A2621" s="1">
        <v>2002</v>
      </c>
      <c r="B2621" t="s">
        <v>30</v>
      </c>
      <c r="C2621" t="s">
        <v>31</v>
      </c>
      <c r="D2621">
        <v>657725</v>
      </c>
    </row>
    <row r="2622" spans="1:4" x14ac:dyDescent="0.35">
      <c r="A2622" s="1">
        <v>2002</v>
      </c>
      <c r="B2622" t="s">
        <v>114</v>
      </c>
      <c r="C2622" t="s">
        <v>115</v>
      </c>
      <c r="D2622">
        <v>2145472</v>
      </c>
    </row>
    <row r="2623" spans="1:4" x14ac:dyDescent="0.35">
      <c r="A2623" s="1">
        <v>2002</v>
      </c>
      <c r="B2623" t="s">
        <v>138</v>
      </c>
      <c r="C2623" t="s">
        <v>139</v>
      </c>
      <c r="D2623">
        <v>1241888</v>
      </c>
    </row>
    <row r="2624" spans="1:4" x14ac:dyDescent="0.35">
      <c r="A2624" s="1">
        <v>2002</v>
      </c>
      <c r="B2624" t="s">
        <v>116</v>
      </c>
      <c r="C2624" t="s">
        <v>117</v>
      </c>
      <c r="D2624">
        <v>1225780</v>
      </c>
    </row>
    <row r="2625" spans="1:4" x14ac:dyDescent="0.35">
      <c r="A2625" s="1">
        <v>2002</v>
      </c>
      <c r="B2625" t="s">
        <v>118</v>
      </c>
      <c r="C2625" t="s">
        <v>119</v>
      </c>
      <c r="D2625">
        <v>1371107</v>
      </c>
    </row>
    <row r="2626" spans="1:4" x14ac:dyDescent="0.35">
      <c r="A2626" s="1">
        <v>2002</v>
      </c>
      <c r="B2626" t="s">
        <v>158</v>
      </c>
      <c r="C2626" t="s">
        <v>159</v>
      </c>
      <c r="D2626">
        <v>350799</v>
      </c>
    </row>
    <row r="2627" spans="1:4" x14ac:dyDescent="0.35">
      <c r="A2627" s="1">
        <v>2002</v>
      </c>
      <c r="B2627" t="s">
        <v>112</v>
      </c>
      <c r="C2627" t="s">
        <v>113</v>
      </c>
      <c r="D2627">
        <v>559920</v>
      </c>
    </row>
    <row r="2628" spans="1:4" x14ac:dyDescent="0.35">
      <c r="A2628" s="1">
        <v>2002</v>
      </c>
      <c r="B2628" t="s">
        <v>186</v>
      </c>
      <c r="C2628" t="s">
        <v>187</v>
      </c>
      <c r="D2628">
        <v>352122</v>
      </c>
    </row>
    <row r="2629" spans="1:4" x14ac:dyDescent="0.35">
      <c r="A2629" s="1">
        <v>2002</v>
      </c>
      <c r="B2629" t="s">
        <v>188</v>
      </c>
      <c r="C2629" t="s">
        <v>189</v>
      </c>
      <c r="D2629">
        <v>214215</v>
      </c>
    </row>
    <row r="2630" spans="1:4" x14ac:dyDescent="0.35">
      <c r="A2630" s="1">
        <v>2002</v>
      </c>
      <c r="B2630" t="s">
        <v>208</v>
      </c>
      <c r="C2630" t="s">
        <v>209</v>
      </c>
      <c r="D2630">
        <v>933602</v>
      </c>
    </row>
    <row r="2631" spans="1:4" x14ac:dyDescent="0.35">
      <c r="A2631" s="1">
        <v>2002</v>
      </c>
      <c r="B2631" t="s">
        <v>210</v>
      </c>
      <c r="C2631" t="s">
        <v>211</v>
      </c>
      <c r="D2631">
        <v>513276</v>
      </c>
    </row>
    <row r="2632" spans="1:4" x14ac:dyDescent="0.35">
      <c r="A2632" s="1">
        <v>2002</v>
      </c>
      <c r="B2632" t="s">
        <v>198</v>
      </c>
      <c r="C2632" t="s">
        <v>199</v>
      </c>
      <c r="D2632">
        <v>562222</v>
      </c>
    </row>
    <row r="2633" spans="1:4" x14ac:dyDescent="0.35">
      <c r="A2633" s="1">
        <v>2002</v>
      </c>
      <c r="B2633" t="s">
        <v>160</v>
      </c>
      <c r="C2633" t="s">
        <v>161</v>
      </c>
      <c r="D2633">
        <v>406832</v>
      </c>
    </row>
    <row r="2634" spans="1:4" x14ac:dyDescent="0.35">
      <c r="A2634" s="1">
        <v>2002</v>
      </c>
      <c r="B2634" t="s">
        <v>162</v>
      </c>
      <c r="C2634" t="s">
        <v>163</v>
      </c>
      <c r="D2634">
        <v>358988</v>
      </c>
    </row>
    <row r="2635" spans="1:4" x14ac:dyDescent="0.35">
      <c r="A2635" s="1">
        <v>2002</v>
      </c>
      <c r="B2635" t="s">
        <v>102</v>
      </c>
      <c r="C2635" t="s">
        <v>103</v>
      </c>
      <c r="D2635">
        <v>380879</v>
      </c>
    </row>
    <row r="2636" spans="1:4" x14ac:dyDescent="0.35">
      <c r="A2636" s="1">
        <v>2002</v>
      </c>
      <c r="B2636" t="s">
        <v>44</v>
      </c>
      <c r="C2636" t="s">
        <v>45</v>
      </c>
      <c r="D2636">
        <v>335963</v>
      </c>
    </row>
    <row r="2637" spans="1:4" x14ac:dyDescent="0.35">
      <c r="A2637" s="1">
        <v>2002</v>
      </c>
      <c r="B2637" t="s">
        <v>46</v>
      </c>
      <c r="C2637" t="s">
        <v>221</v>
      </c>
      <c r="D2637">
        <v>139034</v>
      </c>
    </row>
    <row r="2638" spans="1:4" x14ac:dyDescent="0.35">
      <c r="A2638" s="1">
        <v>2002</v>
      </c>
      <c r="B2638" t="s">
        <v>120</v>
      </c>
      <c r="C2638" t="s">
        <v>121</v>
      </c>
      <c r="D2638">
        <v>1160665</v>
      </c>
    </row>
    <row r="2639" spans="1:4" x14ac:dyDescent="0.35">
      <c r="A2639" s="1">
        <v>2002</v>
      </c>
      <c r="B2639" t="s">
        <v>122</v>
      </c>
      <c r="C2639" t="s">
        <v>222</v>
      </c>
      <c r="D2639">
        <v>1473080</v>
      </c>
    </row>
    <row r="2640" spans="1:4" x14ac:dyDescent="0.35">
      <c r="A2640" s="1">
        <v>2002</v>
      </c>
      <c r="B2640" t="s">
        <v>124</v>
      </c>
      <c r="C2640" t="s">
        <v>125</v>
      </c>
      <c r="D2640">
        <v>1427204</v>
      </c>
    </row>
    <row r="2641" spans="1:4" x14ac:dyDescent="0.35">
      <c r="A2641" s="1">
        <v>2002</v>
      </c>
      <c r="B2641" t="s">
        <v>126</v>
      </c>
      <c r="C2641" t="s">
        <v>127</v>
      </c>
      <c r="D2641">
        <v>1256515</v>
      </c>
    </row>
    <row r="2642" spans="1:4" x14ac:dyDescent="0.35">
      <c r="A2642" s="1">
        <v>2002</v>
      </c>
      <c r="B2642" t="s">
        <v>128</v>
      </c>
      <c r="C2642" t="s">
        <v>129</v>
      </c>
      <c r="D2642">
        <v>1125740</v>
      </c>
    </row>
    <row r="2643" spans="1:4" x14ac:dyDescent="0.35">
      <c r="A2643" s="1">
        <v>2002</v>
      </c>
      <c r="B2643" t="s">
        <v>257</v>
      </c>
      <c r="D2643">
        <v>59685899</v>
      </c>
    </row>
    <row r="2644" spans="1:4" x14ac:dyDescent="0.35">
      <c r="A2644" s="1">
        <v>2002</v>
      </c>
      <c r="B2644">
        <v>971</v>
      </c>
      <c r="C2644" t="s">
        <v>73</v>
      </c>
      <c r="D2644">
        <v>393024</v>
      </c>
    </row>
    <row r="2645" spans="1:4" x14ac:dyDescent="0.35">
      <c r="A2645" s="1">
        <v>2002</v>
      </c>
      <c r="B2645">
        <v>972</v>
      </c>
      <c r="C2645" t="s">
        <v>75</v>
      </c>
      <c r="D2645">
        <v>389302</v>
      </c>
    </row>
    <row r="2646" spans="1:4" x14ac:dyDescent="0.35">
      <c r="A2646" s="1">
        <v>2002</v>
      </c>
      <c r="B2646">
        <v>973</v>
      </c>
      <c r="C2646" t="s">
        <v>77</v>
      </c>
      <c r="D2646">
        <v>176638</v>
      </c>
    </row>
    <row r="2647" spans="1:4" x14ac:dyDescent="0.35">
      <c r="A2647" s="1">
        <v>2002</v>
      </c>
      <c r="B2647">
        <v>974</v>
      </c>
      <c r="C2647" t="s">
        <v>79</v>
      </c>
      <c r="D2647">
        <v>740207</v>
      </c>
    </row>
    <row r="2648" spans="1:4" x14ac:dyDescent="0.35">
      <c r="A2648" s="1">
        <v>2002</v>
      </c>
      <c r="B2648" t="s">
        <v>226</v>
      </c>
      <c r="D2648">
        <v>1699171</v>
      </c>
    </row>
    <row r="2649" spans="1:4" x14ac:dyDescent="0.35">
      <c r="A2649" s="1">
        <v>2002</v>
      </c>
      <c r="B2649" t="s">
        <v>227</v>
      </c>
      <c r="D2649">
        <v>61385070</v>
      </c>
    </row>
    <row r="2650" spans="1:4" x14ac:dyDescent="0.35">
      <c r="A2650" s="1">
        <v>2002</v>
      </c>
    </row>
    <row r="2651" spans="1:4" x14ac:dyDescent="0.35">
      <c r="A2651" s="1">
        <v>2002</v>
      </c>
      <c r="B2651" t="s">
        <v>240</v>
      </c>
    </row>
    <row r="2652" spans="1:4" x14ac:dyDescent="0.35">
      <c r="A2652" s="1">
        <v>2001</v>
      </c>
      <c r="B2652" t="s">
        <v>251</v>
      </c>
    </row>
    <row r="2653" spans="1:4" x14ac:dyDescent="0.35">
      <c r="A2653" s="1">
        <v>2001</v>
      </c>
      <c r="B2653" t="s">
        <v>263</v>
      </c>
    </row>
    <row r="2654" spans="1:4" x14ac:dyDescent="0.35">
      <c r="A2654" s="1">
        <v>2001</v>
      </c>
    </row>
    <row r="2655" spans="1:4" x14ac:dyDescent="0.35">
      <c r="A2655" s="1">
        <v>2001</v>
      </c>
      <c r="B2655" t="s">
        <v>231</v>
      </c>
    </row>
    <row r="2656" spans="1:4" x14ac:dyDescent="0.35">
      <c r="A2656" s="1">
        <v>2001</v>
      </c>
      <c r="D2656" t="s">
        <v>232</v>
      </c>
    </row>
    <row r="2657" spans="1:4" x14ac:dyDescent="0.35">
      <c r="A2657" s="1">
        <v>2001</v>
      </c>
      <c r="B2657" t="s">
        <v>5</v>
      </c>
      <c r="C2657" t="s">
        <v>6</v>
      </c>
      <c r="D2657">
        <v>528195</v>
      </c>
    </row>
    <row r="2658" spans="1:4" x14ac:dyDescent="0.35">
      <c r="A2658" s="1">
        <v>2001</v>
      </c>
      <c r="B2658" t="s">
        <v>104</v>
      </c>
      <c r="C2658" t="s">
        <v>105</v>
      </c>
      <c r="D2658">
        <v>536626</v>
      </c>
    </row>
    <row r="2659" spans="1:4" x14ac:dyDescent="0.35">
      <c r="A2659" s="1">
        <v>2001</v>
      </c>
      <c r="B2659" t="s">
        <v>10</v>
      </c>
      <c r="C2659" t="s">
        <v>11</v>
      </c>
      <c r="D2659">
        <v>344551</v>
      </c>
    </row>
    <row r="2660" spans="1:4" x14ac:dyDescent="0.35">
      <c r="A2660" s="1">
        <v>2001</v>
      </c>
      <c r="B2660" t="s">
        <v>200</v>
      </c>
      <c r="C2660" t="s">
        <v>201</v>
      </c>
      <c r="D2660">
        <v>143574</v>
      </c>
    </row>
    <row r="2661" spans="1:4" x14ac:dyDescent="0.35">
      <c r="A2661" s="1">
        <v>2001</v>
      </c>
      <c r="B2661" t="s">
        <v>202</v>
      </c>
      <c r="C2661" t="s">
        <v>203</v>
      </c>
      <c r="D2661">
        <v>123873</v>
      </c>
    </row>
    <row r="2662" spans="1:4" x14ac:dyDescent="0.35">
      <c r="A2662" s="1">
        <v>2001</v>
      </c>
      <c r="B2662" t="s">
        <v>204</v>
      </c>
      <c r="C2662" t="s">
        <v>205</v>
      </c>
      <c r="D2662">
        <v>1026455</v>
      </c>
    </row>
    <row r="2663" spans="1:4" x14ac:dyDescent="0.35">
      <c r="A2663" s="1">
        <v>2001</v>
      </c>
      <c r="B2663" t="s">
        <v>12</v>
      </c>
      <c r="C2663" t="s">
        <v>13</v>
      </c>
      <c r="D2663">
        <v>291079</v>
      </c>
    </row>
    <row r="2664" spans="1:4" x14ac:dyDescent="0.35">
      <c r="A2664" s="1">
        <v>2001</v>
      </c>
      <c r="B2664" t="s">
        <v>84</v>
      </c>
      <c r="C2664" t="s">
        <v>85</v>
      </c>
      <c r="D2664">
        <v>289041</v>
      </c>
    </row>
    <row r="2665" spans="1:4" x14ac:dyDescent="0.35">
      <c r="A2665" s="1">
        <v>2001</v>
      </c>
      <c r="B2665" t="s">
        <v>164</v>
      </c>
      <c r="C2665" t="s">
        <v>165</v>
      </c>
      <c r="D2665">
        <v>139388</v>
      </c>
    </row>
    <row r="2666" spans="1:4" x14ac:dyDescent="0.35">
      <c r="A2666" s="1">
        <v>2001</v>
      </c>
      <c r="B2666" t="s">
        <v>86</v>
      </c>
      <c r="C2666" t="s">
        <v>87</v>
      </c>
      <c r="D2666">
        <v>294310</v>
      </c>
    </row>
    <row r="2667" spans="1:4" x14ac:dyDescent="0.35">
      <c r="A2667" s="1">
        <v>2001</v>
      </c>
      <c r="B2667" t="s">
        <v>166</v>
      </c>
      <c r="C2667" t="s">
        <v>167</v>
      </c>
      <c r="D2667">
        <v>317549</v>
      </c>
    </row>
    <row r="2668" spans="1:4" x14ac:dyDescent="0.35">
      <c r="A2668" s="1">
        <v>2001</v>
      </c>
      <c r="B2668" t="s">
        <v>168</v>
      </c>
      <c r="C2668" t="s">
        <v>169</v>
      </c>
      <c r="D2668">
        <v>266369</v>
      </c>
    </row>
    <row r="2669" spans="1:4" x14ac:dyDescent="0.35">
      <c r="A2669" s="1">
        <v>2001</v>
      </c>
      <c r="B2669" t="s">
        <v>206</v>
      </c>
      <c r="C2669" t="s">
        <v>207</v>
      </c>
      <c r="D2669">
        <v>1860948</v>
      </c>
    </row>
    <row r="2670" spans="1:4" x14ac:dyDescent="0.35">
      <c r="A2670" s="1">
        <v>2001</v>
      </c>
      <c r="B2670" t="s">
        <v>130</v>
      </c>
      <c r="C2670" t="s">
        <v>131</v>
      </c>
      <c r="D2670">
        <v>654684</v>
      </c>
    </row>
    <row r="2671" spans="1:4" x14ac:dyDescent="0.35">
      <c r="A2671" s="1">
        <v>2001</v>
      </c>
      <c r="B2671" t="s">
        <v>14</v>
      </c>
      <c r="C2671" t="s">
        <v>15</v>
      </c>
      <c r="D2671">
        <v>150457</v>
      </c>
    </row>
    <row r="2672" spans="1:4" x14ac:dyDescent="0.35">
      <c r="A2672" s="1">
        <v>2001</v>
      </c>
      <c r="B2672" t="s">
        <v>140</v>
      </c>
      <c r="C2672" t="s">
        <v>141</v>
      </c>
      <c r="D2672">
        <v>341959</v>
      </c>
    </row>
    <row r="2673" spans="1:4" x14ac:dyDescent="0.35">
      <c r="A2673" s="1">
        <v>2001</v>
      </c>
      <c r="B2673" t="s">
        <v>142</v>
      </c>
      <c r="C2673" t="s">
        <v>143</v>
      </c>
      <c r="D2673">
        <v>567617</v>
      </c>
    </row>
    <row r="2674" spans="1:4" x14ac:dyDescent="0.35">
      <c r="A2674" s="1">
        <v>2001</v>
      </c>
      <c r="B2674" t="s">
        <v>56</v>
      </c>
      <c r="C2674" t="s">
        <v>57</v>
      </c>
      <c r="D2674">
        <v>314636</v>
      </c>
    </row>
    <row r="2675" spans="1:4" x14ac:dyDescent="0.35">
      <c r="A2675" s="1">
        <v>2001</v>
      </c>
      <c r="B2675" t="s">
        <v>144</v>
      </c>
      <c r="C2675" t="s">
        <v>145</v>
      </c>
      <c r="D2675">
        <v>234567</v>
      </c>
    </row>
    <row r="2676" spans="1:4" x14ac:dyDescent="0.35">
      <c r="A2676" s="1">
        <v>2001</v>
      </c>
      <c r="B2676" t="s">
        <v>68</v>
      </c>
      <c r="C2676" t="s">
        <v>69</v>
      </c>
      <c r="D2676">
        <v>123185</v>
      </c>
    </row>
    <row r="2677" spans="1:4" x14ac:dyDescent="0.35">
      <c r="A2677" s="1">
        <v>2001</v>
      </c>
      <c r="B2677" t="s">
        <v>70</v>
      </c>
      <c r="C2677" t="s">
        <v>71</v>
      </c>
      <c r="D2677">
        <v>146088</v>
      </c>
    </row>
    <row r="2678" spans="1:4" x14ac:dyDescent="0.35">
      <c r="A2678" s="1">
        <v>2001</v>
      </c>
      <c r="B2678" t="s">
        <v>32</v>
      </c>
      <c r="C2678" t="s">
        <v>219</v>
      </c>
      <c r="D2678">
        <v>509714</v>
      </c>
    </row>
    <row r="2679" spans="1:4" x14ac:dyDescent="0.35">
      <c r="A2679" s="1">
        <v>2001</v>
      </c>
      <c r="B2679" t="s">
        <v>48</v>
      </c>
      <c r="C2679" t="s">
        <v>220</v>
      </c>
      <c r="D2679">
        <v>549503</v>
      </c>
    </row>
    <row r="2680" spans="1:4" x14ac:dyDescent="0.35">
      <c r="A2680" s="1">
        <v>2001</v>
      </c>
      <c r="B2680" t="s">
        <v>146</v>
      </c>
      <c r="C2680" t="s">
        <v>147</v>
      </c>
      <c r="D2680">
        <v>124095</v>
      </c>
    </row>
    <row r="2681" spans="1:4" x14ac:dyDescent="0.35">
      <c r="A2681" s="1">
        <v>2001</v>
      </c>
      <c r="B2681" t="s">
        <v>148</v>
      </c>
      <c r="C2681" t="s">
        <v>149</v>
      </c>
      <c r="D2681">
        <v>392493</v>
      </c>
    </row>
    <row r="2682" spans="1:4" x14ac:dyDescent="0.35">
      <c r="A2682" s="1">
        <v>2001</v>
      </c>
      <c r="B2682" t="s">
        <v>34</v>
      </c>
      <c r="C2682" t="s">
        <v>35</v>
      </c>
      <c r="D2682">
        <v>503929</v>
      </c>
    </row>
    <row r="2683" spans="1:4" x14ac:dyDescent="0.35">
      <c r="A2683" s="1">
        <v>2001</v>
      </c>
      <c r="B2683" t="s">
        <v>16</v>
      </c>
      <c r="C2683" t="s">
        <v>17</v>
      </c>
      <c r="D2683">
        <v>445862</v>
      </c>
    </row>
    <row r="2684" spans="1:4" x14ac:dyDescent="0.35">
      <c r="A2684" s="1">
        <v>2001</v>
      </c>
      <c r="B2684" t="s">
        <v>132</v>
      </c>
      <c r="C2684" t="s">
        <v>133</v>
      </c>
      <c r="D2684">
        <v>548502</v>
      </c>
    </row>
    <row r="2685" spans="1:4" x14ac:dyDescent="0.35">
      <c r="A2685" s="1">
        <v>2001</v>
      </c>
      <c r="B2685" t="s">
        <v>58</v>
      </c>
      <c r="C2685" t="s">
        <v>59</v>
      </c>
      <c r="D2685">
        <v>411292</v>
      </c>
    </row>
    <row r="2686" spans="1:4" x14ac:dyDescent="0.35">
      <c r="A2686" s="1">
        <v>2001</v>
      </c>
      <c r="B2686" t="s">
        <v>50</v>
      </c>
      <c r="C2686" t="s">
        <v>51</v>
      </c>
      <c r="D2686">
        <v>860540</v>
      </c>
    </row>
    <row r="2687" spans="1:4" x14ac:dyDescent="0.35">
      <c r="A2687" s="1">
        <v>2001</v>
      </c>
      <c r="B2687" t="s">
        <v>170</v>
      </c>
      <c r="C2687" t="s">
        <v>171</v>
      </c>
      <c r="D2687">
        <v>638166</v>
      </c>
    </row>
    <row r="2688" spans="1:4" x14ac:dyDescent="0.35">
      <c r="A2688" s="1">
        <v>2001</v>
      </c>
      <c r="B2688" t="s">
        <v>172</v>
      </c>
      <c r="C2688" t="s">
        <v>173</v>
      </c>
      <c r="D2688">
        <v>1082140</v>
      </c>
    </row>
    <row r="2689" spans="1:4" x14ac:dyDescent="0.35">
      <c r="A2689" s="1">
        <v>2001</v>
      </c>
      <c r="B2689" t="s">
        <v>174</v>
      </c>
      <c r="C2689" t="s">
        <v>175</v>
      </c>
      <c r="D2689">
        <v>174681</v>
      </c>
    </row>
    <row r="2690" spans="1:4" x14ac:dyDescent="0.35">
      <c r="A2690" s="1">
        <v>2001</v>
      </c>
      <c r="B2690" t="s">
        <v>150</v>
      </c>
      <c r="C2690" t="s">
        <v>151</v>
      </c>
      <c r="D2690">
        <v>1314667</v>
      </c>
    </row>
    <row r="2691" spans="1:4" x14ac:dyDescent="0.35">
      <c r="A2691" s="1">
        <v>2001</v>
      </c>
      <c r="B2691" t="s">
        <v>176</v>
      </c>
      <c r="C2691" t="s">
        <v>177</v>
      </c>
      <c r="D2691">
        <v>921521</v>
      </c>
    </row>
    <row r="2692" spans="1:4" x14ac:dyDescent="0.35">
      <c r="A2692" s="1">
        <v>2001</v>
      </c>
      <c r="B2692" t="s">
        <v>52</v>
      </c>
      <c r="C2692" t="s">
        <v>53</v>
      </c>
      <c r="D2692">
        <v>887423</v>
      </c>
    </row>
    <row r="2693" spans="1:4" x14ac:dyDescent="0.35">
      <c r="A2693" s="1">
        <v>2001</v>
      </c>
      <c r="B2693" t="s">
        <v>60</v>
      </c>
      <c r="C2693" t="s">
        <v>61</v>
      </c>
      <c r="D2693">
        <v>231681</v>
      </c>
    </row>
    <row r="2694" spans="1:4" x14ac:dyDescent="0.35">
      <c r="A2694" s="1">
        <v>2001</v>
      </c>
      <c r="B2694" t="s">
        <v>62</v>
      </c>
      <c r="C2694" t="s">
        <v>63</v>
      </c>
      <c r="D2694">
        <v>561151</v>
      </c>
    </row>
    <row r="2695" spans="1:4" x14ac:dyDescent="0.35">
      <c r="A2695" s="1">
        <v>2001</v>
      </c>
      <c r="B2695" t="s">
        <v>18</v>
      </c>
      <c r="C2695" t="s">
        <v>19</v>
      </c>
      <c r="D2695">
        <v>1113017</v>
      </c>
    </row>
    <row r="2696" spans="1:4" x14ac:dyDescent="0.35">
      <c r="A2696" s="1">
        <v>2001</v>
      </c>
      <c r="B2696" t="s">
        <v>36</v>
      </c>
      <c r="C2696" t="s">
        <v>37</v>
      </c>
      <c r="D2696">
        <v>252840</v>
      </c>
    </row>
    <row r="2697" spans="1:4" x14ac:dyDescent="0.35">
      <c r="A2697" s="1">
        <v>2001</v>
      </c>
      <c r="B2697" t="s">
        <v>152</v>
      </c>
      <c r="C2697" t="s">
        <v>153</v>
      </c>
      <c r="D2697">
        <v>336470</v>
      </c>
    </row>
    <row r="2698" spans="1:4" x14ac:dyDescent="0.35">
      <c r="A2698" s="1">
        <v>2001</v>
      </c>
      <c r="B2698" t="s">
        <v>64</v>
      </c>
      <c r="C2698" t="s">
        <v>65</v>
      </c>
      <c r="D2698">
        <v>317783</v>
      </c>
    </row>
    <row r="2699" spans="1:4" x14ac:dyDescent="0.35">
      <c r="A2699" s="1">
        <v>2001</v>
      </c>
      <c r="B2699" t="s">
        <v>20</v>
      </c>
      <c r="C2699" t="s">
        <v>21</v>
      </c>
      <c r="D2699">
        <v>732528</v>
      </c>
    </row>
    <row r="2700" spans="1:4" x14ac:dyDescent="0.35">
      <c r="A2700" s="1">
        <v>2001</v>
      </c>
      <c r="B2700" t="s">
        <v>22</v>
      </c>
      <c r="C2700" t="s">
        <v>23</v>
      </c>
      <c r="D2700">
        <v>211774</v>
      </c>
    </row>
    <row r="2701" spans="1:4" x14ac:dyDescent="0.35">
      <c r="A2701" s="1">
        <v>2001</v>
      </c>
      <c r="B2701" t="s">
        <v>190</v>
      </c>
      <c r="C2701" t="s">
        <v>191</v>
      </c>
      <c r="D2701">
        <v>1160239</v>
      </c>
    </row>
    <row r="2702" spans="1:4" x14ac:dyDescent="0.35">
      <c r="A2702" s="1">
        <v>2001</v>
      </c>
      <c r="B2702" t="s">
        <v>66</v>
      </c>
      <c r="C2702" t="s">
        <v>67</v>
      </c>
      <c r="D2702">
        <v>625235</v>
      </c>
    </row>
    <row r="2703" spans="1:4" x14ac:dyDescent="0.35">
      <c r="A2703" s="1">
        <v>2001</v>
      </c>
      <c r="B2703" t="s">
        <v>178</v>
      </c>
      <c r="C2703" t="s">
        <v>179</v>
      </c>
      <c r="D2703">
        <v>162680</v>
      </c>
    </row>
    <row r="2704" spans="1:4" x14ac:dyDescent="0.35">
      <c r="A2704" s="1">
        <v>2001</v>
      </c>
      <c r="B2704" t="s">
        <v>154</v>
      </c>
      <c r="C2704" t="s">
        <v>155</v>
      </c>
      <c r="D2704">
        <v>309679</v>
      </c>
    </row>
    <row r="2705" spans="1:4" x14ac:dyDescent="0.35">
      <c r="A2705" s="1">
        <v>2001</v>
      </c>
      <c r="B2705" t="s">
        <v>180</v>
      </c>
      <c r="C2705" t="s">
        <v>181</v>
      </c>
      <c r="D2705">
        <v>74348</v>
      </c>
    </row>
    <row r="2706" spans="1:4" x14ac:dyDescent="0.35">
      <c r="A2706" s="1">
        <v>2001</v>
      </c>
      <c r="B2706" t="s">
        <v>192</v>
      </c>
      <c r="C2706" t="s">
        <v>193</v>
      </c>
      <c r="D2706">
        <v>742072</v>
      </c>
    </row>
    <row r="2707" spans="1:4" x14ac:dyDescent="0.35">
      <c r="A2707" s="1">
        <v>2001</v>
      </c>
      <c r="B2707" t="s">
        <v>134</v>
      </c>
      <c r="C2707" t="s">
        <v>135</v>
      </c>
      <c r="D2707">
        <v>484848</v>
      </c>
    </row>
    <row r="2708" spans="1:4" x14ac:dyDescent="0.35">
      <c r="A2708" s="1">
        <v>2001</v>
      </c>
      <c r="B2708" t="s">
        <v>88</v>
      </c>
      <c r="C2708" t="s">
        <v>89</v>
      </c>
      <c r="D2708">
        <v>565535</v>
      </c>
    </row>
    <row r="2709" spans="1:4" x14ac:dyDescent="0.35">
      <c r="A2709" s="1">
        <v>2001</v>
      </c>
      <c r="B2709" t="s">
        <v>90</v>
      </c>
      <c r="C2709" t="s">
        <v>91</v>
      </c>
      <c r="D2709">
        <v>192992</v>
      </c>
    </row>
    <row r="2710" spans="1:4" x14ac:dyDescent="0.35">
      <c r="A2710" s="1">
        <v>2001</v>
      </c>
      <c r="B2710" t="s">
        <v>194</v>
      </c>
      <c r="C2710" t="s">
        <v>195</v>
      </c>
      <c r="D2710">
        <v>289124</v>
      </c>
    </row>
    <row r="2711" spans="1:4" x14ac:dyDescent="0.35">
      <c r="A2711" s="1">
        <v>2001</v>
      </c>
      <c r="B2711" t="s">
        <v>92</v>
      </c>
      <c r="C2711" t="s">
        <v>93</v>
      </c>
      <c r="D2711">
        <v>717358</v>
      </c>
    </row>
    <row r="2712" spans="1:4" x14ac:dyDescent="0.35">
      <c r="A2712" s="1">
        <v>2001</v>
      </c>
      <c r="B2712" t="s">
        <v>94</v>
      </c>
      <c r="C2712" t="s">
        <v>95</v>
      </c>
      <c r="D2712">
        <v>193019</v>
      </c>
    </row>
    <row r="2713" spans="1:4" x14ac:dyDescent="0.35">
      <c r="A2713" s="1">
        <v>2001</v>
      </c>
      <c r="B2713" t="s">
        <v>54</v>
      </c>
      <c r="C2713" t="s">
        <v>55</v>
      </c>
      <c r="D2713">
        <v>656858</v>
      </c>
    </row>
    <row r="2714" spans="1:4" x14ac:dyDescent="0.35">
      <c r="A2714" s="1">
        <v>2001</v>
      </c>
      <c r="B2714" t="s">
        <v>96</v>
      </c>
      <c r="C2714" t="s">
        <v>97</v>
      </c>
      <c r="D2714">
        <v>1027458</v>
      </c>
    </row>
    <row r="2715" spans="1:4" x14ac:dyDescent="0.35">
      <c r="A2715" s="1">
        <v>2001</v>
      </c>
      <c r="B2715" t="s">
        <v>38</v>
      </c>
      <c r="C2715" t="s">
        <v>39</v>
      </c>
      <c r="D2715">
        <v>224569</v>
      </c>
    </row>
    <row r="2716" spans="1:4" x14ac:dyDescent="0.35">
      <c r="A2716" s="1">
        <v>2001</v>
      </c>
      <c r="B2716" t="s">
        <v>106</v>
      </c>
      <c r="C2716" t="s">
        <v>107</v>
      </c>
      <c r="D2716">
        <v>2555959</v>
      </c>
    </row>
    <row r="2717" spans="1:4" x14ac:dyDescent="0.35">
      <c r="A2717" s="1">
        <v>2001</v>
      </c>
      <c r="B2717" t="s">
        <v>108</v>
      </c>
      <c r="C2717" t="s">
        <v>109</v>
      </c>
      <c r="D2717">
        <v>773713</v>
      </c>
    </row>
    <row r="2718" spans="1:4" x14ac:dyDescent="0.35">
      <c r="A2718" s="1">
        <v>2001</v>
      </c>
      <c r="B2718" t="s">
        <v>136</v>
      </c>
      <c r="C2718" t="s">
        <v>137</v>
      </c>
      <c r="D2718">
        <v>292868</v>
      </c>
    </row>
    <row r="2719" spans="1:4" x14ac:dyDescent="0.35">
      <c r="A2719" s="1">
        <v>2001</v>
      </c>
      <c r="B2719" t="s">
        <v>110</v>
      </c>
      <c r="C2719" t="s">
        <v>111</v>
      </c>
      <c r="D2719">
        <v>1445183</v>
      </c>
    </row>
    <row r="2720" spans="1:4" x14ac:dyDescent="0.35">
      <c r="A2720" s="1">
        <v>2001</v>
      </c>
      <c r="B2720" t="s">
        <v>24</v>
      </c>
      <c r="C2720" t="s">
        <v>25</v>
      </c>
      <c r="D2720">
        <v>609162</v>
      </c>
    </row>
    <row r="2721" spans="1:4" x14ac:dyDescent="0.35">
      <c r="A2721" s="1">
        <v>2001</v>
      </c>
      <c r="B2721" t="s">
        <v>156</v>
      </c>
      <c r="C2721" t="s">
        <v>157</v>
      </c>
      <c r="D2721">
        <v>609605</v>
      </c>
    </row>
    <row r="2722" spans="1:4" x14ac:dyDescent="0.35">
      <c r="A2722" s="1">
        <v>2001</v>
      </c>
      <c r="B2722" t="s">
        <v>182</v>
      </c>
      <c r="C2722" t="s">
        <v>183</v>
      </c>
      <c r="D2722">
        <v>223930</v>
      </c>
    </row>
    <row r="2723" spans="1:4" x14ac:dyDescent="0.35">
      <c r="A2723" s="1">
        <v>2001</v>
      </c>
      <c r="B2723" t="s">
        <v>184</v>
      </c>
      <c r="C2723" t="s">
        <v>185</v>
      </c>
      <c r="D2723">
        <v>402045</v>
      </c>
    </row>
    <row r="2724" spans="1:4" x14ac:dyDescent="0.35">
      <c r="A2724" s="1">
        <v>2001</v>
      </c>
      <c r="B2724" t="s">
        <v>98</v>
      </c>
      <c r="C2724" t="s">
        <v>99</v>
      </c>
      <c r="D2724">
        <v>1040521</v>
      </c>
    </row>
    <row r="2725" spans="1:4" x14ac:dyDescent="0.35">
      <c r="A2725" s="1">
        <v>2001</v>
      </c>
      <c r="B2725" t="s">
        <v>100</v>
      </c>
      <c r="C2725" t="s">
        <v>101</v>
      </c>
      <c r="D2725">
        <v>715557</v>
      </c>
    </row>
    <row r="2726" spans="1:4" x14ac:dyDescent="0.35">
      <c r="A2726" s="1">
        <v>2001</v>
      </c>
      <c r="B2726" t="s">
        <v>26</v>
      </c>
      <c r="C2726" t="s">
        <v>27</v>
      </c>
      <c r="D2726">
        <v>1601972</v>
      </c>
    </row>
    <row r="2727" spans="1:4" x14ac:dyDescent="0.35">
      <c r="A2727" s="1">
        <v>2001</v>
      </c>
      <c r="B2727" t="s">
        <v>40</v>
      </c>
      <c r="C2727" t="s">
        <v>41</v>
      </c>
      <c r="D2727">
        <v>231413</v>
      </c>
    </row>
    <row r="2728" spans="1:4" x14ac:dyDescent="0.35">
      <c r="A2728" s="1">
        <v>2001</v>
      </c>
      <c r="B2728" t="s">
        <v>42</v>
      </c>
      <c r="C2728" t="s">
        <v>43</v>
      </c>
      <c r="D2728">
        <v>546312</v>
      </c>
    </row>
    <row r="2729" spans="1:4" x14ac:dyDescent="0.35">
      <c r="A2729" s="1">
        <v>2001</v>
      </c>
      <c r="B2729" t="s">
        <v>196</v>
      </c>
      <c r="C2729" t="s">
        <v>197</v>
      </c>
      <c r="D2729">
        <v>536156</v>
      </c>
    </row>
    <row r="2730" spans="1:4" x14ac:dyDescent="0.35">
      <c r="A2730" s="1">
        <v>2001</v>
      </c>
      <c r="B2730" t="s">
        <v>28</v>
      </c>
      <c r="C2730" t="s">
        <v>29</v>
      </c>
      <c r="D2730">
        <v>380731</v>
      </c>
    </row>
    <row r="2731" spans="1:4" x14ac:dyDescent="0.35">
      <c r="A2731" s="1">
        <v>2001</v>
      </c>
      <c r="B2731" t="s">
        <v>30</v>
      </c>
      <c r="C2731" t="s">
        <v>31</v>
      </c>
      <c r="D2731">
        <v>648493</v>
      </c>
    </row>
    <row r="2732" spans="1:4" x14ac:dyDescent="0.35">
      <c r="A2732" s="1">
        <v>2001</v>
      </c>
      <c r="B2732" t="s">
        <v>114</v>
      </c>
      <c r="C2732" t="s">
        <v>115</v>
      </c>
      <c r="D2732">
        <v>2137442</v>
      </c>
    </row>
    <row r="2733" spans="1:4" x14ac:dyDescent="0.35">
      <c r="A2733" s="1">
        <v>2001</v>
      </c>
      <c r="B2733" t="s">
        <v>138</v>
      </c>
      <c r="C2733" t="s">
        <v>139</v>
      </c>
      <c r="D2733">
        <v>1240904</v>
      </c>
    </row>
    <row r="2734" spans="1:4" x14ac:dyDescent="0.35">
      <c r="A2734" s="1">
        <v>2001</v>
      </c>
      <c r="B2734" t="s">
        <v>116</v>
      </c>
      <c r="C2734" t="s">
        <v>117</v>
      </c>
      <c r="D2734">
        <v>1214294</v>
      </c>
    </row>
    <row r="2735" spans="1:4" x14ac:dyDescent="0.35">
      <c r="A2735" s="1">
        <v>2001</v>
      </c>
      <c r="B2735" t="s">
        <v>118</v>
      </c>
      <c r="C2735" t="s">
        <v>119</v>
      </c>
      <c r="D2735">
        <v>1365015</v>
      </c>
    </row>
    <row r="2736" spans="1:4" x14ac:dyDescent="0.35">
      <c r="A2736" s="1">
        <v>2001</v>
      </c>
      <c r="B2736" t="s">
        <v>158</v>
      </c>
      <c r="C2736" t="s">
        <v>159</v>
      </c>
      <c r="D2736">
        <v>348599</v>
      </c>
    </row>
    <row r="2737" spans="1:4" x14ac:dyDescent="0.35">
      <c r="A2737" s="1">
        <v>2001</v>
      </c>
      <c r="B2737" t="s">
        <v>112</v>
      </c>
      <c r="C2737" t="s">
        <v>113</v>
      </c>
      <c r="D2737">
        <v>558420</v>
      </c>
    </row>
    <row r="2738" spans="1:4" x14ac:dyDescent="0.35">
      <c r="A2738" s="1">
        <v>2001</v>
      </c>
      <c r="B2738" t="s">
        <v>186</v>
      </c>
      <c r="C2738" t="s">
        <v>187</v>
      </c>
      <c r="D2738">
        <v>348900</v>
      </c>
    </row>
    <row r="2739" spans="1:4" x14ac:dyDescent="0.35">
      <c r="A2739" s="1">
        <v>2001</v>
      </c>
      <c r="B2739" t="s">
        <v>188</v>
      </c>
      <c r="C2739" t="s">
        <v>189</v>
      </c>
      <c r="D2739">
        <v>211134</v>
      </c>
    </row>
    <row r="2740" spans="1:4" x14ac:dyDescent="0.35">
      <c r="A2740" s="1">
        <v>2001</v>
      </c>
      <c r="B2740" t="s">
        <v>208</v>
      </c>
      <c r="C2740" t="s">
        <v>209</v>
      </c>
      <c r="D2740">
        <v>921032</v>
      </c>
    </row>
    <row r="2741" spans="1:4" x14ac:dyDescent="0.35">
      <c r="A2741" s="1">
        <v>2001</v>
      </c>
      <c r="B2741" t="s">
        <v>210</v>
      </c>
      <c r="C2741" t="s">
        <v>211</v>
      </c>
      <c r="D2741">
        <v>508497</v>
      </c>
    </row>
    <row r="2742" spans="1:4" x14ac:dyDescent="0.35">
      <c r="A2742" s="1">
        <v>2001</v>
      </c>
      <c r="B2742" t="s">
        <v>198</v>
      </c>
      <c r="C2742" t="s">
        <v>199</v>
      </c>
      <c r="D2742">
        <v>554088</v>
      </c>
    </row>
    <row r="2743" spans="1:4" x14ac:dyDescent="0.35">
      <c r="A2743" s="1">
        <v>2001</v>
      </c>
      <c r="B2743" t="s">
        <v>160</v>
      </c>
      <c r="C2743" t="s">
        <v>161</v>
      </c>
      <c r="D2743">
        <v>403958</v>
      </c>
    </row>
    <row r="2744" spans="1:4" x14ac:dyDescent="0.35">
      <c r="A2744" s="1">
        <v>2001</v>
      </c>
      <c r="B2744" t="s">
        <v>162</v>
      </c>
      <c r="C2744" t="s">
        <v>163</v>
      </c>
      <c r="D2744">
        <v>357134</v>
      </c>
    </row>
    <row r="2745" spans="1:4" x14ac:dyDescent="0.35">
      <c r="A2745" s="1">
        <v>2001</v>
      </c>
      <c r="B2745" t="s">
        <v>102</v>
      </c>
      <c r="C2745" t="s">
        <v>103</v>
      </c>
      <c r="D2745">
        <v>380956</v>
      </c>
    </row>
    <row r="2746" spans="1:4" x14ac:dyDescent="0.35">
      <c r="A2746" s="1">
        <v>2001</v>
      </c>
      <c r="B2746" t="s">
        <v>44</v>
      </c>
      <c r="C2746" t="s">
        <v>45</v>
      </c>
      <c r="D2746">
        <v>335056</v>
      </c>
    </row>
    <row r="2747" spans="1:4" x14ac:dyDescent="0.35">
      <c r="A2747" s="1">
        <v>2001</v>
      </c>
      <c r="B2747" t="s">
        <v>46</v>
      </c>
      <c r="C2747" t="s">
        <v>221</v>
      </c>
      <c r="D2747">
        <v>138513</v>
      </c>
    </row>
    <row r="2748" spans="1:4" x14ac:dyDescent="0.35">
      <c r="A2748" s="1">
        <v>2001</v>
      </c>
      <c r="B2748" t="s">
        <v>120</v>
      </c>
      <c r="C2748" t="s">
        <v>121</v>
      </c>
      <c r="D2748">
        <v>1151521</v>
      </c>
    </row>
    <row r="2749" spans="1:4" x14ac:dyDescent="0.35">
      <c r="A2749" s="1">
        <v>2001</v>
      </c>
      <c r="B2749" t="s">
        <v>122</v>
      </c>
      <c r="C2749" t="s">
        <v>222</v>
      </c>
      <c r="D2749">
        <v>1457738</v>
      </c>
    </row>
    <row r="2750" spans="1:4" x14ac:dyDescent="0.35">
      <c r="A2750" s="1">
        <v>2001</v>
      </c>
      <c r="B2750" t="s">
        <v>124</v>
      </c>
      <c r="C2750" t="s">
        <v>125</v>
      </c>
      <c r="D2750">
        <v>1411789</v>
      </c>
    </row>
    <row r="2751" spans="1:4" x14ac:dyDescent="0.35">
      <c r="A2751" s="1">
        <v>2001</v>
      </c>
      <c r="B2751" t="s">
        <v>126</v>
      </c>
      <c r="C2751" t="s">
        <v>127</v>
      </c>
      <c r="D2751">
        <v>1246724</v>
      </c>
    </row>
    <row r="2752" spans="1:4" x14ac:dyDescent="0.35">
      <c r="A2752" s="1">
        <v>2001</v>
      </c>
      <c r="B2752" t="s">
        <v>128</v>
      </c>
      <c r="C2752" t="s">
        <v>129</v>
      </c>
      <c r="D2752">
        <v>1118301</v>
      </c>
    </row>
    <row r="2753" spans="1:4" x14ac:dyDescent="0.35">
      <c r="A2753" s="1">
        <v>2001</v>
      </c>
      <c r="B2753" t="s">
        <v>257</v>
      </c>
      <c r="D2753">
        <v>59266572</v>
      </c>
    </row>
    <row r="2754" spans="1:4" x14ac:dyDescent="0.35">
      <c r="A2754" s="1">
        <v>2001</v>
      </c>
      <c r="B2754">
        <v>971</v>
      </c>
      <c r="C2754" t="s">
        <v>73</v>
      </c>
      <c r="D2754">
        <v>390672</v>
      </c>
    </row>
    <row r="2755" spans="1:4" x14ac:dyDescent="0.35">
      <c r="A2755" s="1">
        <v>2001</v>
      </c>
      <c r="B2755">
        <v>972</v>
      </c>
      <c r="C2755" t="s">
        <v>75</v>
      </c>
      <c r="D2755">
        <v>386542</v>
      </c>
    </row>
    <row r="2756" spans="1:4" x14ac:dyDescent="0.35">
      <c r="A2756" s="1">
        <v>2001</v>
      </c>
      <c r="B2756">
        <v>973</v>
      </c>
      <c r="C2756" t="s">
        <v>77</v>
      </c>
      <c r="D2756">
        <v>168614</v>
      </c>
    </row>
    <row r="2757" spans="1:4" x14ac:dyDescent="0.35">
      <c r="A2757" s="1">
        <v>2001</v>
      </c>
      <c r="B2757">
        <v>974</v>
      </c>
      <c r="C2757" t="s">
        <v>79</v>
      </c>
      <c r="D2757">
        <v>729010</v>
      </c>
    </row>
    <row r="2758" spans="1:4" x14ac:dyDescent="0.35">
      <c r="A2758" s="1">
        <v>2001</v>
      </c>
      <c r="B2758" t="s">
        <v>226</v>
      </c>
      <c r="D2758">
        <v>1674838</v>
      </c>
    </row>
    <row r="2759" spans="1:4" x14ac:dyDescent="0.35">
      <c r="A2759" s="1">
        <v>2001</v>
      </c>
      <c r="B2759" t="s">
        <v>227</v>
      </c>
      <c r="D2759">
        <v>60941410</v>
      </c>
    </row>
    <row r="2760" spans="1:4" x14ac:dyDescent="0.35">
      <c r="A2760" s="1">
        <v>2001</v>
      </c>
    </row>
    <row r="2761" spans="1:4" x14ac:dyDescent="0.35">
      <c r="A2761" s="1">
        <v>2001</v>
      </c>
      <c r="B2761" t="s">
        <v>240</v>
      </c>
    </row>
    <row r="2762" spans="1:4" x14ac:dyDescent="0.35">
      <c r="A2762" s="1">
        <v>2000</v>
      </c>
      <c r="B2762" t="s">
        <v>251</v>
      </c>
    </row>
    <row r="2763" spans="1:4" x14ac:dyDescent="0.35">
      <c r="A2763" s="1">
        <v>2000</v>
      </c>
      <c r="B2763" t="s">
        <v>264</v>
      </c>
    </row>
    <row r="2764" spans="1:4" x14ac:dyDescent="0.35">
      <c r="A2764" s="1">
        <v>2000</v>
      </c>
    </row>
    <row r="2765" spans="1:4" x14ac:dyDescent="0.35">
      <c r="A2765" s="1">
        <v>2000</v>
      </c>
      <c r="B2765" t="s">
        <v>231</v>
      </c>
    </row>
    <row r="2766" spans="1:4" x14ac:dyDescent="0.35">
      <c r="A2766" s="1">
        <v>2000</v>
      </c>
      <c r="D2766" t="s">
        <v>232</v>
      </c>
    </row>
    <row r="2767" spans="1:4" x14ac:dyDescent="0.35">
      <c r="A2767" s="1">
        <v>2000</v>
      </c>
      <c r="B2767" t="s">
        <v>5</v>
      </c>
      <c r="C2767" t="s">
        <v>6</v>
      </c>
      <c r="D2767">
        <v>521103</v>
      </c>
    </row>
    <row r="2768" spans="1:4" x14ac:dyDescent="0.35">
      <c r="A2768" s="1">
        <v>2000</v>
      </c>
      <c r="B2768" t="s">
        <v>104</v>
      </c>
      <c r="C2768" t="s">
        <v>105</v>
      </c>
      <c r="D2768">
        <v>536260</v>
      </c>
    </row>
    <row r="2769" spans="1:4" x14ac:dyDescent="0.35">
      <c r="A2769" s="1">
        <v>2000</v>
      </c>
      <c r="B2769" t="s">
        <v>10</v>
      </c>
      <c r="C2769" t="s">
        <v>11</v>
      </c>
      <c r="D2769">
        <v>344710</v>
      </c>
    </row>
    <row r="2770" spans="1:4" x14ac:dyDescent="0.35">
      <c r="A2770" s="1">
        <v>2000</v>
      </c>
      <c r="B2770" t="s">
        <v>200</v>
      </c>
      <c r="C2770" t="s">
        <v>201</v>
      </c>
      <c r="D2770">
        <v>141454</v>
      </c>
    </row>
    <row r="2771" spans="1:4" x14ac:dyDescent="0.35">
      <c r="A2771" s="1">
        <v>2000</v>
      </c>
      <c r="B2771" t="s">
        <v>202</v>
      </c>
      <c r="C2771" t="s">
        <v>203</v>
      </c>
      <c r="D2771">
        <v>122542</v>
      </c>
    </row>
    <row r="2772" spans="1:4" x14ac:dyDescent="0.35">
      <c r="A2772" s="1">
        <v>2000</v>
      </c>
      <c r="B2772" t="s">
        <v>204</v>
      </c>
      <c r="C2772" t="s">
        <v>205</v>
      </c>
      <c r="D2772">
        <v>1017956</v>
      </c>
    </row>
    <row r="2773" spans="1:4" x14ac:dyDescent="0.35">
      <c r="A2773" s="1">
        <v>2000</v>
      </c>
      <c r="B2773" t="s">
        <v>12</v>
      </c>
      <c r="C2773" t="s">
        <v>13</v>
      </c>
      <c r="D2773">
        <v>288386</v>
      </c>
    </row>
    <row r="2774" spans="1:4" x14ac:dyDescent="0.35">
      <c r="A2774" s="1">
        <v>2000</v>
      </c>
      <c r="B2774" t="s">
        <v>84</v>
      </c>
      <c r="C2774" t="s">
        <v>85</v>
      </c>
      <c r="D2774">
        <v>289609</v>
      </c>
    </row>
    <row r="2775" spans="1:4" x14ac:dyDescent="0.35">
      <c r="A2775" s="1">
        <v>2000</v>
      </c>
      <c r="B2775" t="s">
        <v>164</v>
      </c>
      <c r="C2775" t="s">
        <v>165</v>
      </c>
      <c r="D2775">
        <v>138199</v>
      </c>
    </row>
    <row r="2776" spans="1:4" x14ac:dyDescent="0.35">
      <c r="A2776" s="1">
        <v>2000</v>
      </c>
      <c r="B2776" t="s">
        <v>86</v>
      </c>
      <c r="C2776" t="s">
        <v>87</v>
      </c>
      <c r="D2776">
        <v>293185</v>
      </c>
    </row>
    <row r="2777" spans="1:4" x14ac:dyDescent="0.35">
      <c r="A2777" s="1">
        <v>2000</v>
      </c>
      <c r="B2777" t="s">
        <v>166</v>
      </c>
      <c r="C2777" t="s">
        <v>167</v>
      </c>
      <c r="D2777">
        <v>313341</v>
      </c>
    </row>
    <row r="2778" spans="1:4" x14ac:dyDescent="0.35">
      <c r="A2778" s="1">
        <v>2000</v>
      </c>
      <c r="B2778" t="s">
        <v>168</v>
      </c>
      <c r="C2778" t="s">
        <v>169</v>
      </c>
      <c r="D2778">
        <v>265065</v>
      </c>
    </row>
    <row r="2779" spans="1:4" x14ac:dyDescent="0.35">
      <c r="A2779" s="1">
        <v>2000</v>
      </c>
      <c r="B2779" t="s">
        <v>206</v>
      </c>
      <c r="C2779" t="s">
        <v>207</v>
      </c>
      <c r="D2779">
        <v>1846878</v>
      </c>
    </row>
    <row r="2780" spans="1:4" x14ac:dyDescent="0.35">
      <c r="A2780" s="1">
        <v>2000</v>
      </c>
      <c r="B2780" t="s">
        <v>130</v>
      </c>
      <c r="C2780" t="s">
        <v>131</v>
      </c>
      <c r="D2780">
        <v>651193</v>
      </c>
    </row>
    <row r="2781" spans="1:4" x14ac:dyDescent="0.35">
      <c r="A2781" s="1">
        <v>2000</v>
      </c>
      <c r="B2781" t="s">
        <v>14</v>
      </c>
      <c r="C2781" t="s">
        <v>15</v>
      </c>
      <c r="D2781">
        <v>150640</v>
      </c>
    </row>
    <row r="2782" spans="1:4" x14ac:dyDescent="0.35">
      <c r="A2782" s="1">
        <v>2000</v>
      </c>
      <c r="B2782" t="s">
        <v>140</v>
      </c>
      <c r="C2782" t="s">
        <v>141</v>
      </c>
      <c r="D2782">
        <v>340761</v>
      </c>
    </row>
    <row r="2783" spans="1:4" x14ac:dyDescent="0.35">
      <c r="A2783" s="1">
        <v>2000</v>
      </c>
      <c r="B2783" t="s">
        <v>142</v>
      </c>
      <c r="C2783" t="s">
        <v>143</v>
      </c>
      <c r="D2783">
        <v>561742</v>
      </c>
    </row>
    <row r="2784" spans="1:4" x14ac:dyDescent="0.35">
      <c r="A2784" s="1">
        <v>2000</v>
      </c>
      <c r="B2784" t="s">
        <v>56</v>
      </c>
      <c r="C2784" t="s">
        <v>57</v>
      </c>
      <c r="D2784">
        <v>314584</v>
      </c>
    </row>
    <row r="2785" spans="1:4" x14ac:dyDescent="0.35">
      <c r="A2785" s="1">
        <v>2000</v>
      </c>
      <c r="B2785" t="s">
        <v>144</v>
      </c>
      <c r="C2785" t="s">
        <v>145</v>
      </c>
      <c r="D2785">
        <v>233631</v>
      </c>
    </row>
    <row r="2786" spans="1:4" x14ac:dyDescent="0.35">
      <c r="A2786" s="1">
        <v>2000</v>
      </c>
      <c r="B2786" t="s">
        <v>68</v>
      </c>
      <c r="C2786" t="s">
        <v>69</v>
      </c>
      <c r="D2786">
        <v>120753</v>
      </c>
    </row>
    <row r="2787" spans="1:4" x14ac:dyDescent="0.35">
      <c r="A2787" s="1">
        <v>2000</v>
      </c>
      <c r="B2787" t="s">
        <v>70</v>
      </c>
      <c r="C2787" t="s">
        <v>71</v>
      </c>
      <c r="D2787">
        <v>143786</v>
      </c>
    </row>
    <row r="2788" spans="1:4" x14ac:dyDescent="0.35">
      <c r="A2788" s="1">
        <v>2000</v>
      </c>
      <c r="B2788" t="s">
        <v>32</v>
      </c>
      <c r="C2788" t="s">
        <v>219</v>
      </c>
      <c r="D2788">
        <v>508015</v>
      </c>
    </row>
    <row r="2789" spans="1:4" x14ac:dyDescent="0.35">
      <c r="A2789" s="1">
        <v>2000</v>
      </c>
      <c r="B2789" t="s">
        <v>48</v>
      </c>
      <c r="C2789" t="s">
        <v>220</v>
      </c>
      <c r="D2789">
        <v>545656</v>
      </c>
    </row>
    <row r="2790" spans="1:4" x14ac:dyDescent="0.35">
      <c r="A2790" s="1">
        <v>2000</v>
      </c>
      <c r="B2790" t="s">
        <v>146</v>
      </c>
      <c r="C2790" t="s">
        <v>147</v>
      </c>
      <c r="D2790">
        <v>124303</v>
      </c>
    </row>
    <row r="2791" spans="1:4" x14ac:dyDescent="0.35">
      <c r="A2791" s="1">
        <v>2000</v>
      </c>
      <c r="B2791" t="s">
        <v>148</v>
      </c>
      <c r="C2791" t="s">
        <v>149</v>
      </c>
      <c r="D2791">
        <v>390272</v>
      </c>
    </row>
    <row r="2792" spans="1:4" x14ac:dyDescent="0.35">
      <c r="A2792" s="1">
        <v>2000</v>
      </c>
      <c r="B2792" t="s">
        <v>34</v>
      </c>
      <c r="C2792" t="s">
        <v>35</v>
      </c>
      <c r="D2792">
        <v>501423</v>
      </c>
    </row>
    <row r="2793" spans="1:4" x14ac:dyDescent="0.35">
      <c r="A2793" s="1">
        <v>2000</v>
      </c>
      <c r="B2793" t="s">
        <v>16</v>
      </c>
      <c r="C2793" t="s">
        <v>17</v>
      </c>
      <c r="D2793">
        <v>441480</v>
      </c>
    </row>
    <row r="2794" spans="1:4" x14ac:dyDescent="0.35">
      <c r="A2794" s="1">
        <v>2000</v>
      </c>
      <c r="B2794" t="s">
        <v>132</v>
      </c>
      <c r="C2794" t="s">
        <v>133</v>
      </c>
      <c r="D2794">
        <v>544635</v>
      </c>
    </row>
    <row r="2795" spans="1:4" x14ac:dyDescent="0.35">
      <c r="A2795" s="1">
        <v>2000</v>
      </c>
      <c r="B2795" t="s">
        <v>58</v>
      </c>
      <c r="C2795" t="s">
        <v>59</v>
      </c>
      <c r="D2795">
        <v>409342</v>
      </c>
    </row>
    <row r="2796" spans="1:4" x14ac:dyDescent="0.35">
      <c r="A2796" s="1">
        <v>2000</v>
      </c>
      <c r="B2796" t="s">
        <v>50</v>
      </c>
      <c r="C2796" t="s">
        <v>51</v>
      </c>
      <c r="D2796">
        <v>855924</v>
      </c>
    </row>
    <row r="2797" spans="1:4" x14ac:dyDescent="0.35">
      <c r="A2797" s="1">
        <v>2000</v>
      </c>
      <c r="B2797" t="s">
        <v>170</v>
      </c>
      <c r="C2797" t="s">
        <v>171</v>
      </c>
      <c r="D2797">
        <v>630051</v>
      </c>
    </row>
    <row r="2798" spans="1:4" x14ac:dyDescent="0.35">
      <c r="A2798" s="1">
        <v>2000</v>
      </c>
      <c r="B2798" t="s">
        <v>172</v>
      </c>
      <c r="C2798" t="s">
        <v>173</v>
      </c>
      <c r="D2798">
        <v>1062514</v>
      </c>
    </row>
    <row r="2799" spans="1:4" x14ac:dyDescent="0.35">
      <c r="A2799" s="1">
        <v>2000</v>
      </c>
      <c r="B2799" t="s">
        <v>174</v>
      </c>
      <c r="C2799" t="s">
        <v>175</v>
      </c>
      <c r="D2799">
        <v>173522</v>
      </c>
    </row>
    <row r="2800" spans="1:4" x14ac:dyDescent="0.35">
      <c r="A2800" s="1">
        <v>2000</v>
      </c>
      <c r="B2800" t="s">
        <v>150</v>
      </c>
      <c r="C2800" t="s">
        <v>151</v>
      </c>
      <c r="D2800">
        <v>1299777</v>
      </c>
    </row>
    <row r="2801" spans="1:4" x14ac:dyDescent="0.35">
      <c r="A2801" s="1">
        <v>2000</v>
      </c>
      <c r="B2801" t="s">
        <v>176</v>
      </c>
      <c r="C2801" t="s">
        <v>177</v>
      </c>
      <c r="D2801">
        <v>907747</v>
      </c>
    </row>
    <row r="2802" spans="1:4" x14ac:dyDescent="0.35">
      <c r="A2802" s="1">
        <v>2000</v>
      </c>
      <c r="B2802" t="s">
        <v>52</v>
      </c>
      <c r="C2802" t="s">
        <v>53</v>
      </c>
      <c r="D2802">
        <v>876201</v>
      </c>
    </row>
    <row r="2803" spans="1:4" x14ac:dyDescent="0.35">
      <c r="A2803" s="1">
        <v>2000</v>
      </c>
      <c r="B2803" t="s">
        <v>60</v>
      </c>
      <c r="C2803" t="s">
        <v>61</v>
      </c>
      <c r="D2803">
        <v>231441</v>
      </c>
    </row>
    <row r="2804" spans="1:4" x14ac:dyDescent="0.35">
      <c r="A2804" s="1">
        <v>2000</v>
      </c>
      <c r="B2804" t="s">
        <v>62</v>
      </c>
      <c r="C2804" t="s">
        <v>63</v>
      </c>
      <c r="D2804">
        <v>557170</v>
      </c>
    </row>
    <row r="2805" spans="1:4" x14ac:dyDescent="0.35">
      <c r="A2805" s="1">
        <v>2000</v>
      </c>
      <c r="B2805" t="s">
        <v>18</v>
      </c>
      <c r="C2805" t="s">
        <v>19</v>
      </c>
      <c r="D2805">
        <v>1102331</v>
      </c>
    </row>
    <row r="2806" spans="1:4" x14ac:dyDescent="0.35">
      <c r="A2806" s="1">
        <v>2000</v>
      </c>
      <c r="B2806" t="s">
        <v>36</v>
      </c>
      <c r="C2806" t="s">
        <v>37</v>
      </c>
      <c r="D2806">
        <v>251811</v>
      </c>
    </row>
    <row r="2807" spans="1:4" x14ac:dyDescent="0.35">
      <c r="A2807" s="1">
        <v>2000</v>
      </c>
      <c r="B2807" t="s">
        <v>152</v>
      </c>
      <c r="C2807" t="s">
        <v>153</v>
      </c>
      <c r="D2807">
        <v>331510</v>
      </c>
    </row>
    <row r="2808" spans="1:4" x14ac:dyDescent="0.35">
      <c r="A2808" s="1">
        <v>2000</v>
      </c>
      <c r="B2808" t="s">
        <v>64</v>
      </c>
      <c r="C2808" t="s">
        <v>65</v>
      </c>
      <c r="D2808">
        <v>316354</v>
      </c>
    </row>
    <row r="2809" spans="1:4" x14ac:dyDescent="0.35">
      <c r="A2809" s="1">
        <v>2000</v>
      </c>
      <c r="B2809" t="s">
        <v>20</v>
      </c>
      <c r="C2809" t="s">
        <v>21</v>
      </c>
      <c r="D2809">
        <v>730614</v>
      </c>
    </row>
    <row r="2810" spans="1:4" x14ac:dyDescent="0.35">
      <c r="A2810" s="1">
        <v>2000</v>
      </c>
      <c r="B2810" t="s">
        <v>22</v>
      </c>
      <c r="C2810" t="s">
        <v>23</v>
      </c>
      <c r="D2810">
        <v>210410</v>
      </c>
    </row>
    <row r="2811" spans="1:4" x14ac:dyDescent="0.35">
      <c r="A2811" s="1">
        <v>2000</v>
      </c>
      <c r="B2811" t="s">
        <v>190</v>
      </c>
      <c r="C2811" t="s">
        <v>191</v>
      </c>
      <c r="D2811">
        <v>1146058</v>
      </c>
    </row>
    <row r="2812" spans="1:4" x14ac:dyDescent="0.35">
      <c r="A2812" s="1">
        <v>2000</v>
      </c>
      <c r="B2812" t="s">
        <v>66</v>
      </c>
      <c r="C2812" t="s">
        <v>67</v>
      </c>
      <c r="D2812">
        <v>621230</v>
      </c>
    </row>
    <row r="2813" spans="1:4" x14ac:dyDescent="0.35">
      <c r="A2813" s="1">
        <v>2000</v>
      </c>
      <c r="B2813" t="s">
        <v>178</v>
      </c>
      <c r="C2813" t="s">
        <v>179</v>
      </c>
      <c r="D2813">
        <v>161375</v>
      </c>
    </row>
    <row r="2814" spans="1:4" x14ac:dyDescent="0.35">
      <c r="A2814" s="1">
        <v>2000</v>
      </c>
      <c r="B2814" t="s">
        <v>154</v>
      </c>
      <c r="C2814" t="s">
        <v>155</v>
      </c>
      <c r="D2814">
        <v>307415</v>
      </c>
    </row>
    <row r="2815" spans="1:4" x14ac:dyDescent="0.35">
      <c r="A2815" s="1">
        <v>2000</v>
      </c>
      <c r="B2815" t="s">
        <v>180</v>
      </c>
      <c r="C2815" t="s">
        <v>181</v>
      </c>
      <c r="D2815">
        <v>73851</v>
      </c>
    </row>
    <row r="2816" spans="1:4" x14ac:dyDescent="0.35">
      <c r="A2816" s="1">
        <v>2000</v>
      </c>
      <c r="B2816" t="s">
        <v>192</v>
      </c>
      <c r="C2816" t="s">
        <v>193</v>
      </c>
      <c r="D2816">
        <v>736867</v>
      </c>
    </row>
    <row r="2817" spans="1:4" x14ac:dyDescent="0.35">
      <c r="A2817" s="1">
        <v>2000</v>
      </c>
      <c r="B2817" t="s">
        <v>134</v>
      </c>
      <c r="C2817" t="s">
        <v>135</v>
      </c>
      <c r="D2817">
        <v>483178</v>
      </c>
    </row>
    <row r="2818" spans="1:4" x14ac:dyDescent="0.35">
      <c r="A2818" s="1">
        <v>2000</v>
      </c>
      <c r="B2818" t="s">
        <v>88</v>
      </c>
      <c r="C2818" t="s">
        <v>89</v>
      </c>
      <c r="D2818">
        <v>565189</v>
      </c>
    </row>
    <row r="2819" spans="1:4" x14ac:dyDescent="0.35">
      <c r="A2819" s="1">
        <v>2000</v>
      </c>
      <c r="B2819" t="s">
        <v>90</v>
      </c>
      <c r="C2819" t="s">
        <v>91</v>
      </c>
      <c r="D2819">
        <v>194024</v>
      </c>
    </row>
    <row r="2820" spans="1:4" x14ac:dyDescent="0.35">
      <c r="A2820" s="1">
        <v>2000</v>
      </c>
      <c r="B2820" t="s">
        <v>194</v>
      </c>
      <c r="C2820" t="s">
        <v>195</v>
      </c>
      <c r="D2820">
        <v>286970</v>
      </c>
    </row>
    <row r="2821" spans="1:4" x14ac:dyDescent="0.35">
      <c r="A2821" s="1">
        <v>2000</v>
      </c>
      <c r="B2821" t="s">
        <v>92</v>
      </c>
      <c r="C2821" t="s">
        <v>93</v>
      </c>
      <c r="D2821">
        <v>715684</v>
      </c>
    </row>
    <row r="2822" spans="1:4" x14ac:dyDescent="0.35">
      <c r="A2822" s="1">
        <v>2000</v>
      </c>
      <c r="B2822" t="s">
        <v>94</v>
      </c>
      <c r="C2822" t="s">
        <v>95</v>
      </c>
      <c r="D2822">
        <v>192682</v>
      </c>
    </row>
    <row r="2823" spans="1:4" x14ac:dyDescent="0.35">
      <c r="A2823" s="1">
        <v>2000</v>
      </c>
      <c r="B2823" t="s">
        <v>54</v>
      </c>
      <c r="C2823" t="s">
        <v>55</v>
      </c>
      <c r="D2823">
        <v>649831</v>
      </c>
    </row>
    <row r="2824" spans="1:4" x14ac:dyDescent="0.35">
      <c r="A2824" s="1">
        <v>2000</v>
      </c>
      <c r="B2824" t="s">
        <v>96</v>
      </c>
      <c r="C2824" t="s">
        <v>97</v>
      </c>
      <c r="D2824">
        <v>1025516</v>
      </c>
    </row>
    <row r="2825" spans="1:4" x14ac:dyDescent="0.35">
      <c r="A2825" s="1">
        <v>2000</v>
      </c>
      <c r="B2825" t="s">
        <v>38</v>
      </c>
      <c r="C2825" t="s">
        <v>39</v>
      </c>
      <c r="D2825">
        <v>225054</v>
      </c>
    </row>
    <row r="2826" spans="1:4" x14ac:dyDescent="0.35">
      <c r="A2826" s="1">
        <v>2000</v>
      </c>
      <c r="B2826" t="s">
        <v>106</v>
      </c>
      <c r="C2826" t="s">
        <v>107</v>
      </c>
      <c r="D2826">
        <v>2554638</v>
      </c>
    </row>
    <row r="2827" spans="1:4" x14ac:dyDescent="0.35">
      <c r="A2827" s="1">
        <v>2000</v>
      </c>
      <c r="B2827" t="s">
        <v>108</v>
      </c>
      <c r="C2827" t="s">
        <v>109</v>
      </c>
      <c r="D2827">
        <v>769848</v>
      </c>
    </row>
    <row r="2828" spans="1:4" x14ac:dyDescent="0.35">
      <c r="A2828" s="1">
        <v>2000</v>
      </c>
      <c r="B2828" t="s">
        <v>136</v>
      </c>
      <c r="C2828" t="s">
        <v>137</v>
      </c>
      <c r="D2828">
        <v>292557</v>
      </c>
    </row>
    <row r="2829" spans="1:4" x14ac:dyDescent="0.35">
      <c r="A2829" s="1">
        <v>2000</v>
      </c>
      <c r="B2829" t="s">
        <v>110</v>
      </c>
      <c r="C2829" t="s">
        <v>111</v>
      </c>
      <c r="D2829">
        <v>1443226</v>
      </c>
    </row>
    <row r="2830" spans="1:4" x14ac:dyDescent="0.35">
      <c r="A2830" s="1">
        <v>2000</v>
      </c>
      <c r="B2830" t="s">
        <v>24</v>
      </c>
      <c r="C2830" t="s">
        <v>25</v>
      </c>
      <c r="D2830">
        <v>606467</v>
      </c>
    </row>
    <row r="2831" spans="1:4" x14ac:dyDescent="0.35">
      <c r="A2831" s="1">
        <v>2000</v>
      </c>
      <c r="B2831" t="s">
        <v>156</v>
      </c>
      <c r="C2831" t="s">
        <v>157</v>
      </c>
      <c r="D2831">
        <v>604249</v>
      </c>
    </row>
    <row r="2832" spans="1:4" x14ac:dyDescent="0.35">
      <c r="A2832" s="1">
        <v>2000</v>
      </c>
      <c r="B2832" t="s">
        <v>182</v>
      </c>
      <c r="C2832" t="s">
        <v>183</v>
      </c>
      <c r="D2832">
        <v>223299</v>
      </c>
    </row>
    <row r="2833" spans="1:4" x14ac:dyDescent="0.35">
      <c r="A2833" s="1">
        <v>2000</v>
      </c>
      <c r="B2833" t="s">
        <v>184</v>
      </c>
      <c r="C2833" t="s">
        <v>185</v>
      </c>
      <c r="D2833">
        <v>397082</v>
      </c>
    </row>
    <row r="2834" spans="1:4" x14ac:dyDescent="0.35">
      <c r="A2834" s="1">
        <v>2000</v>
      </c>
      <c r="B2834" t="s">
        <v>98</v>
      </c>
      <c r="C2834" t="s">
        <v>99</v>
      </c>
      <c r="D2834">
        <v>1032498</v>
      </c>
    </row>
    <row r="2835" spans="1:4" x14ac:dyDescent="0.35">
      <c r="A2835" s="1">
        <v>2000</v>
      </c>
      <c r="B2835" t="s">
        <v>100</v>
      </c>
      <c r="C2835" t="s">
        <v>101</v>
      </c>
      <c r="D2835">
        <v>711457</v>
      </c>
    </row>
    <row r="2836" spans="1:4" x14ac:dyDescent="0.35">
      <c r="A2836" s="1">
        <v>2000</v>
      </c>
      <c r="B2836" t="s">
        <v>26</v>
      </c>
      <c r="C2836" t="s">
        <v>27</v>
      </c>
      <c r="D2836">
        <v>1588910</v>
      </c>
    </row>
    <row r="2837" spans="1:4" x14ac:dyDescent="0.35">
      <c r="A2837" s="1">
        <v>2000</v>
      </c>
      <c r="B2837" t="s">
        <v>40</v>
      </c>
      <c r="C2837" t="s">
        <v>41</v>
      </c>
      <c r="D2837">
        <v>230380</v>
      </c>
    </row>
    <row r="2838" spans="1:4" x14ac:dyDescent="0.35">
      <c r="A2838" s="1">
        <v>2000</v>
      </c>
      <c r="B2838" t="s">
        <v>42</v>
      </c>
      <c r="C2838" t="s">
        <v>43</v>
      </c>
      <c r="D2838">
        <v>545723</v>
      </c>
    </row>
    <row r="2839" spans="1:4" x14ac:dyDescent="0.35">
      <c r="A2839" s="1">
        <v>2000</v>
      </c>
      <c r="B2839" t="s">
        <v>196</v>
      </c>
      <c r="C2839" t="s">
        <v>197</v>
      </c>
      <c r="D2839">
        <v>532765</v>
      </c>
    </row>
    <row r="2840" spans="1:4" x14ac:dyDescent="0.35">
      <c r="A2840" s="1">
        <v>2000</v>
      </c>
      <c r="B2840" t="s">
        <v>28</v>
      </c>
      <c r="C2840" t="s">
        <v>29</v>
      </c>
      <c r="D2840">
        <v>376516</v>
      </c>
    </row>
    <row r="2841" spans="1:4" x14ac:dyDescent="0.35">
      <c r="A2841" s="1">
        <v>2000</v>
      </c>
      <c r="B2841" t="s">
        <v>30</v>
      </c>
      <c r="C2841" t="s">
        <v>31</v>
      </c>
      <c r="D2841">
        <v>639184</v>
      </c>
    </row>
    <row r="2842" spans="1:4" x14ac:dyDescent="0.35">
      <c r="A2842" s="1">
        <v>2000</v>
      </c>
      <c r="B2842" t="s">
        <v>114</v>
      </c>
      <c r="C2842" t="s">
        <v>115</v>
      </c>
      <c r="D2842">
        <v>2129731</v>
      </c>
    </row>
    <row r="2843" spans="1:4" x14ac:dyDescent="0.35">
      <c r="A2843" s="1">
        <v>2000</v>
      </c>
      <c r="B2843" t="s">
        <v>138</v>
      </c>
      <c r="C2843" t="s">
        <v>139</v>
      </c>
      <c r="D2843">
        <v>1239940</v>
      </c>
    </row>
    <row r="2844" spans="1:4" x14ac:dyDescent="0.35">
      <c r="A2844" s="1">
        <v>2000</v>
      </c>
      <c r="B2844" t="s">
        <v>116</v>
      </c>
      <c r="C2844" t="s">
        <v>117</v>
      </c>
      <c r="D2844">
        <v>1202569</v>
      </c>
    </row>
    <row r="2845" spans="1:4" x14ac:dyDescent="0.35">
      <c r="A2845" s="1">
        <v>2000</v>
      </c>
      <c r="B2845" t="s">
        <v>118</v>
      </c>
      <c r="C2845" t="s">
        <v>119</v>
      </c>
      <c r="D2845">
        <v>1358816</v>
      </c>
    </row>
    <row r="2846" spans="1:4" x14ac:dyDescent="0.35">
      <c r="A2846" s="1">
        <v>2000</v>
      </c>
      <c r="B2846" t="s">
        <v>158</v>
      </c>
      <c r="C2846" t="s">
        <v>159</v>
      </c>
      <c r="D2846">
        <v>346432</v>
      </c>
    </row>
    <row r="2847" spans="1:4" x14ac:dyDescent="0.35">
      <c r="A2847" s="1">
        <v>2000</v>
      </c>
      <c r="B2847" t="s">
        <v>112</v>
      </c>
      <c r="C2847" t="s">
        <v>113</v>
      </c>
      <c r="D2847">
        <v>556830</v>
      </c>
    </row>
    <row r="2848" spans="1:4" x14ac:dyDescent="0.35">
      <c r="A2848" s="1">
        <v>2000</v>
      </c>
      <c r="B2848" t="s">
        <v>186</v>
      </c>
      <c r="C2848" t="s">
        <v>187</v>
      </c>
      <c r="D2848">
        <v>345859</v>
      </c>
    </row>
    <row r="2849" spans="1:4" x14ac:dyDescent="0.35">
      <c r="A2849" s="1">
        <v>2000</v>
      </c>
      <c r="B2849" t="s">
        <v>188</v>
      </c>
      <c r="C2849" t="s">
        <v>189</v>
      </c>
      <c r="D2849">
        <v>208421</v>
      </c>
    </row>
    <row r="2850" spans="1:4" x14ac:dyDescent="0.35">
      <c r="A2850" s="1">
        <v>2000</v>
      </c>
      <c r="B2850" t="s">
        <v>208</v>
      </c>
      <c r="C2850" t="s">
        <v>209</v>
      </c>
      <c r="D2850">
        <v>908895</v>
      </c>
    </row>
    <row r="2851" spans="1:4" x14ac:dyDescent="0.35">
      <c r="A2851" s="1">
        <v>2000</v>
      </c>
      <c r="B2851" t="s">
        <v>210</v>
      </c>
      <c r="C2851" t="s">
        <v>211</v>
      </c>
      <c r="D2851">
        <v>503783</v>
      </c>
    </row>
    <row r="2852" spans="1:4" x14ac:dyDescent="0.35">
      <c r="A2852" s="1">
        <v>2000</v>
      </c>
      <c r="B2852" t="s">
        <v>198</v>
      </c>
      <c r="C2852" t="s">
        <v>199</v>
      </c>
      <c r="D2852">
        <v>546334</v>
      </c>
    </row>
    <row r="2853" spans="1:4" x14ac:dyDescent="0.35">
      <c r="A2853" s="1">
        <v>2000</v>
      </c>
      <c r="B2853" t="s">
        <v>160</v>
      </c>
      <c r="C2853" t="s">
        <v>161</v>
      </c>
      <c r="D2853">
        <v>401443</v>
      </c>
    </row>
    <row r="2854" spans="1:4" x14ac:dyDescent="0.35">
      <c r="A2854" s="1">
        <v>2000</v>
      </c>
      <c r="B2854" t="s">
        <v>162</v>
      </c>
      <c r="C2854" t="s">
        <v>163</v>
      </c>
      <c r="D2854">
        <v>355315</v>
      </c>
    </row>
    <row r="2855" spans="1:4" x14ac:dyDescent="0.35">
      <c r="A2855" s="1">
        <v>2000</v>
      </c>
      <c r="B2855" t="s">
        <v>102</v>
      </c>
      <c r="C2855" t="s">
        <v>103</v>
      </c>
      <c r="D2855">
        <v>381027</v>
      </c>
    </row>
    <row r="2856" spans="1:4" x14ac:dyDescent="0.35">
      <c r="A2856" s="1">
        <v>2000</v>
      </c>
      <c r="B2856" t="s">
        <v>44</v>
      </c>
      <c r="C2856" t="s">
        <v>45</v>
      </c>
      <c r="D2856">
        <v>334026</v>
      </c>
    </row>
    <row r="2857" spans="1:4" x14ac:dyDescent="0.35">
      <c r="A2857" s="1">
        <v>2000</v>
      </c>
      <c r="B2857" t="s">
        <v>46</v>
      </c>
      <c r="C2857" t="s">
        <v>221</v>
      </c>
      <c r="D2857">
        <v>137898</v>
      </c>
    </row>
    <row r="2858" spans="1:4" x14ac:dyDescent="0.35">
      <c r="A2858" s="1">
        <v>2000</v>
      </c>
      <c r="B2858" t="s">
        <v>120</v>
      </c>
      <c r="C2858" t="s">
        <v>121</v>
      </c>
      <c r="D2858">
        <v>1142331</v>
      </c>
    </row>
    <row r="2859" spans="1:4" x14ac:dyDescent="0.35">
      <c r="A2859" s="1">
        <v>2000</v>
      </c>
      <c r="B2859" t="s">
        <v>122</v>
      </c>
      <c r="C2859" t="s">
        <v>222</v>
      </c>
      <c r="D2859">
        <v>1442087</v>
      </c>
    </row>
    <row r="2860" spans="1:4" x14ac:dyDescent="0.35">
      <c r="A2860" s="1">
        <v>2000</v>
      </c>
      <c r="B2860" t="s">
        <v>124</v>
      </c>
      <c r="C2860" t="s">
        <v>125</v>
      </c>
      <c r="D2860">
        <v>1396942</v>
      </c>
    </row>
    <row r="2861" spans="1:4" x14ac:dyDescent="0.35">
      <c r="A2861" s="1">
        <v>2000</v>
      </c>
      <c r="B2861" t="s">
        <v>126</v>
      </c>
      <c r="C2861" t="s">
        <v>127</v>
      </c>
      <c r="D2861">
        <v>1236443</v>
      </c>
    </row>
    <row r="2862" spans="1:4" x14ac:dyDescent="0.35">
      <c r="A2862" s="1">
        <v>2000</v>
      </c>
      <c r="B2862" t="s">
        <v>128</v>
      </c>
      <c r="C2862" t="s">
        <v>129</v>
      </c>
      <c r="D2862">
        <v>1111072</v>
      </c>
    </row>
    <row r="2863" spans="1:4" x14ac:dyDescent="0.35">
      <c r="A2863" s="1">
        <v>2000</v>
      </c>
      <c r="B2863" t="s">
        <v>257</v>
      </c>
      <c r="D2863">
        <v>58858198</v>
      </c>
    </row>
    <row r="2864" spans="1:4" x14ac:dyDescent="0.35">
      <c r="A2864" s="1">
        <v>2000</v>
      </c>
      <c r="B2864">
        <v>971</v>
      </c>
      <c r="C2864" t="s">
        <v>73</v>
      </c>
      <c r="D2864">
        <v>388045</v>
      </c>
    </row>
    <row r="2865" spans="1:4" x14ac:dyDescent="0.35">
      <c r="A2865" s="1">
        <v>2000</v>
      </c>
      <c r="B2865">
        <v>972</v>
      </c>
      <c r="C2865" t="s">
        <v>75</v>
      </c>
      <c r="D2865">
        <v>383575</v>
      </c>
    </row>
    <row r="2866" spans="1:4" x14ac:dyDescent="0.35">
      <c r="A2866" s="1">
        <v>2000</v>
      </c>
      <c r="B2866">
        <v>973</v>
      </c>
      <c r="C2866" t="s">
        <v>77</v>
      </c>
      <c r="D2866">
        <v>162018</v>
      </c>
    </row>
    <row r="2867" spans="1:4" x14ac:dyDescent="0.35">
      <c r="A2867" s="1">
        <v>2000</v>
      </c>
      <c r="B2867">
        <v>974</v>
      </c>
      <c r="C2867" t="s">
        <v>79</v>
      </c>
      <c r="D2867">
        <v>716314</v>
      </c>
    </row>
    <row r="2868" spans="1:4" x14ac:dyDescent="0.35">
      <c r="A2868" s="1">
        <v>2000</v>
      </c>
      <c r="B2868" t="s">
        <v>226</v>
      </c>
      <c r="D2868">
        <v>1649952</v>
      </c>
    </row>
    <row r="2869" spans="1:4" x14ac:dyDescent="0.35">
      <c r="A2869" s="1">
        <v>2000</v>
      </c>
      <c r="B2869" t="s">
        <v>227</v>
      </c>
      <c r="D2869">
        <v>60508150</v>
      </c>
    </row>
    <row r="2870" spans="1:4" x14ac:dyDescent="0.35">
      <c r="A2870" s="1">
        <v>2000</v>
      </c>
    </row>
    <row r="2871" spans="1:4" x14ac:dyDescent="0.35">
      <c r="A2871" s="1">
        <v>2000</v>
      </c>
      <c r="B2871" t="s">
        <v>240</v>
      </c>
    </row>
    <row r="2872" spans="1:4" x14ac:dyDescent="0.35">
      <c r="A2872" s="1">
        <v>1999</v>
      </c>
      <c r="B2872" t="s">
        <v>251</v>
      </c>
    </row>
    <row r="2873" spans="1:4" x14ac:dyDescent="0.35">
      <c r="A2873" s="1">
        <v>1999</v>
      </c>
      <c r="B2873" t="s">
        <v>265</v>
      </c>
    </row>
    <row r="2874" spans="1:4" x14ac:dyDescent="0.35">
      <c r="A2874" s="1">
        <v>1999</v>
      </c>
    </row>
    <row r="2875" spans="1:4" x14ac:dyDescent="0.35">
      <c r="A2875" s="1">
        <v>1999</v>
      </c>
      <c r="B2875" t="s">
        <v>231</v>
      </c>
    </row>
    <row r="2876" spans="1:4" x14ac:dyDescent="0.35">
      <c r="A2876" s="1">
        <v>1999</v>
      </c>
      <c r="D2876" t="s">
        <v>232</v>
      </c>
    </row>
    <row r="2877" spans="1:4" x14ac:dyDescent="0.35">
      <c r="A2877" s="1">
        <v>1999</v>
      </c>
      <c r="B2877" t="s">
        <v>5</v>
      </c>
      <c r="C2877" t="s">
        <v>6</v>
      </c>
      <c r="D2877">
        <v>514331</v>
      </c>
    </row>
    <row r="2878" spans="1:4" x14ac:dyDescent="0.35">
      <c r="A2878" s="1">
        <v>1999</v>
      </c>
      <c r="B2878" t="s">
        <v>104</v>
      </c>
      <c r="C2878" t="s">
        <v>105</v>
      </c>
      <c r="D2878">
        <v>536181</v>
      </c>
    </row>
    <row r="2879" spans="1:4" x14ac:dyDescent="0.35">
      <c r="A2879" s="1">
        <v>1999</v>
      </c>
      <c r="B2879" t="s">
        <v>10</v>
      </c>
      <c r="C2879" t="s">
        <v>11</v>
      </c>
      <c r="D2879">
        <v>345072</v>
      </c>
    </row>
    <row r="2880" spans="1:4" x14ac:dyDescent="0.35">
      <c r="A2880" s="1">
        <v>1999</v>
      </c>
      <c r="B2880" t="s">
        <v>200</v>
      </c>
      <c r="C2880" t="s">
        <v>201</v>
      </c>
      <c r="D2880">
        <v>139515</v>
      </c>
    </row>
    <row r="2881" spans="1:4" x14ac:dyDescent="0.35">
      <c r="A2881" s="1">
        <v>1999</v>
      </c>
      <c r="B2881" t="s">
        <v>202</v>
      </c>
      <c r="C2881" t="s">
        <v>203</v>
      </c>
      <c r="D2881">
        <v>121338</v>
      </c>
    </row>
    <row r="2882" spans="1:4" x14ac:dyDescent="0.35">
      <c r="A2882" s="1">
        <v>1999</v>
      </c>
      <c r="B2882" t="s">
        <v>204</v>
      </c>
      <c r="C2882" t="s">
        <v>205</v>
      </c>
      <c r="D2882">
        <v>1010644</v>
      </c>
    </row>
    <row r="2883" spans="1:4" x14ac:dyDescent="0.35">
      <c r="A2883" s="1">
        <v>1999</v>
      </c>
      <c r="B2883" t="s">
        <v>12</v>
      </c>
      <c r="C2883" t="s">
        <v>13</v>
      </c>
      <c r="D2883">
        <v>285889</v>
      </c>
    </row>
    <row r="2884" spans="1:4" x14ac:dyDescent="0.35">
      <c r="A2884" s="1">
        <v>1999</v>
      </c>
      <c r="B2884" t="s">
        <v>84</v>
      </c>
      <c r="C2884" t="s">
        <v>85</v>
      </c>
      <c r="D2884">
        <v>290452</v>
      </c>
    </row>
    <row r="2885" spans="1:4" x14ac:dyDescent="0.35">
      <c r="A2885" s="1">
        <v>1999</v>
      </c>
      <c r="B2885" t="s">
        <v>164</v>
      </c>
      <c r="C2885" t="s">
        <v>165</v>
      </c>
      <c r="D2885">
        <v>137201</v>
      </c>
    </row>
    <row r="2886" spans="1:4" x14ac:dyDescent="0.35">
      <c r="A2886" s="1">
        <v>1999</v>
      </c>
      <c r="B2886" t="s">
        <v>86</v>
      </c>
      <c r="C2886" t="s">
        <v>87</v>
      </c>
      <c r="D2886">
        <v>292317</v>
      </c>
    </row>
    <row r="2887" spans="1:4" x14ac:dyDescent="0.35">
      <c r="A2887" s="1">
        <v>1999</v>
      </c>
      <c r="B2887" t="s">
        <v>166</v>
      </c>
      <c r="C2887" t="s">
        <v>167</v>
      </c>
      <c r="D2887">
        <v>309463</v>
      </c>
    </row>
    <row r="2888" spans="1:4" x14ac:dyDescent="0.35">
      <c r="A2888" s="1">
        <v>1999</v>
      </c>
      <c r="B2888" t="s">
        <v>168</v>
      </c>
      <c r="C2888" t="s">
        <v>169</v>
      </c>
      <c r="D2888">
        <v>264048</v>
      </c>
    </row>
    <row r="2889" spans="1:4" x14ac:dyDescent="0.35">
      <c r="A2889" s="1">
        <v>1999</v>
      </c>
      <c r="B2889" t="s">
        <v>206</v>
      </c>
      <c r="C2889" t="s">
        <v>207</v>
      </c>
      <c r="D2889">
        <v>1833982</v>
      </c>
    </row>
    <row r="2890" spans="1:4" x14ac:dyDescent="0.35">
      <c r="A2890" s="1">
        <v>1999</v>
      </c>
      <c r="B2890" t="s">
        <v>130</v>
      </c>
      <c r="C2890" t="s">
        <v>131</v>
      </c>
      <c r="D2890">
        <v>647951</v>
      </c>
    </row>
    <row r="2891" spans="1:4" x14ac:dyDescent="0.35">
      <c r="A2891" s="1">
        <v>1999</v>
      </c>
      <c r="B2891" t="s">
        <v>14</v>
      </c>
      <c r="C2891" t="s">
        <v>15</v>
      </c>
      <c r="D2891">
        <v>150977</v>
      </c>
    </row>
    <row r="2892" spans="1:4" x14ac:dyDescent="0.35">
      <c r="A2892" s="1">
        <v>1999</v>
      </c>
      <c r="B2892" t="s">
        <v>140</v>
      </c>
      <c r="C2892" t="s">
        <v>141</v>
      </c>
      <c r="D2892">
        <v>339828</v>
      </c>
    </row>
    <row r="2893" spans="1:4" x14ac:dyDescent="0.35">
      <c r="A2893" s="1">
        <v>1999</v>
      </c>
      <c r="B2893" t="s">
        <v>142</v>
      </c>
      <c r="C2893" t="s">
        <v>143</v>
      </c>
      <c r="D2893">
        <v>556419</v>
      </c>
    </row>
    <row r="2894" spans="1:4" x14ac:dyDescent="0.35">
      <c r="A2894" s="1">
        <v>1999</v>
      </c>
      <c r="B2894" t="s">
        <v>56</v>
      </c>
      <c r="C2894" t="s">
        <v>57</v>
      </c>
      <c r="D2894">
        <v>314603</v>
      </c>
    </row>
    <row r="2895" spans="1:4" x14ac:dyDescent="0.35">
      <c r="A2895" s="1">
        <v>1999</v>
      </c>
      <c r="B2895" t="s">
        <v>144</v>
      </c>
      <c r="C2895" t="s">
        <v>145</v>
      </c>
      <c r="D2895">
        <v>232819</v>
      </c>
    </row>
    <row r="2896" spans="1:4" x14ac:dyDescent="0.35">
      <c r="A2896" s="1">
        <v>1999</v>
      </c>
      <c r="B2896" t="s">
        <v>68</v>
      </c>
      <c r="C2896" t="s">
        <v>69</v>
      </c>
      <c r="D2896">
        <v>118466</v>
      </c>
    </row>
    <row r="2897" spans="1:4" x14ac:dyDescent="0.35">
      <c r="A2897" s="1">
        <v>1999</v>
      </c>
      <c r="B2897" t="s">
        <v>70</v>
      </c>
      <c r="C2897" t="s">
        <v>71</v>
      </c>
      <c r="D2897">
        <v>141686</v>
      </c>
    </row>
    <row r="2898" spans="1:4" x14ac:dyDescent="0.35">
      <c r="A2898" s="1">
        <v>1999</v>
      </c>
      <c r="B2898" t="s">
        <v>32</v>
      </c>
      <c r="C2898" t="s">
        <v>219</v>
      </c>
      <c r="D2898">
        <v>506699</v>
      </c>
    </row>
    <row r="2899" spans="1:4" x14ac:dyDescent="0.35">
      <c r="A2899" s="1">
        <v>1999</v>
      </c>
      <c r="B2899" t="s">
        <v>48</v>
      </c>
      <c r="C2899" t="s">
        <v>220</v>
      </c>
      <c r="D2899">
        <v>542398</v>
      </c>
    </row>
    <row r="2900" spans="1:4" x14ac:dyDescent="0.35">
      <c r="A2900" s="1">
        <v>1999</v>
      </c>
      <c r="B2900" t="s">
        <v>146</v>
      </c>
      <c r="C2900" t="s">
        <v>147</v>
      </c>
      <c r="D2900">
        <v>124597</v>
      </c>
    </row>
    <row r="2901" spans="1:4" x14ac:dyDescent="0.35">
      <c r="A2901" s="1">
        <v>1999</v>
      </c>
      <c r="B2901" t="s">
        <v>148</v>
      </c>
      <c r="C2901" t="s">
        <v>149</v>
      </c>
      <c r="D2901">
        <v>388407</v>
      </c>
    </row>
    <row r="2902" spans="1:4" x14ac:dyDescent="0.35">
      <c r="A2902" s="1">
        <v>1999</v>
      </c>
      <c r="B2902" t="s">
        <v>34</v>
      </c>
      <c r="C2902" t="s">
        <v>35</v>
      </c>
      <c r="D2902">
        <v>499223</v>
      </c>
    </row>
    <row r="2903" spans="1:4" x14ac:dyDescent="0.35">
      <c r="A2903" s="1">
        <v>1999</v>
      </c>
      <c r="B2903" t="s">
        <v>16</v>
      </c>
      <c r="C2903" t="s">
        <v>17</v>
      </c>
      <c r="D2903">
        <v>437654</v>
      </c>
    </row>
    <row r="2904" spans="1:4" x14ac:dyDescent="0.35">
      <c r="A2904" s="1">
        <v>1999</v>
      </c>
      <c r="B2904" t="s">
        <v>132</v>
      </c>
      <c r="C2904" t="s">
        <v>133</v>
      </c>
      <c r="D2904">
        <v>540918</v>
      </c>
    </row>
    <row r="2905" spans="1:4" x14ac:dyDescent="0.35">
      <c r="A2905" s="1">
        <v>1999</v>
      </c>
      <c r="B2905" t="s">
        <v>58</v>
      </c>
      <c r="C2905" t="s">
        <v>59</v>
      </c>
      <c r="D2905">
        <v>407707</v>
      </c>
    </row>
    <row r="2906" spans="1:4" x14ac:dyDescent="0.35">
      <c r="A2906" s="1">
        <v>1999</v>
      </c>
      <c r="B2906" t="s">
        <v>50</v>
      </c>
      <c r="C2906" t="s">
        <v>51</v>
      </c>
      <c r="D2906">
        <v>852273</v>
      </c>
    </row>
    <row r="2907" spans="1:4" x14ac:dyDescent="0.35">
      <c r="A2907" s="1">
        <v>1999</v>
      </c>
      <c r="B2907" t="s">
        <v>170</v>
      </c>
      <c r="C2907" t="s">
        <v>171</v>
      </c>
      <c r="D2907">
        <v>622509</v>
      </c>
    </row>
    <row r="2908" spans="1:4" x14ac:dyDescent="0.35">
      <c r="A2908" s="1">
        <v>1999</v>
      </c>
      <c r="B2908" t="s">
        <v>172</v>
      </c>
      <c r="C2908" t="s">
        <v>173</v>
      </c>
      <c r="D2908">
        <v>1044208</v>
      </c>
    </row>
    <row r="2909" spans="1:4" x14ac:dyDescent="0.35">
      <c r="A2909" s="1">
        <v>1999</v>
      </c>
      <c r="B2909" t="s">
        <v>174</v>
      </c>
      <c r="C2909" t="s">
        <v>175</v>
      </c>
      <c r="D2909">
        <v>172484</v>
      </c>
    </row>
    <row r="2910" spans="1:4" x14ac:dyDescent="0.35">
      <c r="A2910" s="1">
        <v>1999</v>
      </c>
      <c r="B2910" t="s">
        <v>150</v>
      </c>
      <c r="C2910" t="s">
        <v>151</v>
      </c>
      <c r="D2910">
        <v>1286072</v>
      </c>
    </row>
    <row r="2911" spans="1:4" x14ac:dyDescent="0.35">
      <c r="A2911" s="1">
        <v>1999</v>
      </c>
      <c r="B2911" t="s">
        <v>176</v>
      </c>
      <c r="C2911" t="s">
        <v>177</v>
      </c>
      <c r="D2911">
        <v>894537</v>
      </c>
    </row>
    <row r="2912" spans="1:4" x14ac:dyDescent="0.35">
      <c r="A2912" s="1">
        <v>1999</v>
      </c>
      <c r="B2912" t="s">
        <v>52</v>
      </c>
      <c r="C2912" t="s">
        <v>53</v>
      </c>
      <c r="D2912">
        <v>866111</v>
      </c>
    </row>
    <row r="2913" spans="1:4" x14ac:dyDescent="0.35">
      <c r="A2913" s="1">
        <v>1999</v>
      </c>
      <c r="B2913" t="s">
        <v>60</v>
      </c>
      <c r="C2913" t="s">
        <v>61</v>
      </c>
      <c r="D2913">
        <v>231365</v>
      </c>
    </row>
    <row r="2914" spans="1:4" x14ac:dyDescent="0.35">
      <c r="A2914" s="1">
        <v>1999</v>
      </c>
      <c r="B2914" t="s">
        <v>62</v>
      </c>
      <c r="C2914" t="s">
        <v>63</v>
      </c>
      <c r="D2914">
        <v>553690</v>
      </c>
    </row>
    <row r="2915" spans="1:4" x14ac:dyDescent="0.35">
      <c r="A2915" s="1">
        <v>1999</v>
      </c>
      <c r="B2915" t="s">
        <v>18</v>
      </c>
      <c r="C2915" t="s">
        <v>19</v>
      </c>
      <c r="D2915">
        <v>1092778</v>
      </c>
    </row>
    <row r="2916" spans="1:4" x14ac:dyDescent="0.35">
      <c r="A2916" s="1">
        <v>1999</v>
      </c>
      <c r="B2916" t="s">
        <v>36</v>
      </c>
      <c r="C2916" t="s">
        <v>37</v>
      </c>
      <c r="D2916">
        <v>250905</v>
      </c>
    </row>
    <row r="2917" spans="1:4" x14ac:dyDescent="0.35">
      <c r="A2917" s="1">
        <v>1999</v>
      </c>
      <c r="B2917" t="s">
        <v>152</v>
      </c>
      <c r="C2917" t="s">
        <v>153</v>
      </c>
      <c r="D2917">
        <v>327240</v>
      </c>
    </row>
    <row r="2918" spans="1:4" x14ac:dyDescent="0.35">
      <c r="A2918" s="1">
        <v>1999</v>
      </c>
      <c r="B2918" t="s">
        <v>64</v>
      </c>
      <c r="C2918" t="s">
        <v>65</v>
      </c>
      <c r="D2918">
        <v>314995</v>
      </c>
    </row>
    <row r="2919" spans="1:4" x14ac:dyDescent="0.35">
      <c r="A2919" s="1">
        <v>1999</v>
      </c>
      <c r="B2919" t="s">
        <v>20</v>
      </c>
      <c r="C2919" t="s">
        <v>21</v>
      </c>
      <c r="D2919">
        <v>729081</v>
      </c>
    </row>
    <row r="2920" spans="1:4" x14ac:dyDescent="0.35">
      <c r="A2920" s="1">
        <v>1999</v>
      </c>
      <c r="B2920" t="s">
        <v>22</v>
      </c>
      <c r="C2920" t="s">
        <v>23</v>
      </c>
      <c r="D2920">
        <v>209086</v>
      </c>
    </row>
    <row r="2921" spans="1:4" x14ac:dyDescent="0.35">
      <c r="A2921" s="1">
        <v>1999</v>
      </c>
      <c r="B2921" t="s">
        <v>190</v>
      </c>
      <c r="C2921" t="s">
        <v>191</v>
      </c>
      <c r="D2921">
        <v>1133247</v>
      </c>
    </row>
    <row r="2922" spans="1:4" x14ac:dyDescent="0.35">
      <c r="A2922" s="1">
        <v>1999</v>
      </c>
      <c r="B2922" t="s">
        <v>66</v>
      </c>
      <c r="C2922" t="s">
        <v>67</v>
      </c>
      <c r="D2922">
        <v>617935</v>
      </c>
    </row>
    <row r="2923" spans="1:4" x14ac:dyDescent="0.35">
      <c r="A2923" s="1">
        <v>1999</v>
      </c>
      <c r="B2923" t="s">
        <v>178</v>
      </c>
      <c r="C2923" t="s">
        <v>179</v>
      </c>
      <c r="D2923">
        <v>160230</v>
      </c>
    </row>
    <row r="2924" spans="1:4" x14ac:dyDescent="0.35">
      <c r="A2924" s="1">
        <v>1999</v>
      </c>
      <c r="B2924" t="s">
        <v>154</v>
      </c>
      <c r="C2924" t="s">
        <v>155</v>
      </c>
      <c r="D2924">
        <v>305482</v>
      </c>
    </row>
    <row r="2925" spans="1:4" x14ac:dyDescent="0.35">
      <c r="A2925" s="1">
        <v>1999</v>
      </c>
      <c r="B2925" t="s">
        <v>180</v>
      </c>
      <c r="C2925" t="s">
        <v>181</v>
      </c>
      <c r="D2925">
        <v>73513</v>
      </c>
    </row>
    <row r="2926" spans="1:4" x14ac:dyDescent="0.35">
      <c r="A2926" s="1">
        <v>1999</v>
      </c>
      <c r="B2926" t="s">
        <v>192</v>
      </c>
      <c r="C2926" t="s">
        <v>193</v>
      </c>
      <c r="D2926">
        <v>732624</v>
      </c>
    </row>
    <row r="2927" spans="1:4" x14ac:dyDescent="0.35">
      <c r="A2927" s="1">
        <v>1999</v>
      </c>
      <c r="B2927" t="s">
        <v>134</v>
      </c>
      <c r="C2927" t="s">
        <v>135</v>
      </c>
      <c r="D2927">
        <v>481466</v>
      </c>
    </row>
    <row r="2928" spans="1:4" x14ac:dyDescent="0.35">
      <c r="A2928" s="1">
        <v>1999</v>
      </c>
      <c r="B2928" t="s">
        <v>88</v>
      </c>
      <c r="C2928" t="s">
        <v>89</v>
      </c>
      <c r="D2928">
        <v>565366</v>
      </c>
    </row>
    <row r="2929" spans="1:4" x14ac:dyDescent="0.35">
      <c r="A2929" s="1">
        <v>1999</v>
      </c>
      <c r="B2929" t="s">
        <v>90</v>
      </c>
      <c r="C2929" t="s">
        <v>91</v>
      </c>
      <c r="D2929">
        <v>195131</v>
      </c>
    </row>
    <row r="2930" spans="1:4" x14ac:dyDescent="0.35">
      <c r="A2930" s="1">
        <v>1999</v>
      </c>
      <c r="B2930" t="s">
        <v>194</v>
      </c>
      <c r="C2930" t="s">
        <v>195</v>
      </c>
      <c r="D2930">
        <v>285218</v>
      </c>
    </row>
    <row r="2931" spans="1:4" x14ac:dyDescent="0.35">
      <c r="A2931" s="1">
        <v>1999</v>
      </c>
      <c r="B2931" t="s">
        <v>92</v>
      </c>
      <c r="C2931" t="s">
        <v>93</v>
      </c>
      <c r="D2931">
        <v>714295</v>
      </c>
    </row>
    <row r="2932" spans="1:4" x14ac:dyDescent="0.35">
      <c r="A2932" s="1">
        <v>1999</v>
      </c>
      <c r="B2932" t="s">
        <v>94</v>
      </c>
      <c r="C2932" t="s">
        <v>95</v>
      </c>
      <c r="D2932">
        <v>192443</v>
      </c>
    </row>
    <row r="2933" spans="1:4" x14ac:dyDescent="0.35">
      <c r="A2933" s="1">
        <v>1999</v>
      </c>
      <c r="B2933" t="s">
        <v>54</v>
      </c>
      <c r="C2933" t="s">
        <v>55</v>
      </c>
      <c r="D2933">
        <v>643293</v>
      </c>
    </row>
    <row r="2934" spans="1:4" x14ac:dyDescent="0.35">
      <c r="A2934" s="1">
        <v>1999</v>
      </c>
      <c r="B2934" t="s">
        <v>96</v>
      </c>
      <c r="C2934" t="s">
        <v>97</v>
      </c>
      <c r="D2934">
        <v>1023763</v>
      </c>
    </row>
    <row r="2935" spans="1:4" x14ac:dyDescent="0.35">
      <c r="A2935" s="1">
        <v>1999</v>
      </c>
      <c r="B2935" t="s">
        <v>38</v>
      </c>
      <c r="C2935" t="s">
        <v>39</v>
      </c>
      <c r="D2935">
        <v>225485</v>
      </c>
    </row>
    <row r="2936" spans="1:4" x14ac:dyDescent="0.35">
      <c r="A2936" s="1">
        <v>1999</v>
      </c>
      <c r="B2936" t="s">
        <v>106</v>
      </c>
      <c r="C2936" t="s">
        <v>107</v>
      </c>
      <c r="D2936">
        <v>2555471</v>
      </c>
    </row>
    <row r="2937" spans="1:4" x14ac:dyDescent="0.35">
      <c r="A2937" s="1">
        <v>1999</v>
      </c>
      <c r="B2937" t="s">
        <v>108</v>
      </c>
      <c r="C2937" t="s">
        <v>109</v>
      </c>
      <c r="D2937">
        <v>766253</v>
      </c>
    </row>
    <row r="2938" spans="1:4" x14ac:dyDescent="0.35">
      <c r="A2938" s="1">
        <v>1999</v>
      </c>
      <c r="B2938" t="s">
        <v>136</v>
      </c>
      <c r="C2938" t="s">
        <v>137</v>
      </c>
      <c r="D2938">
        <v>292530</v>
      </c>
    </row>
    <row r="2939" spans="1:4" x14ac:dyDescent="0.35">
      <c r="A2939" s="1">
        <v>1999</v>
      </c>
      <c r="B2939" t="s">
        <v>110</v>
      </c>
      <c r="C2939" t="s">
        <v>111</v>
      </c>
      <c r="D2939">
        <v>1441996</v>
      </c>
    </row>
    <row r="2940" spans="1:4" x14ac:dyDescent="0.35">
      <c r="A2940" s="1">
        <v>1999</v>
      </c>
      <c r="B2940" t="s">
        <v>24</v>
      </c>
      <c r="C2940" t="s">
        <v>25</v>
      </c>
      <c r="D2940">
        <v>604239</v>
      </c>
    </row>
    <row r="2941" spans="1:4" x14ac:dyDescent="0.35">
      <c r="A2941" s="1">
        <v>1999</v>
      </c>
      <c r="B2941" t="s">
        <v>156</v>
      </c>
      <c r="C2941" t="s">
        <v>157</v>
      </c>
      <c r="D2941">
        <v>599547</v>
      </c>
    </row>
    <row r="2942" spans="1:4" x14ac:dyDescent="0.35">
      <c r="A2942" s="1">
        <v>1999</v>
      </c>
      <c r="B2942" t="s">
        <v>182</v>
      </c>
      <c r="C2942" t="s">
        <v>183</v>
      </c>
      <c r="D2942">
        <v>222631</v>
      </c>
    </row>
    <row r="2943" spans="1:4" x14ac:dyDescent="0.35">
      <c r="A2943" s="1">
        <v>1999</v>
      </c>
      <c r="B2943" t="s">
        <v>184</v>
      </c>
      <c r="C2943" t="s">
        <v>185</v>
      </c>
      <c r="D2943">
        <v>392383</v>
      </c>
    </row>
    <row r="2944" spans="1:4" x14ac:dyDescent="0.35">
      <c r="A2944" s="1">
        <v>1999</v>
      </c>
      <c r="B2944" t="s">
        <v>98</v>
      </c>
      <c r="C2944" t="s">
        <v>99</v>
      </c>
      <c r="D2944">
        <v>1025033</v>
      </c>
    </row>
    <row r="2945" spans="1:4" x14ac:dyDescent="0.35">
      <c r="A2945" s="1">
        <v>1999</v>
      </c>
      <c r="B2945" t="s">
        <v>100</v>
      </c>
      <c r="C2945" t="s">
        <v>101</v>
      </c>
      <c r="D2945">
        <v>707555</v>
      </c>
    </row>
    <row r="2946" spans="1:4" x14ac:dyDescent="0.35">
      <c r="A2946" s="1">
        <v>1999</v>
      </c>
      <c r="B2946" t="s">
        <v>26</v>
      </c>
      <c r="C2946" t="s">
        <v>27</v>
      </c>
      <c r="D2946">
        <v>1577095</v>
      </c>
    </row>
    <row r="2947" spans="1:4" x14ac:dyDescent="0.35">
      <c r="A2947" s="1">
        <v>1999</v>
      </c>
      <c r="B2947" t="s">
        <v>40</v>
      </c>
      <c r="C2947" t="s">
        <v>41</v>
      </c>
      <c r="D2947">
        <v>229728</v>
      </c>
    </row>
    <row r="2948" spans="1:4" x14ac:dyDescent="0.35">
      <c r="A2948" s="1">
        <v>1999</v>
      </c>
      <c r="B2948" t="s">
        <v>42</v>
      </c>
      <c r="C2948" t="s">
        <v>43</v>
      </c>
      <c r="D2948">
        <v>545443</v>
      </c>
    </row>
    <row r="2949" spans="1:4" x14ac:dyDescent="0.35">
      <c r="A2949" s="1">
        <v>1999</v>
      </c>
      <c r="B2949" t="s">
        <v>196</v>
      </c>
      <c r="C2949" t="s">
        <v>197</v>
      </c>
      <c r="D2949">
        <v>529782</v>
      </c>
    </row>
    <row r="2950" spans="1:4" x14ac:dyDescent="0.35">
      <c r="A2950" s="1">
        <v>1999</v>
      </c>
      <c r="B2950" t="s">
        <v>28</v>
      </c>
      <c r="C2950" t="s">
        <v>29</v>
      </c>
      <c r="D2950">
        <v>372752</v>
      </c>
    </row>
    <row r="2951" spans="1:4" x14ac:dyDescent="0.35">
      <c r="A2951" s="1">
        <v>1999</v>
      </c>
      <c r="B2951" t="s">
        <v>30</v>
      </c>
      <c r="C2951" t="s">
        <v>31</v>
      </c>
      <c r="D2951">
        <v>630654</v>
      </c>
    </row>
    <row r="2952" spans="1:4" x14ac:dyDescent="0.35">
      <c r="A2952" s="1">
        <v>1999</v>
      </c>
      <c r="B2952" t="s">
        <v>114</v>
      </c>
      <c r="C2952" t="s">
        <v>115</v>
      </c>
      <c r="D2952">
        <v>2123686</v>
      </c>
    </row>
    <row r="2953" spans="1:4" x14ac:dyDescent="0.35">
      <c r="A2953" s="1">
        <v>1999</v>
      </c>
      <c r="B2953" t="s">
        <v>138</v>
      </c>
      <c r="C2953" t="s">
        <v>139</v>
      </c>
      <c r="D2953">
        <v>1239584</v>
      </c>
    </row>
    <row r="2954" spans="1:4" x14ac:dyDescent="0.35">
      <c r="A2954" s="1">
        <v>1999</v>
      </c>
      <c r="B2954" t="s">
        <v>116</v>
      </c>
      <c r="C2954" t="s">
        <v>117</v>
      </c>
      <c r="D2954">
        <v>1191775</v>
      </c>
    </row>
    <row r="2955" spans="1:4" x14ac:dyDescent="0.35">
      <c r="A2955" s="1">
        <v>1999</v>
      </c>
      <c r="B2955" t="s">
        <v>118</v>
      </c>
      <c r="C2955" t="s">
        <v>119</v>
      </c>
      <c r="D2955">
        <v>1353945</v>
      </c>
    </row>
    <row r="2956" spans="1:4" x14ac:dyDescent="0.35">
      <c r="A2956" s="1">
        <v>1999</v>
      </c>
      <c r="B2956" t="s">
        <v>158</v>
      </c>
      <c r="C2956" t="s">
        <v>159</v>
      </c>
      <c r="D2956">
        <v>344486</v>
      </c>
    </row>
    <row r="2957" spans="1:4" x14ac:dyDescent="0.35">
      <c r="A2957" s="1">
        <v>1999</v>
      </c>
      <c r="B2957" t="s">
        <v>112</v>
      </c>
      <c r="C2957" t="s">
        <v>113</v>
      </c>
      <c r="D2957">
        <v>555547</v>
      </c>
    </row>
    <row r="2958" spans="1:4" x14ac:dyDescent="0.35">
      <c r="A2958" s="1">
        <v>1999</v>
      </c>
      <c r="B2958" t="s">
        <v>186</v>
      </c>
      <c r="C2958" t="s">
        <v>187</v>
      </c>
      <c r="D2958">
        <v>343444</v>
      </c>
    </row>
    <row r="2959" spans="1:4" x14ac:dyDescent="0.35">
      <c r="A2959" s="1">
        <v>1999</v>
      </c>
      <c r="B2959" t="s">
        <v>188</v>
      </c>
      <c r="C2959" t="s">
        <v>189</v>
      </c>
      <c r="D2959">
        <v>206029</v>
      </c>
    </row>
    <row r="2960" spans="1:4" x14ac:dyDescent="0.35">
      <c r="A2960" s="1">
        <v>1999</v>
      </c>
      <c r="B2960" t="s">
        <v>208</v>
      </c>
      <c r="C2960" t="s">
        <v>209</v>
      </c>
      <c r="D2960">
        <v>897585</v>
      </c>
    </row>
    <row r="2961" spans="1:4" x14ac:dyDescent="0.35">
      <c r="A2961" s="1">
        <v>1999</v>
      </c>
      <c r="B2961" t="s">
        <v>210</v>
      </c>
      <c r="C2961" t="s">
        <v>211</v>
      </c>
      <c r="D2961">
        <v>499321</v>
      </c>
    </row>
    <row r="2962" spans="1:4" x14ac:dyDescent="0.35">
      <c r="A2962" s="1">
        <v>1999</v>
      </c>
      <c r="B2962" t="s">
        <v>198</v>
      </c>
      <c r="C2962" t="s">
        <v>199</v>
      </c>
      <c r="D2962">
        <v>539089</v>
      </c>
    </row>
    <row r="2963" spans="1:4" x14ac:dyDescent="0.35">
      <c r="A2963" s="1">
        <v>1999</v>
      </c>
      <c r="B2963" t="s">
        <v>160</v>
      </c>
      <c r="C2963" t="s">
        <v>161</v>
      </c>
      <c r="D2963">
        <v>399002</v>
      </c>
    </row>
    <row r="2964" spans="1:4" x14ac:dyDescent="0.35">
      <c r="A2964" s="1">
        <v>1999</v>
      </c>
      <c r="B2964" t="s">
        <v>162</v>
      </c>
      <c r="C2964" t="s">
        <v>163</v>
      </c>
      <c r="D2964">
        <v>354055</v>
      </c>
    </row>
    <row r="2965" spans="1:4" x14ac:dyDescent="0.35">
      <c r="A2965" s="1">
        <v>1999</v>
      </c>
      <c r="B2965" t="s">
        <v>102</v>
      </c>
      <c r="C2965" t="s">
        <v>103</v>
      </c>
      <c r="D2965">
        <v>381154</v>
      </c>
    </row>
    <row r="2966" spans="1:4" x14ac:dyDescent="0.35">
      <c r="A2966" s="1">
        <v>1999</v>
      </c>
      <c r="B2966" t="s">
        <v>44</v>
      </c>
      <c r="C2966" t="s">
        <v>45</v>
      </c>
      <c r="D2966">
        <v>333206</v>
      </c>
    </row>
    <row r="2967" spans="1:4" x14ac:dyDescent="0.35">
      <c r="A2967" s="1">
        <v>1999</v>
      </c>
      <c r="B2967" t="s">
        <v>46</v>
      </c>
      <c r="C2967" t="s">
        <v>221</v>
      </c>
      <c r="D2967">
        <v>137397</v>
      </c>
    </row>
    <row r="2968" spans="1:4" x14ac:dyDescent="0.35">
      <c r="A2968" s="1">
        <v>1999</v>
      </c>
      <c r="B2968" t="s">
        <v>120</v>
      </c>
      <c r="C2968" t="s">
        <v>121</v>
      </c>
      <c r="D2968">
        <v>1133836</v>
      </c>
    </row>
    <row r="2969" spans="1:4" x14ac:dyDescent="0.35">
      <c r="A2969" s="1">
        <v>1999</v>
      </c>
      <c r="B2969" t="s">
        <v>122</v>
      </c>
      <c r="C2969" t="s">
        <v>222</v>
      </c>
      <c r="D2969">
        <v>1427888</v>
      </c>
    </row>
    <row r="2970" spans="1:4" x14ac:dyDescent="0.35">
      <c r="A2970" s="1">
        <v>1999</v>
      </c>
      <c r="B2970" t="s">
        <v>124</v>
      </c>
      <c r="C2970" t="s">
        <v>125</v>
      </c>
      <c r="D2970">
        <v>1383319</v>
      </c>
    </row>
    <row r="2971" spans="1:4" x14ac:dyDescent="0.35">
      <c r="A2971" s="1">
        <v>1999</v>
      </c>
      <c r="B2971" t="s">
        <v>126</v>
      </c>
      <c r="C2971" t="s">
        <v>127</v>
      </c>
      <c r="D2971">
        <v>1227030</v>
      </c>
    </row>
    <row r="2972" spans="1:4" x14ac:dyDescent="0.35">
      <c r="A2972" s="1">
        <v>1999</v>
      </c>
      <c r="B2972" t="s">
        <v>128</v>
      </c>
      <c r="C2972" t="s">
        <v>129</v>
      </c>
      <c r="D2972">
        <v>1104533</v>
      </c>
    </row>
    <row r="2973" spans="1:4" x14ac:dyDescent="0.35">
      <c r="A2973" s="1">
        <v>1999</v>
      </c>
      <c r="B2973" t="s">
        <v>257</v>
      </c>
      <c r="D2973">
        <v>58496613</v>
      </c>
    </row>
    <row r="2974" spans="1:4" x14ac:dyDescent="0.35">
      <c r="A2974" s="1">
        <v>1999</v>
      </c>
      <c r="B2974">
        <v>971</v>
      </c>
      <c r="C2974" t="s">
        <v>73</v>
      </c>
      <c r="D2974">
        <v>385609</v>
      </c>
    </row>
    <row r="2975" spans="1:4" x14ac:dyDescent="0.35">
      <c r="A2975" s="1">
        <v>1999</v>
      </c>
      <c r="B2975">
        <v>972</v>
      </c>
      <c r="C2975" t="s">
        <v>75</v>
      </c>
      <c r="D2975">
        <v>380863</v>
      </c>
    </row>
    <row r="2976" spans="1:4" x14ac:dyDescent="0.35">
      <c r="A2976" s="1">
        <v>1999</v>
      </c>
      <c r="B2976">
        <v>973</v>
      </c>
      <c r="C2976" t="s">
        <v>77</v>
      </c>
      <c r="D2976">
        <v>155760</v>
      </c>
    </row>
    <row r="2977" spans="1:4" x14ac:dyDescent="0.35">
      <c r="A2977" s="1">
        <v>1999</v>
      </c>
      <c r="B2977">
        <v>974</v>
      </c>
      <c r="C2977" t="s">
        <v>79</v>
      </c>
      <c r="D2977">
        <v>703820</v>
      </c>
    </row>
    <row r="2978" spans="1:4" x14ac:dyDescent="0.35">
      <c r="A2978" s="1">
        <v>1999</v>
      </c>
      <c r="B2978" t="s">
        <v>226</v>
      </c>
      <c r="D2978">
        <v>1626052</v>
      </c>
    </row>
    <row r="2979" spans="1:4" x14ac:dyDescent="0.35">
      <c r="A2979" s="1">
        <v>1999</v>
      </c>
      <c r="B2979" t="s">
        <v>227</v>
      </c>
      <c r="D2979">
        <v>60122665</v>
      </c>
    </row>
    <row r="2980" spans="1:4" x14ac:dyDescent="0.35">
      <c r="A2980" s="1">
        <v>1999</v>
      </c>
    </row>
    <row r="2981" spans="1:4" x14ac:dyDescent="0.35">
      <c r="A2981" s="1">
        <v>1999</v>
      </c>
      <c r="B2981" t="s">
        <v>240</v>
      </c>
    </row>
    <row r="2982" spans="1:4" x14ac:dyDescent="0.35">
      <c r="A2982" s="1">
        <v>1998</v>
      </c>
      <c r="B2982" t="s">
        <v>251</v>
      </c>
    </row>
    <row r="2983" spans="1:4" x14ac:dyDescent="0.35">
      <c r="A2983" s="1">
        <v>1998</v>
      </c>
      <c r="B2983" t="s">
        <v>266</v>
      </c>
    </row>
    <row r="2984" spans="1:4" x14ac:dyDescent="0.35">
      <c r="A2984" s="1">
        <v>1998</v>
      </c>
    </row>
    <row r="2985" spans="1:4" x14ac:dyDescent="0.35">
      <c r="A2985" s="1">
        <v>1998</v>
      </c>
      <c r="B2985" t="s">
        <v>231</v>
      </c>
    </row>
    <row r="2986" spans="1:4" x14ac:dyDescent="0.35">
      <c r="A2986" s="1">
        <v>1998</v>
      </c>
      <c r="D2986" t="s">
        <v>232</v>
      </c>
    </row>
    <row r="2987" spans="1:4" x14ac:dyDescent="0.35">
      <c r="A2987" s="1">
        <v>1998</v>
      </c>
      <c r="B2987" t="s">
        <v>5</v>
      </c>
      <c r="C2987" t="s">
        <v>6</v>
      </c>
      <c r="D2987">
        <v>509520</v>
      </c>
    </row>
    <row r="2988" spans="1:4" x14ac:dyDescent="0.35">
      <c r="A2988" s="1">
        <v>1998</v>
      </c>
      <c r="B2988" t="s">
        <v>104</v>
      </c>
      <c r="C2988" t="s">
        <v>105</v>
      </c>
      <c r="D2988">
        <v>536629</v>
      </c>
    </row>
    <row r="2989" spans="1:4" x14ac:dyDescent="0.35">
      <c r="A2989" s="1">
        <v>1998</v>
      </c>
      <c r="B2989" t="s">
        <v>10</v>
      </c>
      <c r="C2989" t="s">
        <v>11</v>
      </c>
      <c r="D2989">
        <v>346640</v>
      </c>
    </row>
    <row r="2990" spans="1:4" x14ac:dyDescent="0.35">
      <c r="A2990" s="1">
        <v>1998</v>
      </c>
      <c r="B2990" t="s">
        <v>200</v>
      </c>
      <c r="C2990" t="s">
        <v>201</v>
      </c>
      <c r="D2990">
        <v>139454</v>
      </c>
    </row>
    <row r="2991" spans="1:4" x14ac:dyDescent="0.35">
      <c r="A2991" s="1">
        <v>1998</v>
      </c>
      <c r="B2991" t="s">
        <v>202</v>
      </c>
      <c r="C2991" t="s">
        <v>203</v>
      </c>
      <c r="D2991">
        <v>120972</v>
      </c>
    </row>
    <row r="2992" spans="1:4" x14ac:dyDescent="0.35">
      <c r="A2992" s="1">
        <v>1998</v>
      </c>
      <c r="B2992" t="s">
        <v>204</v>
      </c>
      <c r="C2992" t="s">
        <v>205</v>
      </c>
      <c r="D2992">
        <v>1006282</v>
      </c>
    </row>
    <row r="2993" spans="1:4" x14ac:dyDescent="0.35">
      <c r="A2993" s="1">
        <v>1998</v>
      </c>
      <c r="B2993" t="s">
        <v>12</v>
      </c>
      <c r="C2993" t="s">
        <v>13</v>
      </c>
      <c r="D2993">
        <v>285181</v>
      </c>
    </row>
    <row r="2994" spans="1:4" x14ac:dyDescent="0.35">
      <c r="A2994" s="1">
        <v>1998</v>
      </c>
      <c r="B2994" t="s">
        <v>84</v>
      </c>
      <c r="C2994" t="s">
        <v>85</v>
      </c>
      <c r="D2994">
        <v>291329</v>
      </c>
    </row>
    <row r="2995" spans="1:4" x14ac:dyDescent="0.35">
      <c r="A2995" s="1">
        <v>1998</v>
      </c>
      <c r="B2995" t="s">
        <v>164</v>
      </c>
      <c r="C2995" t="s">
        <v>165</v>
      </c>
      <c r="D2995">
        <v>136732</v>
      </c>
    </row>
    <row r="2996" spans="1:4" x14ac:dyDescent="0.35">
      <c r="A2996" s="1">
        <v>1998</v>
      </c>
      <c r="B2996" t="s">
        <v>86</v>
      </c>
      <c r="C2996" t="s">
        <v>87</v>
      </c>
      <c r="D2996">
        <v>292676</v>
      </c>
    </row>
    <row r="2997" spans="1:4" x14ac:dyDescent="0.35">
      <c r="A2997" s="1">
        <v>1998</v>
      </c>
      <c r="B2997" t="s">
        <v>166</v>
      </c>
      <c r="C2997" t="s">
        <v>167</v>
      </c>
      <c r="D2997">
        <v>308125</v>
      </c>
    </row>
    <row r="2998" spans="1:4" x14ac:dyDescent="0.35">
      <c r="A2998" s="1">
        <v>1998</v>
      </c>
      <c r="B2998" t="s">
        <v>168</v>
      </c>
      <c r="C2998" t="s">
        <v>169</v>
      </c>
      <c r="D2998">
        <v>264419</v>
      </c>
    </row>
    <row r="2999" spans="1:4" x14ac:dyDescent="0.35">
      <c r="A2999" s="1">
        <v>1998</v>
      </c>
      <c r="B2999" t="s">
        <v>206</v>
      </c>
      <c r="C2999" t="s">
        <v>207</v>
      </c>
      <c r="D2999">
        <v>1824390</v>
      </c>
    </row>
    <row r="3000" spans="1:4" x14ac:dyDescent="0.35">
      <c r="A3000" s="1">
        <v>1998</v>
      </c>
      <c r="B3000" t="s">
        <v>130</v>
      </c>
      <c r="C3000" t="s">
        <v>131</v>
      </c>
      <c r="D3000">
        <v>644513</v>
      </c>
    </row>
    <row r="3001" spans="1:4" x14ac:dyDescent="0.35">
      <c r="A3001" s="1">
        <v>1998</v>
      </c>
      <c r="B3001" t="s">
        <v>14</v>
      </c>
      <c r="C3001" t="s">
        <v>15</v>
      </c>
      <c r="D3001">
        <v>151841</v>
      </c>
    </row>
    <row r="3002" spans="1:4" x14ac:dyDescent="0.35">
      <c r="A3002" s="1">
        <v>1998</v>
      </c>
      <c r="B3002" t="s">
        <v>140</v>
      </c>
      <c r="C3002" t="s">
        <v>141</v>
      </c>
      <c r="D3002">
        <v>339932</v>
      </c>
    </row>
    <row r="3003" spans="1:4" x14ac:dyDescent="0.35">
      <c r="A3003" s="1">
        <v>1998</v>
      </c>
      <c r="B3003" t="s">
        <v>142</v>
      </c>
      <c r="C3003" t="s">
        <v>143</v>
      </c>
      <c r="D3003">
        <v>552641</v>
      </c>
    </row>
    <row r="3004" spans="1:4" x14ac:dyDescent="0.35">
      <c r="A3004" s="1">
        <v>1998</v>
      </c>
      <c r="B3004" t="s">
        <v>56</v>
      </c>
      <c r="C3004" t="s">
        <v>57</v>
      </c>
      <c r="D3004">
        <v>315255</v>
      </c>
    </row>
    <row r="3005" spans="1:4" x14ac:dyDescent="0.35">
      <c r="A3005" s="1">
        <v>1998</v>
      </c>
      <c r="B3005" t="s">
        <v>144</v>
      </c>
      <c r="C3005" t="s">
        <v>145</v>
      </c>
      <c r="D3005">
        <v>233347</v>
      </c>
    </row>
    <row r="3006" spans="1:4" x14ac:dyDescent="0.35">
      <c r="A3006" s="1">
        <v>1998</v>
      </c>
      <c r="B3006" t="s">
        <v>68</v>
      </c>
      <c r="C3006" t="s">
        <v>69</v>
      </c>
      <c r="D3006">
        <v>118463</v>
      </c>
    </row>
    <row r="3007" spans="1:4" x14ac:dyDescent="0.35">
      <c r="A3007" s="1">
        <v>1998</v>
      </c>
      <c r="B3007" t="s">
        <v>70</v>
      </c>
      <c r="C3007" t="s">
        <v>71</v>
      </c>
      <c r="D3007">
        <v>141003</v>
      </c>
    </row>
    <row r="3008" spans="1:4" x14ac:dyDescent="0.35">
      <c r="A3008" s="1">
        <v>1998</v>
      </c>
      <c r="B3008" t="s">
        <v>32</v>
      </c>
      <c r="C3008" t="s">
        <v>219</v>
      </c>
      <c r="D3008">
        <v>506212</v>
      </c>
    </row>
    <row r="3009" spans="1:4" x14ac:dyDescent="0.35">
      <c r="A3009" s="1">
        <v>1998</v>
      </c>
      <c r="B3009" t="s">
        <v>48</v>
      </c>
      <c r="C3009" t="s">
        <v>220</v>
      </c>
      <c r="D3009">
        <v>541391</v>
      </c>
    </row>
    <row r="3010" spans="1:4" x14ac:dyDescent="0.35">
      <c r="A3010" s="1">
        <v>1998</v>
      </c>
      <c r="B3010" t="s">
        <v>146</v>
      </c>
      <c r="C3010" t="s">
        <v>147</v>
      </c>
      <c r="D3010">
        <v>125314</v>
      </c>
    </row>
    <row r="3011" spans="1:4" x14ac:dyDescent="0.35">
      <c r="A3011" s="1">
        <v>1998</v>
      </c>
      <c r="B3011" t="s">
        <v>148</v>
      </c>
      <c r="C3011" t="s">
        <v>149</v>
      </c>
      <c r="D3011">
        <v>388050</v>
      </c>
    </row>
    <row r="3012" spans="1:4" x14ac:dyDescent="0.35">
      <c r="A3012" s="1">
        <v>1998</v>
      </c>
      <c r="B3012" t="s">
        <v>34</v>
      </c>
      <c r="C3012" t="s">
        <v>35</v>
      </c>
      <c r="D3012">
        <v>498613</v>
      </c>
    </row>
    <row r="3013" spans="1:4" x14ac:dyDescent="0.35">
      <c r="A3013" s="1">
        <v>1998</v>
      </c>
      <c r="B3013" t="s">
        <v>16</v>
      </c>
      <c r="C3013" t="s">
        <v>17</v>
      </c>
      <c r="D3013">
        <v>435256</v>
      </c>
    </row>
    <row r="3014" spans="1:4" x14ac:dyDescent="0.35">
      <c r="A3014" s="1">
        <v>1998</v>
      </c>
      <c r="B3014" t="s">
        <v>132</v>
      </c>
      <c r="C3014" t="s">
        <v>133</v>
      </c>
      <c r="D3014">
        <v>539608</v>
      </c>
    </row>
    <row r="3015" spans="1:4" x14ac:dyDescent="0.35">
      <c r="A3015" s="1">
        <v>1998</v>
      </c>
      <c r="B3015" t="s">
        <v>58</v>
      </c>
      <c r="C3015" t="s">
        <v>59</v>
      </c>
      <c r="D3015">
        <v>408212</v>
      </c>
    </row>
    <row r="3016" spans="1:4" x14ac:dyDescent="0.35">
      <c r="A3016" s="1">
        <v>1998</v>
      </c>
      <c r="B3016" t="s">
        <v>50</v>
      </c>
      <c r="C3016" t="s">
        <v>51</v>
      </c>
      <c r="D3016">
        <v>849779</v>
      </c>
    </row>
    <row r="3017" spans="1:4" x14ac:dyDescent="0.35">
      <c r="A3017" s="1">
        <v>1998</v>
      </c>
      <c r="B3017" t="s">
        <v>170</v>
      </c>
      <c r="C3017" t="s">
        <v>171</v>
      </c>
      <c r="D3017">
        <v>618151</v>
      </c>
    </row>
    <row r="3018" spans="1:4" x14ac:dyDescent="0.35">
      <c r="A3018" s="1">
        <v>1998</v>
      </c>
      <c r="B3018" t="s">
        <v>172</v>
      </c>
      <c r="C3018" t="s">
        <v>173</v>
      </c>
      <c r="D3018">
        <v>1029466</v>
      </c>
    </row>
    <row r="3019" spans="1:4" x14ac:dyDescent="0.35">
      <c r="A3019" s="1">
        <v>1998</v>
      </c>
      <c r="B3019" t="s">
        <v>174</v>
      </c>
      <c r="C3019" t="s">
        <v>175</v>
      </c>
      <c r="D3019">
        <v>172580</v>
      </c>
    </row>
    <row r="3020" spans="1:4" x14ac:dyDescent="0.35">
      <c r="A3020" s="1">
        <v>1998</v>
      </c>
      <c r="B3020" t="s">
        <v>150</v>
      </c>
      <c r="C3020" t="s">
        <v>151</v>
      </c>
      <c r="D3020">
        <v>1276453</v>
      </c>
    </row>
    <row r="3021" spans="1:4" x14ac:dyDescent="0.35">
      <c r="A3021" s="1">
        <v>1998</v>
      </c>
      <c r="B3021" t="s">
        <v>176</v>
      </c>
      <c r="C3021" t="s">
        <v>177</v>
      </c>
      <c r="D3021">
        <v>884890</v>
      </c>
    </row>
    <row r="3022" spans="1:4" x14ac:dyDescent="0.35">
      <c r="A3022" s="1">
        <v>1998</v>
      </c>
      <c r="B3022" t="s">
        <v>52</v>
      </c>
      <c r="C3022" t="s">
        <v>53</v>
      </c>
      <c r="D3022">
        <v>857295</v>
      </c>
    </row>
    <row r="3023" spans="1:4" x14ac:dyDescent="0.35">
      <c r="A3023" s="1">
        <v>1998</v>
      </c>
      <c r="B3023" t="s">
        <v>60</v>
      </c>
      <c r="C3023" t="s">
        <v>61</v>
      </c>
      <c r="D3023">
        <v>232252</v>
      </c>
    </row>
    <row r="3024" spans="1:4" x14ac:dyDescent="0.35">
      <c r="A3024" s="1">
        <v>1998</v>
      </c>
      <c r="B3024" t="s">
        <v>62</v>
      </c>
      <c r="C3024" t="s">
        <v>63</v>
      </c>
      <c r="D3024">
        <v>551498</v>
      </c>
    </row>
    <row r="3025" spans="1:4" x14ac:dyDescent="0.35">
      <c r="A3025" s="1">
        <v>1998</v>
      </c>
      <c r="B3025" t="s">
        <v>18</v>
      </c>
      <c r="C3025" t="s">
        <v>19</v>
      </c>
      <c r="D3025">
        <v>1085203</v>
      </c>
    </row>
    <row r="3026" spans="1:4" x14ac:dyDescent="0.35">
      <c r="A3026" s="1">
        <v>1998</v>
      </c>
      <c r="B3026" t="s">
        <v>36</v>
      </c>
      <c r="C3026" t="s">
        <v>37</v>
      </c>
      <c r="D3026">
        <v>250917</v>
      </c>
    </row>
    <row r="3027" spans="1:4" x14ac:dyDescent="0.35">
      <c r="A3027" s="1">
        <v>1998</v>
      </c>
      <c r="B3027" t="s">
        <v>152</v>
      </c>
      <c r="C3027" t="s">
        <v>153</v>
      </c>
      <c r="D3027">
        <v>325077</v>
      </c>
    </row>
    <row r="3028" spans="1:4" x14ac:dyDescent="0.35">
      <c r="A3028" s="1">
        <v>1998</v>
      </c>
      <c r="B3028" t="s">
        <v>64</v>
      </c>
      <c r="C3028" t="s">
        <v>65</v>
      </c>
      <c r="D3028">
        <v>314616</v>
      </c>
    </row>
    <row r="3029" spans="1:4" x14ac:dyDescent="0.35">
      <c r="A3029" s="1">
        <v>1998</v>
      </c>
      <c r="B3029" t="s">
        <v>20</v>
      </c>
      <c r="C3029" t="s">
        <v>21</v>
      </c>
      <c r="D3029">
        <v>731657</v>
      </c>
    </row>
    <row r="3030" spans="1:4" x14ac:dyDescent="0.35">
      <c r="A3030" s="1">
        <v>1998</v>
      </c>
      <c r="B3030" t="s">
        <v>22</v>
      </c>
      <c r="C3030" t="s">
        <v>23</v>
      </c>
      <c r="D3030">
        <v>208285</v>
      </c>
    </row>
    <row r="3031" spans="1:4" x14ac:dyDescent="0.35">
      <c r="A3031" s="1">
        <v>1998</v>
      </c>
      <c r="B3031" t="s">
        <v>190</v>
      </c>
      <c r="C3031" t="s">
        <v>191</v>
      </c>
      <c r="D3031">
        <v>1124006</v>
      </c>
    </row>
    <row r="3032" spans="1:4" x14ac:dyDescent="0.35">
      <c r="A3032" s="1">
        <v>1998</v>
      </c>
      <c r="B3032" t="s">
        <v>66</v>
      </c>
      <c r="C3032" t="s">
        <v>67</v>
      </c>
      <c r="D3032">
        <v>616372</v>
      </c>
    </row>
    <row r="3033" spans="1:4" x14ac:dyDescent="0.35">
      <c r="A3033" s="1">
        <v>1998</v>
      </c>
      <c r="B3033" t="s">
        <v>178</v>
      </c>
      <c r="C3033" t="s">
        <v>179</v>
      </c>
      <c r="D3033">
        <v>159657</v>
      </c>
    </row>
    <row r="3034" spans="1:4" x14ac:dyDescent="0.35">
      <c r="A3034" s="1">
        <v>1998</v>
      </c>
      <c r="B3034" t="s">
        <v>154</v>
      </c>
      <c r="C3034" t="s">
        <v>155</v>
      </c>
      <c r="D3034">
        <v>304968</v>
      </c>
    </row>
    <row r="3035" spans="1:4" x14ac:dyDescent="0.35">
      <c r="A3035" s="1">
        <v>1998</v>
      </c>
      <c r="B3035" t="s">
        <v>180</v>
      </c>
      <c r="C3035" t="s">
        <v>181</v>
      </c>
      <c r="D3035">
        <v>73507</v>
      </c>
    </row>
    <row r="3036" spans="1:4" x14ac:dyDescent="0.35">
      <c r="A3036" s="1">
        <v>1998</v>
      </c>
      <c r="B3036" t="s">
        <v>192</v>
      </c>
      <c r="C3036" t="s">
        <v>193</v>
      </c>
      <c r="D3036">
        <v>729551</v>
      </c>
    </row>
    <row r="3037" spans="1:4" x14ac:dyDescent="0.35">
      <c r="A3037" s="1">
        <v>1998</v>
      </c>
      <c r="B3037" t="s">
        <v>134</v>
      </c>
      <c r="C3037" t="s">
        <v>135</v>
      </c>
      <c r="D3037">
        <v>481349</v>
      </c>
    </row>
    <row r="3038" spans="1:4" x14ac:dyDescent="0.35">
      <c r="A3038" s="1">
        <v>1998</v>
      </c>
      <c r="B3038" t="s">
        <v>88</v>
      </c>
      <c r="C3038" t="s">
        <v>89</v>
      </c>
      <c r="D3038">
        <v>565935</v>
      </c>
    </row>
    <row r="3039" spans="1:4" x14ac:dyDescent="0.35">
      <c r="A3039" s="1">
        <v>1998</v>
      </c>
      <c r="B3039" t="s">
        <v>90</v>
      </c>
      <c r="C3039" t="s">
        <v>91</v>
      </c>
      <c r="D3039">
        <v>196378</v>
      </c>
    </row>
    <row r="3040" spans="1:4" x14ac:dyDescent="0.35">
      <c r="A3040" s="1">
        <v>1998</v>
      </c>
      <c r="B3040" t="s">
        <v>194</v>
      </c>
      <c r="C3040" t="s">
        <v>195</v>
      </c>
      <c r="D3040">
        <v>283893</v>
      </c>
    </row>
    <row r="3041" spans="1:4" x14ac:dyDescent="0.35">
      <c r="A3041" s="1">
        <v>1998</v>
      </c>
      <c r="B3041" t="s">
        <v>92</v>
      </c>
      <c r="C3041" t="s">
        <v>93</v>
      </c>
      <c r="D3041">
        <v>715062</v>
      </c>
    </row>
    <row r="3042" spans="1:4" x14ac:dyDescent="0.35">
      <c r="A3042" s="1">
        <v>1998</v>
      </c>
      <c r="B3042" t="s">
        <v>94</v>
      </c>
      <c r="C3042" t="s">
        <v>95</v>
      </c>
      <c r="D3042">
        <v>192797</v>
      </c>
    </row>
    <row r="3043" spans="1:4" x14ac:dyDescent="0.35">
      <c r="A3043" s="1">
        <v>1998</v>
      </c>
      <c r="B3043" t="s">
        <v>54</v>
      </c>
      <c r="C3043" t="s">
        <v>55</v>
      </c>
      <c r="D3043">
        <v>639772</v>
      </c>
    </row>
    <row r="3044" spans="1:4" x14ac:dyDescent="0.35">
      <c r="A3044" s="1">
        <v>1998</v>
      </c>
      <c r="B3044" t="s">
        <v>96</v>
      </c>
      <c r="C3044" t="s">
        <v>97</v>
      </c>
      <c r="D3044">
        <v>1022916</v>
      </c>
    </row>
    <row r="3045" spans="1:4" x14ac:dyDescent="0.35">
      <c r="A3045" s="1">
        <v>1998</v>
      </c>
      <c r="B3045" t="s">
        <v>38</v>
      </c>
      <c r="C3045" t="s">
        <v>39</v>
      </c>
      <c r="D3045">
        <v>226776</v>
      </c>
    </row>
    <row r="3046" spans="1:4" x14ac:dyDescent="0.35">
      <c r="A3046" s="1">
        <v>1998</v>
      </c>
      <c r="B3046" t="s">
        <v>106</v>
      </c>
      <c r="C3046" t="s">
        <v>107</v>
      </c>
      <c r="D3046">
        <v>2554942</v>
      </c>
    </row>
    <row r="3047" spans="1:4" x14ac:dyDescent="0.35">
      <c r="A3047" s="1">
        <v>1998</v>
      </c>
      <c r="B3047" t="s">
        <v>108</v>
      </c>
      <c r="C3047" t="s">
        <v>109</v>
      </c>
      <c r="D3047">
        <v>765111</v>
      </c>
    </row>
    <row r="3048" spans="1:4" x14ac:dyDescent="0.35">
      <c r="A3048" s="1">
        <v>1998</v>
      </c>
      <c r="B3048" t="s">
        <v>136</v>
      </c>
      <c r="C3048" t="s">
        <v>137</v>
      </c>
      <c r="D3048">
        <v>292912</v>
      </c>
    </row>
    <row r="3049" spans="1:4" x14ac:dyDescent="0.35">
      <c r="A3049" s="1">
        <v>1998</v>
      </c>
      <c r="B3049" t="s">
        <v>110</v>
      </c>
      <c r="C3049" t="s">
        <v>111</v>
      </c>
      <c r="D3049">
        <v>1440495</v>
      </c>
    </row>
    <row r="3050" spans="1:4" x14ac:dyDescent="0.35">
      <c r="A3050" s="1">
        <v>1998</v>
      </c>
      <c r="B3050" t="s">
        <v>24</v>
      </c>
      <c r="C3050" t="s">
        <v>25</v>
      </c>
      <c r="D3050">
        <v>602853</v>
      </c>
    </row>
    <row r="3051" spans="1:4" x14ac:dyDescent="0.35">
      <c r="A3051" s="1">
        <v>1998</v>
      </c>
      <c r="B3051" t="s">
        <v>156</v>
      </c>
      <c r="C3051" t="s">
        <v>157</v>
      </c>
      <c r="D3051">
        <v>594245</v>
      </c>
    </row>
    <row r="3052" spans="1:4" x14ac:dyDescent="0.35">
      <c r="A3052" s="1">
        <v>1998</v>
      </c>
      <c r="B3052" t="s">
        <v>182</v>
      </c>
      <c r="C3052" t="s">
        <v>183</v>
      </c>
      <c r="D3052">
        <v>222764</v>
      </c>
    </row>
    <row r="3053" spans="1:4" x14ac:dyDescent="0.35">
      <c r="A3053" s="1">
        <v>1998</v>
      </c>
      <c r="B3053" t="s">
        <v>184</v>
      </c>
      <c r="C3053" t="s">
        <v>185</v>
      </c>
      <c r="D3053">
        <v>389051</v>
      </c>
    </row>
    <row r="3054" spans="1:4" x14ac:dyDescent="0.35">
      <c r="A3054" s="1">
        <v>1998</v>
      </c>
      <c r="B3054" t="s">
        <v>98</v>
      </c>
      <c r="C3054" t="s">
        <v>99</v>
      </c>
      <c r="D3054">
        <v>1016591</v>
      </c>
    </row>
    <row r="3055" spans="1:4" x14ac:dyDescent="0.35">
      <c r="A3055" s="1">
        <v>1998</v>
      </c>
      <c r="B3055" t="s">
        <v>100</v>
      </c>
      <c r="C3055" t="s">
        <v>101</v>
      </c>
      <c r="D3055">
        <v>703394</v>
      </c>
    </row>
    <row r="3056" spans="1:4" x14ac:dyDescent="0.35">
      <c r="A3056" s="1">
        <v>1998</v>
      </c>
      <c r="B3056" t="s">
        <v>26</v>
      </c>
      <c r="C3056" t="s">
        <v>27</v>
      </c>
      <c r="D3056">
        <v>1566215</v>
      </c>
    </row>
    <row r="3057" spans="1:4" x14ac:dyDescent="0.35">
      <c r="A3057" s="1">
        <v>1998</v>
      </c>
      <c r="B3057" t="s">
        <v>40</v>
      </c>
      <c r="C3057" t="s">
        <v>41</v>
      </c>
      <c r="D3057">
        <v>229150</v>
      </c>
    </row>
    <row r="3058" spans="1:4" x14ac:dyDescent="0.35">
      <c r="A3058" s="1">
        <v>1998</v>
      </c>
      <c r="B3058" t="s">
        <v>42</v>
      </c>
      <c r="C3058" t="s">
        <v>43</v>
      </c>
      <c r="D3058">
        <v>547472</v>
      </c>
    </row>
    <row r="3059" spans="1:4" x14ac:dyDescent="0.35">
      <c r="A3059" s="1">
        <v>1998</v>
      </c>
      <c r="B3059" t="s">
        <v>196</v>
      </c>
      <c r="C3059" t="s">
        <v>197</v>
      </c>
      <c r="D3059">
        <v>527687</v>
      </c>
    </row>
    <row r="3060" spans="1:4" x14ac:dyDescent="0.35">
      <c r="A3060" s="1">
        <v>1998</v>
      </c>
      <c r="B3060" t="s">
        <v>28</v>
      </c>
      <c r="C3060" t="s">
        <v>29</v>
      </c>
      <c r="D3060">
        <v>369897</v>
      </c>
    </row>
    <row r="3061" spans="1:4" x14ac:dyDescent="0.35">
      <c r="A3061" s="1">
        <v>1998</v>
      </c>
      <c r="B3061" t="s">
        <v>30</v>
      </c>
      <c r="C3061" t="s">
        <v>31</v>
      </c>
      <c r="D3061">
        <v>625854</v>
      </c>
    </row>
    <row r="3062" spans="1:4" x14ac:dyDescent="0.35">
      <c r="A3062" s="1">
        <v>1998</v>
      </c>
      <c r="B3062" t="s">
        <v>114</v>
      </c>
      <c r="C3062" t="s">
        <v>115</v>
      </c>
      <c r="D3062">
        <v>2111315</v>
      </c>
    </row>
    <row r="3063" spans="1:4" x14ac:dyDescent="0.35">
      <c r="A3063" s="1">
        <v>1998</v>
      </c>
      <c r="B3063" t="s">
        <v>138</v>
      </c>
      <c r="C3063" t="s">
        <v>139</v>
      </c>
      <c r="D3063">
        <v>1239784</v>
      </c>
    </row>
    <row r="3064" spans="1:4" x14ac:dyDescent="0.35">
      <c r="A3064" s="1">
        <v>1998</v>
      </c>
      <c r="B3064" t="s">
        <v>116</v>
      </c>
      <c r="C3064" t="s">
        <v>117</v>
      </c>
      <c r="D3064">
        <v>1182543</v>
      </c>
    </row>
    <row r="3065" spans="1:4" x14ac:dyDescent="0.35">
      <c r="A3065" s="1">
        <v>1998</v>
      </c>
      <c r="B3065" t="s">
        <v>118</v>
      </c>
      <c r="C3065" t="s">
        <v>119</v>
      </c>
      <c r="D3065">
        <v>1353723</v>
      </c>
    </row>
    <row r="3066" spans="1:4" x14ac:dyDescent="0.35">
      <c r="A3066" s="1">
        <v>1998</v>
      </c>
      <c r="B3066" t="s">
        <v>158</v>
      </c>
      <c r="C3066" t="s">
        <v>159</v>
      </c>
      <c r="D3066">
        <v>344574</v>
      </c>
    </row>
    <row r="3067" spans="1:4" x14ac:dyDescent="0.35">
      <c r="A3067" s="1">
        <v>1998</v>
      </c>
      <c r="B3067" t="s">
        <v>112</v>
      </c>
      <c r="C3067" t="s">
        <v>113</v>
      </c>
      <c r="D3067">
        <v>554595</v>
      </c>
    </row>
    <row r="3068" spans="1:4" x14ac:dyDescent="0.35">
      <c r="A3068" s="1">
        <v>1998</v>
      </c>
      <c r="B3068" t="s">
        <v>186</v>
      </c>
      <c r="C3068" t="s">
        <v>187</v>
      </c>
      <c r="D3068">
        <v>342629</v>
      </c>
    </row>
    <row r="3069" spans="1:4" x14ac:dyDescent="0.35">
      <c r="A3069" s="1">
        <v>1998</v>
      </c>
      <c r="B3069" t="s">
        <v>188</v>
      </c>
      <c r="C3069" t="s">
        <v>189</v>
      </c>
      <c r="D3069">
        <v>205519</v>
      </c>
    </row>
    <row r="3070" spans="1:4" x14ac:dyDescent="0.35">
      <c r="A3070" s="1">
        <v>1998</v>
      </c>
      <c r="B3070" t="s">
        <v>208</v>
      </c>
      <c r="C3070" t="s">
        <v>209</v>
      </c>
      <c r="D3070">
        <v>891598</v>
      </c>
    </row>
    <row r="3071" spans="1:4" x14ac:dyDescent="0.35">
      <c r="A3071" s="1">
        <v>1998</v>
      </c>
      <c r="B3071" t="s">
        <v>210</v>
      </c>
      <c r="C3071" t="s">
        <v>211</v>
      </c>
      <c r="D3071">
        <v>496948</v>
      </c>
    </row>
    <row r="3072" spans="1:4" x14ac:dyDescent="0.35">
      <c r="A3072" s="1">
        <v>1998</v>
      </c>
      <c r="B3072" t="s">
        <v>198</v>
      </c>
      <c r="C3072" t="s">
        <v>199</v>
      </c>
      <c r="D3072">
        <v>535322</v>
      </c>
    </row>
    <row r="3073" spans="1:4" x14ac:dyDescent="0.35">
      <c r="A3073" s="1">
        <v>1998</v>
      </c>
      <c r="B3073" t="s">
        <v>160</v>
      </c>
      <c r="C3073" t="s">
        <v>161</v>
      </c>
      <c r="D3073">
        <v>397941</v>
      </c>
    </row>
    <row r="3074" spans="1:4" x14ac:dyDescent="0.35">
      <c r="A3074" s="1">
        <v>1998</v>
      </c>
      <c r="B3074" t="s">
        <v>162</v>
      </c>
      <c r="C3074" t="s">
        <v>163</v>
      </c>
      <c r="D3074">
        <v>353941</v>
      </c>
    </row>
    <row r="3075" spans="1:4" x14ac:dyDescent="0.35">
      <c r="A3075" s="1">
        <v>1998</v>
      </c>
      <c r="B3075" t="s">
        <v>102</v>
      </c>
      <c r="C3075" t="s">
        <v>103</v>
      </c>
      <c r="D3075">
        <v>381791</v>
      </c>
    </row>
    <row r="3076" spans="1:4" x14ac:dyDescent="0.35">
      <c r="A3076" s="1">
        <v>1998</v>
      </c>
      <c r="B3076" t="s">
        <v>44</v>
      </c>
      <c r="C3076" t="s">
        <v>45</v>
      </c>
      <c r="D3076">
        <v>332773</v>
      </c>
    </row>
    <row r="3077" spans="1:4" x14ac:dyDescent="0.35">
      <c r="A3077" s="1">
        <v>1998</v>
      </c>
      <c r="B3077" t="s">
        <v>46</v>
      </c>
      <c r="C3077" t="s">
        <v>221</v>
      </c>
      <c r="D3077">
        <v>137234</v>
      </c>
    </row>
    <row r="3078" spans="1:4" x14ac:dyDescent="0.35">
      <c r="A3078" s="1">
        <v>1998</v>
      </c>
      <c r="B3078" t="s">
        <v>120</v>
      </c>
      <c r="C3078" t="s">
        <v>121</v>
      </c>
      <c r="D3078">
        <v>1133653</v>
      </c>
    </row>
    <row r="3079" spans="1:4" x14ac:dyDescent="0.35">
      <c r="A3079" s="1">
        <v>1998</v>
      </c>
      <c r="B3079" t="s">
        <v>122</v>
      </c>
      <c r="C3079" t="s">
        <v>222</v>
      </c>
      <c r="D3079">
        <v>1419110</v>
      </c>
    </row>
    <row r="3080" spans="1:4" x14ac:dyDescent="0.35">
      <c r="A3080" s="1">
        <v>1998</v>
      </c>
      <c r="B3080" t="s">
        <v>124</v>
      </c>
      <c r="C3080" t="s">
        <v>125</v>
      </c>
      <c r="D3080">
        <v>1386023</v>
      </c>
    </row>
    <row r="3081" spans="1:4" x14ac:dyDescent="0.35">
      <c r="A3081" s="1">
        <v>1998</v>
      </c>
      <c r="B3081" t="s">
        <v>126</v>
      </c>
      <c r="C3081" t="s">
        <v>127</v>
      </c>
      <c r="D3081">
        <v>1225473</v>
      </c>
    </row>
    <row r="3082" spans="1:4" x14ac:dyDescent="0.35">
      <c r="A3082" s="1">
        <v>1998</v>
      </c>
      <c r="B3082" t="s">
        <v>128</v>
      </c>
      <c r="C3082" t="s">
        <v>129</v>
      </c>
      <c r="D3082">
        <v>1100782</v>
      </c>
    </row>
    <row r="3083" spans="1:4" x14ac:dyDescent="0.35">
      <c r="A3083" s="1">
        <v>1998</v>
      </c>
      <c r="B3083" t="s">
        <v>257</v>
      </c>
      <c r="D3083">
        <v>58298962</v>
      </c>
    </row>
    <row r="3084" spans="1:4" x14ac:dyDescent="0.35">
      <c r="A3084" s="1">
        <v>1998</v>
      </c>
      <c r="B3084">
        <v>971</v>
      </c>
      <c r="C3084" t="s">
        <v>73</v>
      </c>
      <c r="D3084">
        <v>380738</v>
      </c>
    </row>
    <row r="3085" spans="1:4" x14ac:dyDescent="0.35">
      <c r="A3085" s="1">
        <v>1998</v>
      </c>
      <c r="B3085">
        <v>972</v>
      </c>
      <c r="C3085" t="s">
        <v>75</v>
      </c>
      <c r="D3085">
        <v>377221</v>
      </c>
    </row>
    <row r="3086" spans="1:4" x14ac:dyDescent="0.35">
      <c r="A3086" s="1">
        <v>1998</v>
      </c>
      <c r="B3086">
        <v>973</v>
      </c>
      <c r="C3086" t="s">
        <v>77</v>
      </c>
      <c r="D3086">
        <v>150242</v>
      </c>
    </row>
    <row r="3087" spans="1:4" x14ac:dyDescent="0.35">
      <c r="A3087" s="1">
        <v>1998</v>
      </c>
      <c r="B3087">
        <v>974</v>
      </c>
      <c r="C3087" t="s">
        <v>79</v>
      </c>
      <c r="D3087">
        <v>692184</v>
      </c>
    </row>
    <row r="3088" spans="1:4" x14ac:dyDescent="0.35">
      <c r="A3088" s="1">
        <v>1998</v>
      </c>
      <c r="B3088" t="s">
        <v>226</v>
      </c>
      <c r="D3088">
        <v>1600385</v>
      </c>
    </row>
    <row r="3089" spans="1:4" x14ac:dyDescent="0.35">
      <c r="A3089" s="1">
        <v>1998</v>
      </c>
      <c r="B3089" t="s">
        <v>227</v>
      </c>
      <c r="D3089">
        <v>59899347</v>
      </c>
    </row>
    <row r="3090" spans="1:4" x14ac:dyDescent="0.35">
      <c r="A3090" s="1">
        <v>1998</v>
      </c>
    </row>
    <row r="3091" spans="1:4" x14ac:dyDescent="0.35">
      <c r="A3091" s="1">
        <v>1998</v>
      </c>
      <c r="B3091" t="s">
        <v>240</v>
      </c>
    </row>
    <row r="3092" spans="1:4" x14ac:dyDescent="0.35">
      <c r="A3092" s="1">
        <v>1997</v>
      </c>
      <c r="B3092" t="s">
        <v>251</v>
      </c>
    </row>
    <row r="3093" spans="1:4" x14ac:dyDescent="0.35">
      <c r="A3093" s="1">
        <v>1997</v>
      </c>
      <c r="B3093" t="s">
        <v>267</v>
      </c>
    </row>
    <row r="3094" spans="1:4" x14ac:dyDescent="0.35">
      <c r="A3094" s="1">
        <v>1997</v>
      </c>
    </row>
    <row r="3095" spans="1:4" x14ac:dyDescent="0.35">
      <c r="A3095" s="1">
        <v>1997</v>
      </c>
      <c r="B3095" t="s">
        <v>231</v>
      </c>
    </row>
    <row r="3096" spans="1:4" x14ac:dyDescent="0.35">
      <c r="A3096" s="1">
        <v>1997</v>
      </c>
      <c r="D3096" t="s">
        <v>232</v>
      </c>
    </row>
    <row r="3097" spans="1:4" x14ac:dyDescent="0.35">
      <c r="A3097" s="1">
        <v>1997</v>
      </c>
      <c r="B3097" t="s">
        <v>5</v>
      </c>
      <c r="C3097" t="s">
        <v>6</v>
      </c>
      <c r="D3097">
        <v>504201</v>
      </c>
    </row>
    <row r="3098" spans="1:4" x14ac:dyDescent="0.35">
      <c r="A3098" s="1">
        <v>1997</v>
      </c>
      <c r="B3098" t="s">
        <v>104</v>
      </c>
      <c r="C3098" t="s">
        <v>105</v>
      </c>
      <c r="D3098">
        <v>537751</v>
      </c>
    </row>
    <row r="3099" spans="1:4" x14ac:dyDescent="0.35">
      <c r="A3099" s="1">
        <v>1997</v>
      </c>
      <c r="B3099" t="s">
        <v>10</v>
      </c>
      <c r="C3099" t="s">
        <v>11</v>
      </c>
      <c r="D3099">
        <v>348200</v>
      </c>
    </row>
    <row r="3100" spans="1:4" x14ac:dyDescent="0.35">
      <c r="A3100" s="1">
        <v>1997</v>
      </c>
      <c r="B3100" t="s">
        <v>200</v>
      </c>
      <c r="C3100" t="s">
        <v>201</v>
      </c>
      <c r="D3100">
        <v>138373</v>
      </c>
    </row>
    <row r="3101" spans="1:4" x14ac:dyDescent="0.35">
      <c r="A3101" s="1">
        <v>1997</v>
      </c>
      <c r="B3101" t="s">
        <v>202</v>
      </c>
      <c r="C3101" t="s">
        <v>203</v>
      </c>
      <c r="D3101">
        <v>119433</v>
      </c>
    </row>
    <row r="3102" spans="1:4" x14ac:dyDescent="0.35">
      <c r="A3102" s="1">
        <v>1997</v>
      </c>
      <c r="B3102" t="s">
        <v>204</v>
      </c>
      <c r="C3102" t="s">
        <v>205</v>
      </c>
      <c r="D3102">
        <v>1002360</v>
      </c>
    </row>
    <row r="3103" spans="1:4" x14ac:dyDescent="0.35">
      <c r="A3103" s="1">
        <v>1997</v>
      </c>
      <c r="B3103" t="s">
        <v>12</v>
      </c>
      <c r="C3103" t="s">
        <v>13</v>
      </c>
      <c r="D3103">
        <v>283811</v>
      </c>
    </row>
    <row r="3104" spans="1:4" x14ac:dyDescent="0.35">
      <c r="A3104" s="1">
        <v>1997</v>
      </c>
      <c r="B3104" t="s">
        <v>84</v>
      </c>
      <c r="C3104" t="s">
        <v>85</v>
      </c>
      <c r="D3104">
        <v>292175</v>
      </c>
    </row>
    <row r="3105" spans="1:4" x14ac:dyDescent="0.35">
      <c r="A3105" s="1">
        <v>1997</v>
      </c>
      <c r="B3105" t="s">
        <v>164</v>
      </c>
      <c r="C3105" t="s">
        <v>165</v>
      </c>
      <c r="D3105">
        <v>136544</v>
      </c>
    </row>
    <row r="3106" spans="1:4" x14ac:dyDescent="0.35">
      <c r="A3106" s="1">
        <v>1997</v>
      </c>
      <c r="B3106" t="s">
        <v>86</v>
      </c>
      <c r="C3106" t="s">
        <v>87</v>
      </c>
      <c r="D3106">
        <v>292712</v>
      </c>
    </row>
    <row r="3107" spans="1:4" x14ac:dyDescent="0.35">
      <c r="A3107" s="1">
        <v>1997</v>
      </c>
      <c r="B3107" t="s">
        <v>166</v>
      </c>
      <c r="C3107" t="s">
        <v>167</v>
      </c>
      <c r="D3107">
        <v>305604</v>
      </c>
    </row>
    <row r="3108" spans="1:4" x14ac:dyDescent="0.35">
      <c r="A3108" s="1">
        <v>1997</v>
      </c>
      <c r="B3108" t="s">
        <v>168</v>
      </c>
      <c r="C3108" t="s">
        <v>169</v>
      </c>
      <c r="D3108">
        <v>265027</v>
      </c>
    </row>
    <row r="3109" spans="1:4" x14ac:dyDescent="0.35">
      <c r="A3109" s="1">
        <v>1997</v>
      </c>
      <c r="B3109" t="s">
        <v>206</v>
      </c>
      <c r="C3109" t="s">
        <v>207</v>
      </c>
      <c r="D3109">
        <v>1815271</v>
      </c>
    </row>
    <row r="3110" spans="1:4" x14ac:dyDescent="0.35">
      <c r="A3110" s="1">
        <v>1997</v>
      </c>
      <c r="B3110" t="s">
        <v>130</v>
      </c>
      <c r="C3110" t="s">
        <v>131</v>
      </c>
      <c r="D3110">
        <v>641868</v>
      </c>
    </row>
    <row r="3111" spans="1:4" x14ac:dyDescent="0.35">
      <c r="A3111" s="1">
        <v>1997</v>
      </c>
      <c r="B3111" t="s">
        <v>14</v>
      </c>
      <c r="C3111" t="s">
        <v>15</v>
      </c>
      <c r="D3111">
        <v>152740</v>
      </c>
    </row>
    <row r="3112" spans="1:4" x14ac:dyDescent="0.35">
      <c r="A3112" s="1">
        <v>1997</v>
      </c>
      <c r="B3112" t="s">
        <v>140</v>
      </c>
      <c r="C3112" t="s">
        <v>141</v>
      </c>
      <c r="D3112">
        <v>340431</v>
      </c>
    </row>
    <row r="3113" spans="1:4" x14ac:dyDescent="0.35">
      <c r="A3113" s="1">
        <v>1997</v>
      </c>
      <c r="B3113" t="s">
        <v>142</v>
      </c>
      <c r="C3113" t="s">
        <v>143</v>
      </c>
      <c r="D3113">
        <v>547041</v>
      </c>
    </row>
    <row r="3114" spans="1:4" x14ac:dyDescent="0.35">
      <c r="A3114" s="1">
        <v>1997</v>
      </c>
      <c r="B3114" t="s">
        <v>56</v>
      </c>
      <c r="C3114" t="s">
        <v>57</v>
      </c>
      <c r="D3114">
        <v>316121</v>
      </c>
    </row>
    <row r="3115" spans="1:4" x14ac:dyDescent="0.35">
      <c r="A3115" s="1">
        <v>1997</v>
      </c>
      <c r="B3115" t="s">
        <v>144</v>
      </c>
      <c r="C3115" t="s">
        <v>145</v>
      </c>
      <c r="D3115">
        <v>233767</v>
      </c>
    </row>
    <row r="3116" spans="1:4" x14ac:dyDescent="0.35">
      <c r="A3116" s="1">
        <v>1997</v>
      </c>
      <c r="B3116" t="s">
        <v>68</v>
      </c>
      <c r="C3116" t="s">
        <v>69</v>
      </c>
      <c r="D3116">
        <v>118712</v>
      </c>
    </row>
    <row r="3117" spans="1:4" x14ac:dyDescent="0.35">
      <c r="A3117" s="1">
        <v>1997</v>
      </c>
      <c r="B3117" t="s">
        <v>70</v>
      </c>
      <c r="C3117" t="s">
        <v>71</v>
      </c>
      <c r="D3117">
        <v>140385</v>
      </c>
    </row>
    <row r="3118" spans="1:4" x14ac:dyDescent="0.35">
      <c r="A3118" s="1">
        <v>1997</v>
      </c>
      <c r="B3118" t="s">
        <v>32</v>
      </c>
      <c r="C3118" t="s">
        <v>219</v>
      </c>
      <c r="D3118">
        <v>505716</v>
      </c>
    </row>
    <row r="3119" spans="1:4" x14ac:dyDescent="0.35">
      <c r="A3119" s="1">
        <v>1997</v>
      </c>
      <c r="B3119" t="s">
        <v>48</v>
      </c>
      <c r="C3119" t="s">
        <v>220</v>
      </c>
      <c r="D3119">
        <v>539324</v>
      </c>
    </row>
    <row r="3120" spans="1:4" x14ac:dyDescent="0.35">
      <c r="A3120" s="1">
        <v>1997</v>
      </c>
      <c r="B3120" t="s">
        <v>146</v>
      </c>
      <c r="C3120" t="s">
        <v>147</v>
      </c>
      <c r="D3120">
        <v>125856</v>
      </c>
    </row>
    <row r="3121" spans="1:4" x14ac:dyDescent="0.35">
      <c r="A3121" s="1">
        <v>1997</v>
      </c>
      <c r="B3121" t="s">
        <v>148</v>
      </c>
      <c r="C3121" t="s">
        <v>149</v>
      </c>
      <c r="D3121">
        <v>387393</v>
      </c>
    </row>
    <row r="3122" spans="1:4" x14ac:dyDescent="0.35">
      <c r="A3122" s="1">
        <v>1997</v>
      </c>
      <c r="B3122" t="s">
        <v>34</v>
      </c>
      <c r="C3122" t="s">
        <v>35</v>
      </c>
      <c r="D3122">
        <v>497719</v>
      </c>
    </row>
    <row r="3123" spans="1:4" x14ac:dyDescent="0.35">
      <c r="A3123" s="1">
        <v>1997</v>
      </c>
      <c r="B3123" t="s">
        <v>16</v>
      </c>
      <c r="C3123" t="s">
        <v>17</v>
      </c>
      <c r="D3123">
        <v>432251</v>
      </c>
    </row>
    <row r="3124" spans="1:4" x14ac:dyDescent="0.35">
      <c r="A3124" s="1">
        <v>1997</v>
      </c>
      <c r="B3124" t="s">
        <v>132</v>
      </c>
      <c r="C3124" t="s">
        <v>133</v>
      </c>
      <c r="D3124">
        <v>537186</v>
      </c>
    </row>
    <row r="3125" spans="1:4" x14ac:dyDescent="0.35">
      <c r="A3125" s="1">
        <v>1997</v>
      </c>
      <c r="B3125" t="s">
        <v>58</v>
      </c>
      <c r="C3125" t="s">
        <v>59</v>
      </c>
      <c r="D3125">
        <v>407793</v>
      </c>
    </row>
    <row r="3126" spans="1:4" x14ac:dyDescent="0.35">
      <c r="A3126" s="1">
        <v>1997</v>
      </c>
      <c r="B3126" t="s">
        <v>50</v>
      </c>
      <c r="C3126" t="s">
        <v>51</v>
      </c>
      <c r="D3126">
        <v>847075</v>
      </c>
    </row>
    <row r="3127" spans="1:4" x14ac:dyDescent="0.35">
      <c r="A3127" s="1">
        <v>1997</v>
      </c>
      <c r="B3127" t="s">
        <v>170</v>
      </c>
      <c r="C3127" t="s">
        <v>171</v>
      </c>
      <c r="D3127">
        <v>612981</v>
      </c>
    </row>
    <row r="3128" spans="1:4" x14ac:dyDescent="0.35">
      <c r="A3128" s="1">
        <v>1997</v>
      </c>
      <c r="B3128" t="s">
        <v>172</v>
      </c>
      <c r="C3128" t="s">
        <v>173</v>
      </c>
      <c r="D3128">
        <v>1016846</v>
      </c>
    </row>
    <row r="3129" spans="1:4" x14ac:dyDescent="0.35">
      <c r="A3129" s="1">
        <v>1997</v>
      </c>
      <c r="B3129" t="s">
        <v>174</v>
      </c>
      <c r="C3129" t="s">
        <v>175</v>
      </c>
      <c r="D3129">
        <v>172401</v>
      </c>
    </row>
    <row r="3130" spans="1:4" x14ac:dyDescent="0.35">
      <c r="A3130" s="1">
        <v>1997</v>
      </c>
      <c r="B3130" t="s">
        <v>150</v>
      </c>
      <c r="C3130" t="s">
        <v>151</v>
      </c>
      <c r="D3130">
        <v>1270159</v>
      </c>
    </row>
    <row r="3131" spans="1:4" x14ac:dyDescent="0.35">
      <c r="A3131" s="1">
        <v>1997</v>
      </c>
      <c r="B3131" t="s">
        <v>176</v>
      </c>
      <c r="C3131" t="s">
        <v>177</v>
      </c>
      <c r="D3131">
        <v>872270</v>
      </c>
    </row>
    <row r="3132" spans="1:4" x14ac:dyDescent="0.35">
      <c r="A3132" s="1">
        <v>1997</v>
      </c>
      <c r="B3132" t="s">
        <v>52</v>
      </c>
      <c r="C3132" t="s">
        <v>53</v>
      </c>
      <c r="D3132">
        <v>848726</v>
      </c>
    </row>
    <row r="3133" spans="1:4" x14ac:dyDescent="0.35">
      <c r="A3133" s="1">
        <v>1997</v>
      </c>
      <c r="B3133" t="s">
        <v>60</v>
      </c>
      <c r="C3133" t="s">
        <v>61</v>
      </c>
      <c r="D3133">
        <v>232829</v>
      </c>
    </row>
    <row r="3134" spans="1:4" x14ac:dyDescent="0.35">
      <c r="A3134" s="1">
        <v>1997</v>
      </c>
      <c r="B3134" t="s">
        <v>62</v>
      </c>
      <c r="C3134" t="s">
        <v>63</v>
      </c>
      <c r="D3134">
        <v>549262</v>
      </c>
    </row>
    <row r="3135" spans="1:4" x14ac:dyDescent="0.35">
      <c r="A3135" s="1">
        <v>1997</v>
      </c>
      <c r="B3135" t="s">
        <v>18</v>
      </c>
      <c r="C3135" t="s">
        <v>19</v>
      </c>
      <c r="D3135">
        <v>1076887</v>
      </c>
    </row>
    <row r="3136" spans="1:4" x14ac:dyDescent="0.35">
      <c r="A3136" s="1">
        <v>1997</v>
      </c>
      <c r="B3136" t="s">
        <v>36</v>
      </c>
      <c r="C3136" t="s">
        <v>37</v>
      </c>
      <c r="D3136">
        <v>250659</v>
      </c>
    </row>
    <row r="3137" spans="1:4" x14ac:dyDescent="0.35">
      <c r="A3137" s="1">
        <v>1997</v>
      </c>
      <c r="B3137" t="s">
        <v>152</v>
      </c>
      <c r="C3137" t="s">
        <v>153</v>
      </c>
      <c r="D3137">
        <v>323150</v>
      </c>
    </row>
    <row r="3138" spans="1:4" x14ac:dyDescent="0.35">
      <c r="A3138" s="1">
        <v>1997</v>
      </c>
      <c r="B3138" t="s">
        <v>64</v>
      </c>
      <c r="C3138" t="s">
        <v>65</v>
      </c>
      <c r="D3138">
        <v>313660</v>
      </c>
    </row>
    <row r="3139" spans="1:4" x14ac:dyDescent="0.35">
      <c r="A3139" s="1">
        <v>1997</v>
      </c>
      <c r="B3139" t="s">
        <v>20</v>
      </c>
      <c r="C3139" t="s">
        <v>21</v>
      </c>
      <c r="D3139">
        <v>735287</v>
      </c>
    </row>
    <row r="3140" spans="1:4" x14ac:dyDescent="0.35">
      <c r="A3140" s="1">
        <v>1997</v>
      </c>
      <c r="B3140" t="s">
        <v>22</v>
      </c>
      <c r="C3140" t="s">
        <v>23</v>
      </c>
      <c r="D3140">
        <v>207555</v>
      </c>
    </row>
    <row r="3141" spans="1:4" x14ac:dyDescent="0.35">
      <c r="A3141" s="1">
        <v>1997</v>
      </c>
      <c r="B3141" t="s">
        <v>190</v>
      </c>
      <c r="C3141" t="s">
        <v>191</v>
      </c>
      <c r="D3141">
        <v>1114088</v>
      </c>
    </row>
    <row r="3142" spans="1:4" x14ac:dyDescent="0.35">
      <c r="A3142" s="1">
        <v>1997</v>
      </c>
      <c r="B3142" t="s">
        <v>66</v>
      </c>
      <c r="C3142" t="s">
        <v>67</v>
      </c>
      <c r="D3142">
        <v>612369</v>
      </c>
    </row>
    <row r="3143" spans="1:4" x14ac:dyDescent="0.35">
      <c r="A3143" s="1">
        <v>1997</v>
      </c>
      <c r="B3143" t="s">
        <v>178</v>
      </c>
      <c r="C3143" t="s">
        <v>179</v>
      </c>
      <c r="D3143">
        <v>159074</v>
      </c>
    </row>
    <row r="3144" spans="1:4" x14ac:dyDescent="0.35">
      <c r="A3144" s="1">
        <v>1997</v>
      </c>
      <c r="B3144" t="s">
        <v>154</v>
      </c>
      <c r="C3144" t="s">
        <v>155</v>
      </c>
      <c r="D3144">
        <v>304591</v>
      </c>
    </row>
    <row r="3145" spans="1:4" x14ac:dyDescent="0.35">
      <c r="A3145" s="1">
        <v>1997</v>
      </c>
      <c r="B3145" t="s">
        <v>180</v>
      </c>
      <c r="C3145" t="s">
        <v>181</v>
      </c>
      <c r="D3145">
        <v>73219</v>
      </c>
    </row>
    <row r="3146" spans="1:4" x14ac:dyDescent="0.35">
      <c r="A3146" s="1">
        <v>1997</v>
      </c>
      <c r="B3146" t="s">
        <v>192</v>
      </c>
      <c r="C3146" t="s">
        <v>193</v>
      </c>
      <c r="D3146">
        <v>727143</v>
      </c>
    </row>
    <row r="3147" spans="1:4" x14ac:dyDescent="0.35">
      <c r="A3147" s="1">
        <v>1997</v>
      </c>
      <c r="B3147" t="s">
        <v>134</v>
      </c>
      <c r="C3147" t="s">
        <v>135</v>
      </c>
      <c r="D3147">
        <v>480858</v>
      </c>
    </row>
    <row r="3148" spans="1:4" x14ac:dyDescent="0.35">
      <c r="A3148" s="1">
        <v>1997</v>
      </c>
      <c r="B3148" t="s">
        <v>88</v>
      </c>
      <c r="C3148" t="s">
        <v>89</v>
      </c>
      <c r="D3148">
        <v>565798</v>
      </c>
    </row>
    <row r="3149" spans="1:4" x14ac:dyDescent="0.35">
      <c r="A3149" s="1">
        <v>1997</v>
      </c>
      <c r="B3149" t="s">
        <v>90</v>
      </c>
      <c r="C3149" t="s">
        <v>91</v>
      </c>
      <c r="D3149">
        <v>197242</v>
      </c>
    </row>
    <row r="3150" spans="1:4" x14ac:dyDescent="0.35">
      <c r="A3150" s="1">
        <v>1997</v>
      </c>
      <c r="B3150" t="s">
        <v>194</v>
      </c>
      <c r="C3150" t="s">
        <v>195</v>
      </c>
      <c r="D3150">
        <v>283126</v>
      </c>
    </row>
    <row r="3151" spans="1:4" x14ac:dyDescent="0.35">
      <c r="A3151" s="1">
        <v>1997</v>
      </c>
      <c r="B3151" t="s">
        <v>92</v>
      </c>
      <c r="C3151" t="s">
        <v>93</v>
      </c>
      <c r="D3151">
        <v>716448</v>
      </c>
    </row>
    <row r="3152" spans="1:4" x14ac:dyDescent="0.35">
      <c r="A3152" s="1">
        <v>1997</v>
      </c>
      <c r="B3152" t="s">
        <v>94</v>
      </c>
      <c r="C3152" t="s">
        <v>95</v>
      </c>
      <c r="D3152">
        <v>194338</v>
      </c>
    </row>
    <row r="3153" spans="1:4" x14ac:dyDescent="0.35">
      <c r="A3153" s="1">
        <v>1997</v>
      </c>
      <c r="B3153" t="s">
        <v>54</v>
      </c>
      <c r="C3153" t="s">
        <v>55</v>
      </c>
      <c r="D3153">
        <v>635229</v>
      </c>
    </row>
    <row r="3154" spans="1:4" x14ac:dyDescent="0.35">
      <c r="A3154" s="1">
        <v>1997</v>
      </c>
      <c r="B3154" t="s">
        <v>96</v>
      </c>
      <c r="C3154" t="s">
        <v>97</v>
      </c>
      <c r="D3154">
        <v>1022509</v>
      </c>
    </row>
    <row r="3155" spans="1:4" x14ac:dyDescent="0.35">
      <c r="A3155" s="1">
        <v>1997</v>
      </c>
      <c r="B3155" t="s">
        <v>38</v>
      </c>
      <c r="C3155" t="s">
        <v>39</v>
      </c>
      <c r="D3155">
        <v>227623</v>
      </c>
    </row>
    <row r="3156" spans="1:4" x14ac:dyDescent="0.35">
      <c r="A3156" s="1">
        <v>1997</v>
      </c>
      <c r="B3156" t="s">
        <v>106</v>
      </c>
      <c r="C3156" t="s">
        <v>107</v>
      </c>
      <c r="D3156">
        <v>2553508</v>
      </c>
    </row>
    <row r="3157" spans="1:4" x14ac:dyDescent="0.35">
      <c r="A3157" s="1">
        <v>1997</v>
      </c>
      <c r="B3157" t="s">
        <v>108</v>
      </c>
      <c r="C3157" t="s">
        <v>109</v>
      </c>
      <c r="D3157">
        <v>763991</v>
      </c>
    </row>
    <row r="3158" spans="1:4" x14ac:dyDescent="0.35">
      <c r="A3158" s="1">
        <v>1997</v>
      </c>
      <c r="B3158" t="s">
        <v>136</v>
      </c>
      <c r="C3158" t="s">
        <v>137</v>
      </c>
      <c r="D3158">
        <v>293414</v>
      </c>
    </row>
    <row r="3159" spans="1:4" x14ac:dyDescent="0.35">
      <c r="A3159" s="1">
        <v>1997</v>
      </c>
      <c r="B3159" t="s">
        <v>110</v>
      </c>
      <c r="C3159" t="s">
        <v>111</v>
      </c>
      <c r="D3159">
        <v>1441027</v>
      </c>
    </row>
    <row r="3160" spans="1:4" x14ac:dyDescent="0.35">
      <c r="A3160" s="1">
        <v>1997</v>
      </c>
      <c r="B3160" t="s">
        <v>24</v>
      </c>
      <c r="C3160" t="s">
        <v>25</v>
      </c>
      <c r="D3160">
        <v>601736</v>
      </c>
    </row>
    <row r="3161" spans="1:4" x14ac:dyDescent="0.35">
      <c r="A3161" s="1">
        <v>1997</v>
      </c>
      <c r="B3161" t="s">
        <v>156</v>
      </c>
      <c r="C3161" t="s">
        <v>157</v>
      </c>
      <c r="D3161">
        <v>591529</v>
      </c>
    </row>
    <row r="3162" spans="1:4" x14ac:dyDescent="0.35">
      <c r="A3162" s="1">
        <v>1997</v>
      </c>
      <c r="B3162" t="s">
        <v>182</v>
      </c>
      <c r="C3162" t="s">
        <v>183</v>
      </c>
      <c r="D3162">
        <v>223109</v>
      </c>
    </row>
    <row r="3163" spans="1:4" x14ac:dyDescent="0.35">
      <c r="A3163" s="1">
        <v>1997</v>
      </c>
      <c r="B3163" t="s">
        <v>184</v>
      </c>
      <c r="C3163" t="s">
        <v>185</v>
      </c>
      <c r="D3163">
        <v>385113</v>
      </c>
    </row>
    <row r="3164" spans="1:4" x14ac:dyDescent="0.35">
      <c r="A3164" s="1">
        <v>1997</v>
      </c>
      <c r="B3164" t="s">
        <v>98</v>
      </c>
      <c r="C3164" t="s">
        <v>99</v>
      </c>
      <c r="D3164">
        <v>1009849</v>
      </c>
    </row>
    <row r="3165" spans="1:4" x14ac:dyDescent="0.35">
      <c r="A3165" s="1">
        <v>1997</v>
      </c>
      <c r="B3165" t="s">
        <v>100</v>
      </c>
      <c r="C3165" t="s">
        <v>101</v>
      </c>
      <c r="D3165">
        <v>700930</v>
      </c>
    </row>
    <row r="3166" spans="1:4" x14ac:dyDescent="0.35">
      <c r="A3166" s="1">
        <v>1997</v>
      </c>
      <c r="B3166" t="s">
        <v>26</v>
      </c>
      <c r="C3166" t="s">
        <v>27</v>
      </c>
      <c r="D3166">
        <v>1561309</v>
      </c>
    </row>
    <row r="3167" spans="1:4" x14ac:dyDescent="0.35">
      <c r="A3167" s="1">
        <v>1997</v>
      </c>
      <c r="B3167" t="s">
        <v>40</v>
      </c>
      <c r="C3167" t="s">
        <v>41</v>
      </c>
      <c r="D3167">
        <v>229186</v>
      </c>
    </row>
    <row r="3168" spans="1:4" x14ac:dyDescent="0.35">
      <c r="A3168" s="1">
        <v>1997</v>
      </c>
      <c r="B3168" t="s">
        <v>42</v>
      </c>
      <c r="C3168" t="s">
        <v>43</v>
      </c>
      <c r="D3168">
        <v>549365</v>
      </c>
    </row>
    <row r="3169" spans="1:4" x14ac:dyDescent="0.35">
      <c r="A3169" s="1">
        <v>1997</v>
      </c>
      <c r="B3169" t="s">
        <v>196</v>
      </c>
      <c r="C3169" t="s">
        <v>197</v>
      </c>
      <c r="D3169">
        <v>526451</v>
      </c>
    </row>
    <row r="3170" spans="1:4" x14ac:dyDescent="0.35">
      <c r="A3170" s="1">
        <v>1997</v>
      </c>
      <c r="B3170" t="s">
        <v>28</v>
      </c>
      <c r="C3170" t="s">
        <v>29</v>
      </c>
      <c r="D3170">
        <v>366909</v>
      </c>
    </row>
    <row r="3171" spans="1:4" x14ac:dyDescent="0.35">
      <c r="A3171" s="1">
        <v>1997</v>
      </c>
      <c r="B3171" t="s">
        <v>30</v>
      </c>
      <c r="C3171" t="s">
        <v>31</v>
      </c>
      <c r="D3171">
        <v>619963</v>
      </c>
    </row>
    <row r="3172" spans="1:4" x14ac:dyDescent="0.35">
      <c r="A3172" s="1">
        <v>1997</v>
      </c>
      <c r="B3172" t="s">
        <v>114</v>
      </c>
      <c r="C3172" t="s">
        <v>115</v>
      </c>
      <c r="D3172">
        <v>2110869</v>
      </c>
    </row>
    <row r="3173" spans="1:4" x14ac:dyDescent="0.35">
      <c r="A3173" s="1">
        <v>1997</v>
      </c>
      <c r="B3173" t="s">
        <v>138</v>
      </c>
      <c r="C3173" t="s">
        <v>139</v>
      </c>
      <c r="D3173">
        <v>1239146</v>
      </c>
    </row>
    <row r="3174" spans="1:4" x14ac:dyDescent="0.35">
      <c r="A3174" s="1">
        <v>1997</v>
      </c>
      <c r="B3174" t="s">
        <v>116</v>
      </c>
      <c r="C3174" t="s">
        <v>117</v>
      </c>
      <c r="D3174">
        <v>1176289</v>
      </c>
    </row>
    <row r="3175" spans="1:4" x14ac:dyDescent="0.35">
      <c r="A3175" s="1">
        <v>1997</v>
      </c>
      <c r="B3175" t="s">
        <v>118</v>
      </c>
      <c r="C3175" t="s">
        <v>119</v>
      </c>
      <c r="D3175">
        <v>1353180</v>
      </c>
    </row>
    <row r="3176" spans="1:4" x14ac:dyDescent="0.35">
      <c r="A3176" s="1">
        <v>1997</v>
      </c>
      <c r="B3176" t="s">
        <v>158</v>
      </c>
      <c r="C3176" t="s">
        <v>159</v>
      </c>
      <c r="D3176">
        <v>344760</v>
      </c>
    </row>
    <row r="3177" spans="1:4" x14ac:dyDescent="0.35">
      <c r="A3177" s="1">
        <v>1997</v>
      </c>
      <c r="B3177" t="s">
        <v>112</v>
      </c>
      <c r="C3177" t="s">
        <v>113</v>
      </c>
      <c r="D3177">
        <v>553670</v>
      </c>
    </row>
    <row r="3178" spans="1:4" x14ac:dyDescent="0.35">
      <c r="A3178" s="1">
        <v>1997</v>
      </c>
      <c r="B3178" t="s">
        <v>186</v>
      </c>
      <c r="C3178" t="s">
        <v>187</v>
      </c>
      <c r="D3178">
        <v>342116</v>
      </c>
    </row>
    <row r="3179" spans="1:4" x14ac:dyDescent="0.35">
      <c r="A3179" s="1">
        <v>1997</v>
      </c>
      <c r="B3179" t="s">
        <v>188</v>
      </c>
      <c r="C3179" t="s">
        <v>189</v>
      </c>
      <c r="D3179">
        <v>205208</v>
      </c>
    </row>
    <row r="3180" spans="1:4" x14ac:dyDescent="0.35">
      <c r="A3180" s="1">
        <v>1997</v>
      </c>
      <c r="B3180" t="s">
        <v>208</v>
      </c>
      <c r="C3180" t="s">
        <v>209</v>
      </c>
      <c r="D3180">
        <v>882587</v>
      </c>
    </row>
    <row r="3181" spans="1:4" x14ac:dyDescent="0.35">
      <c r="A3181" s="1">
        <v>1997</v>
      </c>
      <c r="B3181" t="s">
        <v>210</v>
      </c>
      <c r="C3181" t="s">
        <v>211</v>
      </c>
      <c r="D3181">
        <v>492980</v>
      </c>
    </row>
    <row r="3182" spans="1:4" x14ac:dyDescent="0.35">
      <c r="A3182" s="1">
        <v>1997</v>
      </c>
      <c r="B3182" t="s">
        <v>198</v>
      </c>
      <c r="C3182" t="s">
        <v>199</v>
      </c>
      <c r="D3182">
        <v>531497</v>
      </c>
    </row>
    <row r="3183" spans="1:4" x14ac:dyDescent="0.35">
      <c r="A3183" s="1">
        <v>1997</v>
      </c>
      <c r="B3183" t="s">
        <v>160</v>
      </c>
      <c r="C3183" t="s">
        <v>161</v>
      </c>
      <c r="D3183">
        <v>395846</v>
      </c>
    </row>
    <row r="3184" spans="1:4" x14ac:dyDescent="0.35">
      <c r="A3184" s="1">
        <v>1997</v>
      </c>
      <c r="B3184" t="s">
        <v>162</v>
      </c>
      <c r="C3184" t="s">
        <v>163</v>
      </c>
      <c r="D3184">
        <v>354424</v>
      </c>
    </row>
    <row r="3185" spans="1:4" x14ac:dyDescent="0.35">
      <c r="A3185" s="1">
        <v>1997</v>
      </c>
      <c r="B3185" t="s">
        <v>102</v>
      </c>
      <c r="C3185" t="s">
        <v>103</v>
      </c>
      <c r="D3185">
        <v>382949</v>
      </c>
    </row>
    <row r="3186" spans="1:4" x14ac:dyDescent="0.35">
      <c r="A3186" s="1">
        <v>1997</v>
      </c>
      <c r="B3186" t="s">
        <v>44</v>
      </c>
      <c r="C3186" t="s">
        <v>45</v>
      </c>
      <c r="D3186">
        <v>331697</v>
      </c>
    </row>
    <row r="3187" spans="1:4" x14ac:dyDescent="0.35">
      <c r="A3187" s="1">
        <v>1997</v>
      </c>
      <c r="B3187" t="s">
        <v>46</v>
      </c>
      <c r="C3187" t="s">
        <v>221</v>
      </c>
      <c r="D3187">
        <v>137155</v>
      </c>
    </row>
    <row r="3188" spans="1:4" x14ac:dyDescent="0.35">
      <c r="A3188" s="1">
        <v>1997</v>
      </c>
      <c r="B3188" t="s">
        <v>120</v>
      </c>
      <c r="C3188" t="s">
        <v>121</v>
      </c>
      <c r="D3188">
        <v>1131514</v>
      </c>
    </row>
    <row r="3189" spans="1:4" x14ac:dyDescent="0.35">
      <c r="A3189" s="1">
        <v>1997</v>
      </c>
      <c r="B3189" t="s">
        <v>122</v>
      </c>
      <c r="C3189" t="s">
        <v>222</v>
      </c>
      <c r="D3189">
        <v>1412292</v>
      </c>
    </row>
    <row r="3190" spans="1:4" x14ac:dyDescent="0.35">
      <c r="A3190" s="1">
        <v>1997</v>
      </c>
      <c r="B3190" t="s">
        <v>124</v>
      </c>
      <c r="C3190" t="s">
        <v>125</v>
      </c>
      <c r="D3190">
        <v>1388804</v>
      </c>
    </row>
    <row r="3191" spans="1:4" x14ac:dyDescent="0.35">
      <c r="A3191" s="1">
        <v>1997</v>
      </c>
      <c r="B3191" t="s">
        <v>126</v>
      </c>
      <c r="C3191" t="s">
        <v>127</v>
      </c>
      <c r="D3191">
        <v>1222429</v>
      </c>
    </row>
    <row r="3192" spans="1:4" x14ac:dyDescent="0.35">
      <c r="A3192" s="1">
        <v>1997</v>
      </c>
      <c r="B3192" t="s">
        <v>128</v>
      </c>
      <c r="C3192" t="s">
        <v>129</v>
      </c>
      <c r="D3192">
        <v>1100050</v>
      </c>
    </row>
    <row r="3193" spans="1:4" x14ac:dyDescent="0.35">
      <c r="A3193" s="1">
        <v>1997</v>
      </c>
      <c r="B3193" t="s">
        <v>257</v>
      </c>
      <c r="D3193">
        <v>58116018</v>
      </c>
    </row>
    <row r="3194" spans="1:4" x14ac:dyDescent="0.35">
      <c r="A3194" s="1">
        <v>1997</v>
      </c>
      <c r="B3194">
        <v>971</v>
      </c>
      <c r="C3194" t="s">
        <v>73</v>
      </c>
      <c r="D3194">
        <v>376164</v>
      </c>
    </row>
    <row r="3195" spans="1:4" x14ac:dyDescent="0.35">
      <c r="A3195" s="1">
        <v>1997</v>
      </c>
      <c r="B3195">
        <v>972</v>
      </c>
      <c r="C3195" t="s">
        <v>75</v>
      </c>
      <c r="D3195">
        <v>373873</v>
      </c>
    </row>
    <row r="3196" spans="1:4" x14ac:dyDescent="0.35">
      <c r="A3196" s="1">
        <v>1997</v>
      </c>
      <c r="B3196">
        <v>973</v>
      </c>
      <c r="C3196" t="s">
        <v>77</v>
      </c>
      <c r="D3196">
        <v>144937</v>
      </c>
    </row>
    <row r="3197" spans="1:4" x14ac:dyDescent="0.35">
      <c r="A3197" s="1">
        <v>1997</v>
      </c>
      <c r="B3197">
        <v>974</v>
      </c>
      <c r="C3197" t="s">
        <v>79</v>
      </c>
      <c r="D3197">
        <v>680185</v>
      </c>
    </row>
    <row r="3198" spans="1:4" x14ac:dyDescent="0.35">
      <c r="A3198" s="1">
        <v>1997</v>
      </c>
      <c r="B3198" t="s">
        <v>226</v>
      </c>
      <c r="D3198">
        <v>1575159</v>
      </c>
    </row>
    <row r="3199" spans="1:4" x14ac:dyDescent="0.35">
      <c r="A3199" s="1">
        <v>1997</v>
      </c>
      <c r="B3199" t="s">
        <v>227</v>
      </c>
      <c r="D3199">
        <v>59691177</v>
      </c>
    </row>
    <row r="3200" spans="1:4" x14ac:dyDescent="0.35">
      <c r="A3200" s="1">
        <v>1997</v>
      </c>
    </row>
    <row r="3201" spans="1:4" x14ac:dyDescent="0.35">
      <c r="A3201" s="1">
        <v>1997</v>
      </c>
      <c r="B3201" t="s">
        <v>240</v>
      </c>
    </row>
    <row r="3202" spans="1:4" x14ac:dyDescent="0.35">
      <c r="A3202" s="1">
        <v>1996</v>
      </c>
      <c r="B3202" t="s">
        <v>251</v>
      </c>
    </row>
    <row r="3203" spans="1:4" x14ac:dyDescent="0.35">
      <c r="A3203" s="1">
        <v>1996</v>
      </c>
      <c r="B3203" t="s">
        <v>268</v>
      </c>
    </row>
    <row r="3204" spans="1:4" x14ac:dyDescent="0.35">
      <c r="A3204" s="1">
        <v>1996</v>
      </c>
    </row>
    <row r="3205" spans="1:4" x14ac:dyDescent="0.35">
      <c r="A3205" s="1">
        <v>1996</v>
      </c>
      <c r="B3205" t="s">
        <v>231</v>
      </c>
    </row>
    <row r="3206" spans="1:4" x14ac:dyDescent="0.35">
      <c r="A3206" s="1">
        <v>1996</v>
      </c>
      <c r="D3206" t="s">
        <v>232</v>
      </c>
    </row>
    <row r="3207" spans="1:4" x14ac:dyDescent="0.35">
      <c r="A3207" s="1">
        <v>1996</v>
      </c>
      <c r="B3207" t="s">
        <v>5</v>
      </c>
      <c r="C3207" t="s">
        <v>6</v>
      </c>
      <c r="D3207">
        <v>499310</v>
      </c>
    </row>
    <row r="3208" spans="1:4" x14ac:dyDescent="0.35">
      <c r="A3208" s="1">
        <v>1996</v>
      </c>
      <c r="B3208" t="s">
        <v>104</v>
      </c>
      <c r="C3208" t="s">
        <v>105</v>
      </c>
      <c r="D3208">
        <v>538017</v>
      </c>
    </row>
    <row r="3209" spans="1:4" x14ac:dyDescent="0.35">
      <c r="A3209" s="1">
        <v>1996</v>
      </c>
      <c r="B3209" t="s">
        <v>10</v>
      </c>
      <c r="C3209" t="s">
        <v>11</v>
      </c>
      <c r="D3209">
        <v>349376</v>
      </c>
    </row>
    <row r="3210" spans="1:4" x14ac:dyDescent="0.35">
      <c r="A3210" s="1">
        <v>1996</v>
      </c>
      <c r="B3210" t="s">
        <v>200</v>
      </c>
      <c r="C3210" t="s">
        <v>201</v>
      </c>
      <c r="D3210">
        <v>137453</v>
      </c>
    </row>
    <row r="3211" spans="1:4" x14ac:dyDescent="0.35">
      <c r="A3211" s="1">
        <v>1996</v>
      </c>
      <c r="B3211" t="s">
        <v>202</v>
      </c>
      <c r="C3211" t="s">
        <v>203</v>
      </c>
      <c r="D3211">
        <v>118526</v>
      </c>
    </row>
    <row r="3212" spans="1:4" x14ac:dyDescent="0.35">
      <c r="A3212" s="1">
        <v>1996</v>
      </c>
      <c r="B3212" t="s">
        <v>204</v>
      </c>
      <c r="C3212" t="s">
        <v>205</v>
      </c>
      <c r="D3212">
        <v>1000154</v>
      </c>
    </row>
    <row r="3213" spans="1:4" x14ac:dyDescent="0.35">
      <c r="A3213" s="1">
        <v>1996</v>
      </c>
      <c r="B3213" t="s">
        <v>12</v>
      </c>
      <c r="C3213" t="s">
        <v>13</v>
      </c>
      <c r="D3213">
        <v>282838</v>
      </c>
    </row>
    <row r="3214" spans="1:4" x14ac:dyDescent="0.35">
      <c r="A3214" s="1">
        <v>1996</v>
      </c>
      <c r="B3214" t="s">
        <v>84</v>
      </c>
      <c r="C3214" t="s">
        <v>85</v>
      </c>
      <c r="D3214">
        <v>292822</v>
      </c>
    </row>
    <row r="3215" spans="1:4" x14ac:dyDescent="0.35">
      <c r="A3215" s="1">
        <v>1996</v>
      </c>
      <c r="B3215" t="s">
        <v>164</v>
      </c>
      <c r="C3215" t="s">
        <v>165</v>
      </c>
      <c r="D3215">
        <v>136219</v>
      </c>
    </row>
    <row r="3216" spans="1:4" x14ac:dyDescent="0.35">
      <c r="A3216" s="1">
        <v>1996</v>
      </c>
      <c r="B3216" t="s">
        <v>86</v>
      </c>
      <c r="C3216" t="s">
        <v>87</v>
      </c>
      <c r="D3216">
        <v>292381</v>
      </c>
    </row>
    <row r="3217" spans="1:4" x14ac:dyDescent="0.35">
      <c r="A3217" s="1">
        <v>1996</v>
      </c>
      <c r="B3217" t="s">
        <v>166</v>
      </c>
      <c r="C3217" t="s">
        <v>167</v>
      </c>
      <c r="D3217">
        <v>304530</v>
      </c>
    </row>
    <row r="3218" spans="1:4" x14ac:dyDescent="0.35">
      <c r="A3218" s="1">
        <v>1996</v>
      </c>
      <c r="B3218" t="s">
        <v>168</v>
      </c>
      <c r="C3218" t="s">
        <v>169</v>
      </c>
      <c r="D3218">
        <v>265492</v>
      </c>
    </row>
    <row r="3219" spans="1:4" x14ac:dyDescent="0.35">
      <c r="A3219" s="1">
        <v>1996</v>
      </c>
      <c r="B3219" t="s">
        <v>206</v>
      </c>
      <c r="C3219" t="s">
        <v>207</v>
      </c>
      <c r="D3219">
        <v>1809226</v>
      </c>
    </row>
    <row r="3220" spans="1:4" x14ac:dyDescent="0.35">
      <c r="A3220" s="1">
        <v>1996</v>
      </c>
      <c r="B3220" t="s">
        <v>130</v>
      </c>
      <c r="C3220" t="s">
        <v>131</v>
      </c>
      <c r="D3220">
        <v>637669</v>
      </c>
    </row>
    <row r="3221" spans="1:4" x14ac:dyDescent="0.35">
      <c r="A3221" s="1">
        <v>1996</v>
      </c>
      <c r="B3221" t="s">
        <v>14</v>
      </c>
      <c r="C3221" t="s">
        <v>15</v>
      </c>
      <c r="D3221">
        <v>153777</v>
      </c>
    </row>
    <row r="3222" spans="1:4" x14ac:dyDescent="0.35">
      <c r="A3222" s="1">
        <v>1996</v>
      </c>
      <c r="B3222" t="s">
        <v>140</v>
      </c>
      <c r="C3222" t="s">
        <v>141</v>
      </c>
      <c r="D3222">
        <v>340786</v>
      </c>
    </row>
    <row r="3223" spans="1:4" x14ac:dyDescent="0.35">
      <c r="A3223" s="1">
        <v>1996</v>
      </c>
      <c r="B3223" t="s">
        <v>142</v>
      </c>
      <c r="C3223" t="s">
        <v>143</v>
      </c>
      <c r="D3223">
        <v>543835</v>
      </c>
    </row>
    <row r="3224" spans="1:4" x14ac:dyDescent="0.35">
      <c r="A3224" s="1">
        <v>1996</v>
      </c>
      <c r="B3224" t="s">
        <v>56</v>
      </c>
      <c r="C3224" t="s">
        <v>57</v>
      </c>
      <c r="D3224">
        <v>316913</v>
      </c>
    </row>
    <row r="3225" spans="1:4" x14ac:dyDescent="0.35">
      <c r="A3225" s="1">
        <v>1996</v>
      </c>
      <c r="B3225" t="s">
        <v>144</v>
      </c>
      <c r="C3225" t="s">
        <v>145</v>
      </c>
      <c r="D3225">
        <v>234541</v>
      </c>
    </row>
    <row r="3226" spans="1:4" x14ac:dyDescent="0.35">
      <c r="A3226" s="1">
        <v>1996</v>
      </c>
      <c r="B3226" t="s">
        <v>68</v>
      </c>
      <c r="C3226" t="s">
        <v>69</v>
      </c>
      <c r="D3226">
        <v>119165</v>
      </c>
    </row>
    <row r="3227" spans="1:4" x14ac:dyDescent="0.35">
      <c r="A3227" s="1">
        <v>1996</v>
      </c>
      <c r="B3227" t="s">
        <v>70</v>
      </c>
      <c r="C3227" t="s">
        <v>71</v>
      </c>
      <c r="D3227">
        <v>140003</v>
      </c>
    </row>
    <row r="3228" spans="1:4" x14ac:dyDescent="0.35">
      <c r="A3228" s="1">
        <v>1996</v>
      </c>
      <c r="B3228" t="s">
        <v>32</v>
      </c>
      <c r="C3228" t="s">
        <v>219</v>
      </c>
      <c r="D3228">
        <v>504022</v>
      </c>
    </row>
    <row r="3229" spans="1:4" x14ac:dyDescent="0.35">
      <c r="A3229" s="1">
        <v>1996</v>
      </c>
      <c r="B3229" t="s">
        <v>48</v>
      </c>
      <c r="C3229" t="s">
        <v>220</v>
      </c>
      <c r="D3229">
        <v>536856</v>
      </c>
    </row>
    <row r="3230" spans="1:4" x14ac:dyDescent="0.35">
      <c r="A3230" s="1">
        <v>1996</v>
      </c>
      <c r="B3230" t="s">
        <v>146</v>
      </c>
      <c r="C3230" t="s">
        <v>147</v>
      </c>
      <c r="D3230">
        <v>126359</v>
      </c>
    </row>
    <row r="3231" spans="1:4" x14ac:dyDescent="0.35">
      <c r="A3231" s="1">
        <v>1996</v>
      </c>
      <c r="B3231" t="s">
        <v>148</v>
      </c>
      <c r="C3231" t="s">
        <v>149</v>
      </c>
      <c r="D3231">
        <v>386685</v>
      </c>
    </row>
    <row r="3232" spans="1:4" x14ac:dyDescent="0.35">
      <c r="A3232" s="1">
        <v>1996</v>
      </c>
      <c r="B3232" t="s">
        <v>34</v>
      </c>
      <c r="C3232" t="s">
        <v>35</v>
      </c>
      <c r="D3232">
        <v>496848</v>
      </c>
    </row>
    <row r="3233" spans="1:4" x14ac:dyDescent="0.35">
      <c r="A3233" s="1">
        <v>1996</v>
      </c>
      <c r="B3233" t="s">
        <v>16</v>
      </c>
      <c r="C3233" t="s">
        <v>17</v>
      </c>
      <c r="D3233">
        <v>429211</v>
      </c>
    </row>
    <row r="3234" spans="1:4" x14ac:dyDescent="0.35">
      <c r="A3234" s="1">
        <v>1996</v>
      </c>
      <c r="B3234" t="s">
        <v>132</v>
      </c>
      <c r="C3234" t="s">
        <v>133</v>
      </c>
      <c r="D3234">
        <v>534513</v>
      </c>
    </row>
    <row r="3235" spans="1:4" x14ac:dyDescent="0.35">
      <c r="A3235" s="1">
        <v>1996</v>
      </c>
      <c r="B3235" t="s">
        <v>58</v>
      </c>
      <c r="C3235" t="s">
        <v>59</v>
      </c>
      <c r="D3235">
        <v>406961</v>
      </c>
    </row>
    <row r="3236" spans="1:4" x14ac:dyDescent="0.35">
      <c r="A3236" s="1">
        <v>1996</v>
      </c>
      <c r="B3236" t="s">
        <v>50</v>
      </c>
      <c r="C3236" t="s">
        <v>51</v>
      </c>
      <c r="D3236">
        <v>844116</v>
      </c>
    </row>
    <row r="3237" spans="1:4" x14ac:dyDescent="0.35">
      <c r="A3237" s="1">
        <v>1996</v>
      </c>
      <c r="B3237" t="s">
        <v>170</v>
      </c>
      <c r="C3237" t="s">
        <v>171</v>
      </c>
      <c r="D3237">
        <v>608972</v>
      </c>
    </row>
    <row r="3238" spans="1:4" x14ac:dyDescent="0.35">
      <c r="A3238" s="1">
        <v>1996</v>
      </c>
      <c r="B3238" t="s">
        <v>172</v>
      </c>
      <c r="C3238" t="s">
        <v>173</v>
      </c>
      <c r="D3238">
        <v>1004166</v>
      </c>
    </row>
    <row r="3239" spans="1:4" x14ac:dyDescent="0.35">
      <c r="A3239" s="1">
        <v>1996</v>
      </c>
      <c r="B3239" t="s">
        <v>174</v>
      </c>
      <c r="C3239" t="s">
        <v>175</v>
      </c>
      <c r="D3239">
        <v>172560</v>
      </c>
    </row>
    <row r="3240" spans="1:4" x14ac:dyDescent="0.35">
      <c r="A3240" s="1">
        <v>1996</v>
      </c>
      <c r="B3240" t="s">
        <v>150</v>
      </c>
      <c r="C3240" t="s">
        <v>151</v>
      </c>
      <c r="D3240">
        <v>1263427</v>
      </c>
    </row>
    <row r="3241" spans="1:4" x14ac:dyDescent="0.35">
      <c r="A3241" s="1">
        <v>1996</v>
      </c>
      <c r="B3241" t="s">
        <v>176</v>
      </c>
      <c r="C3241" t="s">
        <v>177</v>
      </c>
      <c r="D3241">
        <v>861681</v>
      </c>
    </row>
    <row r="3242" spans="1:4" x14ac:dyDescent="0.35">
      <c r="A3242" s="1">
        <v>1996</v>
      </c>
      <c r="B3242" t="s">
        <v>52</v>
      </c>
      <c r="C3242" t="s">
        <v>53</v>
      </c>
      <c r="D3242">
        <v>840650</v>
      </c>
    </row>
    <row r="3243" spans="1:4" x14ac:dyDescent="0.35">
      <c r="A3243" s="1">
        <v>1996</v>
      </c>
      <c r="B3243" t="s">
        <v>60</v>
      </c>
      <c r="C3243" t="s">
        <v>61</v>
      </c>
      <c r="D3243">
        <v>233375</v>
      </c>
    </row>
    <row r="3244" spans="1:4" x14ac:dyDescent="0.35">
      <c r="A3244" s="1">
        <v>1996</v>
      </c>
      <c r="B3244" t="s">
        <v>62</v>
      </c>
      <c r="C3244" t="s">
        <v>63</v>
      </c>
      <c r="D3244">
        <v>546156</v>
      </c>
    </row>
    <row r="3245" spans="1:4" x14ac:dyDescent="0.35">
      <c r="A3245" s="1">
        <v>1996</v>
      </c>
      <c r="B3245" t="s">
        <v>18</v>
      </c>
      <c r="C3245" t="s">
        <v>19</v>
      </c>
      <c r="D3245">
        <v>1067838</v>
      </c>
    </row>
    <row r="3246" spans="1:4" x14ac:dyDescent="0.35">
      <c r="A3246" s="1">
        <v>1996</v>
      </c>
      <c r="B3246" t="s">
        <v>36</v>
      </c>
      <c r="C3246" t="s">
        <v>37</v>
      </c>
      <c r="D3246">
        <v>250869</v>
      </c>
    </row>
    <row r="3247" spans="1:4" x14ac:dyDescent="0.35">
      <c r="A3247" s="1">
        <v>1996</v>
      </c>
      <c r="B3247" t="s">
        <v>152</v>
      </c>
      <c r="C3247" t="s">
        <v>153</v>
      </c>
      <c r="D3247">
        <v>321240</v>
      </c>
    </row>
    <row r="3248" spans="1:4" x14ac:dyDescent="0.35">
      <c r="A3248" s="1">
        <v>1996</v>
      </c>
      <c r="B3248" t="s">
        <v>64</v>
      </c>
      <c r="C3248" t="s">
        <v>65</v>
      </c>
      <c r="D3248">
        <v>312590</v>
      </c>
    </row>
    <row r="3249" spans="1:4" x14ac:dyDescent="0.35">
      <c r="A3249" s="1">
        <v>1996</v>
      </c>
      <c r="B3249" t="s">
        <v>20</v>
      </c>
      <c r="C3249" t="s">
        <v>21</v>
      </c>
      <c r="D3249">
        <v>738670</v>
      </c>
    </row>
    <row r="3250" spans="1:4" x14ac:dyDescent="0.35">
      <c r="A3250" s="1">
        <v>1996</v>
      </c>
      <c r="B3250" t="s">
        <v>22</v>
      </c>
      <c r="C3250" t="s">
        <v>23</v>
      </c>
      <c r="D3250">
        <v>206895</v>
      </c>
    </row>
    <row r="3251" spans="1:4" x14ac:dyDescent="0.35">
      <c r="A3251" s="1">
        <v>1996</v>
      </c>
      <c r="B3251" t="s">
        <v>190</v>
      </c>
      <c r="C3251" t="s">
        <v>191</v>
      </c>
      <c r="D3251">
        <v>1105020</v>
      </c>
    </row>
    <row r="3252" spans="1:4" x14ac:dyDescent="0.35">
      <c r="A3252" s="1">
        <v>1996</v>
      </c>
      <c r="B3252" t="s">
        <v>66</v>
      </c>
      <c r="C3252" t="s">
        <v>67</v>
      </c>
      <c r="D3252">
        <v>608331</v>
      </c>
    </row>
    <row r="3253" spans="1:4" x14ac:dyDescent="0.35">
      <c r="A3253" s="1">
        <v>1996</v>
      </c>
      <c r="B3253" t="s">
        <v>178</v>
      </c>
      <c r="C3253" t="s">
        <v>179</v>
      </c>
      <c r="D3253">
        <v>158363</v>
      </c>
    </row>
    <row r="3254" spans="1:4" x14ac:dyDescent="0.35">
      <c r="A3254" s="1">
        <v>1996</v>
      </c>
      <c r="B3254" t="s">
        <v>154</v>
      </c>
      <c r="C3254" t="s">
        <v>155</v>
      </c>
      <c r="D3254">
        <v>304064</v>
      </c>
    </row>
    <row r="3255" spans="1:4" x14ac:dyDescent="0.35">
      <c r="A3255" s="1">
        <v>1996</v>
      </c>
      <c r="B3255" t="s">
        <v>180</v>
      </c>
      <c r="C3255" t="s">
        <v>181</v>
      </c>
      <c r="D3255">
        <v>73033</v>
      </c>
    </row>
    <row r="3256" spans="1:4" x14ac:dyDescent="0.35">
      <c r="A3256" s="1">
        <v>1996</v>
      </c>
      <c r="B3256" t="s">
        <v>192</v>
      </c>
      <c r="C3256" t="s">
        <v>193</v>
      </c>
      <c r="D3256">
        <v>724324</v>
      </c>
    </row>
    <row r="3257" spans="1:4" x14ac:dyDescent="0.35">
      <c r="A3257" s="1">
        <v>1996</v>
      </c>
      <c r="B3257" t="s">
        <v>134</v>
      </c>
      <c r="C3257" t="s">
        <v>135</v>
      </c>
      <c r="D3257">
        <v>480267</v>
      </c>
    </row>
    <row r="3258" spans="1:4" x14ac:dyDescent="0.35">
      <c r="A3258" s="1">
        <v>1996</v>
      </c>
      <c r="B3258" t="s">
        <v>88</v>
      </c>
      <c r="C3258" t="s">
        <v>89</v>
      </c>
      <c r="D3258">
        <v>565544</v>
      </c>
    </row>
    <row r="3259" spans="1:4" x14ac:dyDescent="0.35">
      <c r="A3259" s="1">
        <v>1996</v>
      </c>
      <c r="B3259" t="s">
        <v>90</v>
      </c>
      <c r="C3259" t="s">
        <v>91</v>
      </c>
      <c r="D3259">
        <v>198275</v>
      </c>
    </row>
    <row r="3260" spans="1:4" x14ac:dyDescent="0.35">
      <c r="A3260" s="1">
        <v>1996</v>
      </c>
      <c r="B3260" t="s">
        <v>194</v>
      </c>
      <c r="C3260" t="s">
        <v>195</v>
      </c>
      <c r="D3260">
        <v>282376</v>
      </c>
    </row>
    <row r="3261" spans="1:4" x14ac:dyDescent="0.35">
      <c r="A3261" s="1">
        <v>1996</v>
      </c>
      <c r="B3261" t="s">
        <v>92</v>
      </c>
      <c r="C3261" t="s">
        <v>93</v>
      </c>
      <c r="D3261">
        <v>717201</v>
      </c>
    </row>
    <row r="3262" spans="1:4" x14ac:dyDescent="0.35">
      <c r="A3262" s="1">
        <v>1996</v>
      </c>
      <c r="B3262" t="s">
        <v>94</v>
      </c>
      <c r="C3262" t="s">
        <v>95</v>
      </c>
      <c r="D3262">
        <v>194622</v>
      </c>
    </row>
    <row r="3263" spans="1:4" x14ac:dyDescent="0.35">
      <c r="A3263" s="1">
        <v>1996</v>
      </c>
      <c r="B3263" t="s">
        <v>54</v>
      </c>
      <c r="C3263" t="s">
        <v>55</v>
      </c>
      <c r="D3263">
        <v>632042</v>
      </c>
    </row>
    <row r="3264" spans="1:4" x14ac:dyDescent="0.35">
      <c r="A3264" s="1">
        <v>1996</v>
      </c>
      <c r="B3264" t="s">
        <v>96</v>
      </c>
      <c r="C3264" t="s">
        <v>97</v>
      </c>
      <c r="D3264">
        <v>1020258</v>
      </c>
    </row>
    <row r="3265" spans="1:4" x14ac:dyDescent="0.35">
      <c r="A3265" s="1">
        <v>1996</v>
      </c>
      <c r="B3265" t="s">
        <v>38</v>
      </c>
      <c r="C3265" t="s">
        <v>39</v>
      </c>
      <c r="D3265">
        <v>228568</v>
      </c>
    </row>
    <row r="3266" spans="1:4" x14ac:dyDescent="0.35">
      <c r="A3266" s="1">
        <v>1996</v>
      </c>
      <c r="B3266" t="s">
        <v>106</v>
      </c>
      <c r="C3266" t="s">
        <v>107</v>
      </c>
      <c r="D3266">
        <v>2552731</v>
      </c>
    </row>
    <row r="3267" spans="1:4" x14ac:dyDescent="0.35">
      <c r="A3267" s="1">
        <v>1996</v>
      </c>
      <c r="B3267" t="s">
        <v>108</v>
      </c>
      <c r="C3267" t="s">
        <v>109</v>
      </c>
      <c r="D3267">
        <v>760914</v>
      </c>
    </row>
    <row r="3268" spans="1:4" x14ac:dyDescent="0.35">
      <c r="A3268" s="1">
        <v>1996</v>
      </c>
      <c r="B3268" t="s">
        <v>136</v>
      </c>
      <c r="C3268" t="s">
        <v>137</v>
      </c>
      <c r="D3268">
        <v>293516</v>
      </c>
    </row>
    <row r="3269" spans="1:4" x14ac:dyDescent="0.35">
      <c r="A3269" s="1">
        <v>1996</v>
      </c>
      <c r="B3269" t="s">
        <v>110</v>
      </c>
      <c r="C3269" t="s">
        <v>111</v>
      </c>
      <c r="D3269">
        <v>1438800</v>
      </c>
    </row>
    <row r="3270" spans="1:4" x14ac:dyDescent="0.35">
      <c r="A3270" s="1">
        <v>1996</v>
      </c>
      <c r="B3270" t="s">
        <v>24</v>
      </c>
      <c r="C3270" t="s">
        <v>25</v>
      </c>
      <c r="D3270">
        <v>600840</v>
      </c>
    </row>
    <row r="3271" spans="1:4" x14ac:dyDescent="0.35">
      <c r="A3271" s="1">
        <v>1996</v>
      </c>
      <c r="B3271" t="s">
        <v>156</v>
      </c>
      <c r="C3271" t="s">
        <v>157</v>
      </c>
      <c r="D3271">
        <v>589059</v>
      </c>
    </row>
    <row r="3272" spans="1:4" x14ac:dyDescent="0.35">
      <c r="A3272" s="1">
        <v>1996</v>
      </c>
      <c r="B3272" t="s">
        <v>182</v>
      </c>
      <c r="C3272" t="s">
        <v>183</v>
      </c>
      <c r="D3272">
        <v>223560</v>
      </c>
    </row>
    <row r="3273" spans="1:4" x14ac:dyDescent="0.35">
      <c r="A3273" s="1">
        <v>1996</v>
      </c>
      <c r="B3273" t="s">
        <v>184</v>
      </c>
      <c r="C3273" t="s">
        <v>185</v>
      </c>
      <c r="D3273">
        <v>381189</v>
      </c>
    </row>
    <row r="3274" spans="1:4" x14ac:dyDescent="0.35">
      <c r="A3274" s="1">
        <v>1996</v>
      </c>
      <c r="B3274" t="s">
        <v>98</v>
      </c>
      <c r="C3274" t="s">
        <v>99</v>
      </c>
      <c r="D3274">
        <v>1002555</v>
      </c>
    </row>
    <row r="3275" spans="1:4" x14ac:dyDescent="0.35">
      <c r="A3275" s="1">
        <v>1996</v>
      </c>
      <c r="B3275" t="s">
        <v>100</v>
      </c>
      <c r="C3275" t="s">
        <v>101</v>
      </c>
      <c r="D3275">
        <v>696784</v>
      </c>
    </row>
    <row r="3276" spans="1:4" x14ac:dyDescent="0.35">
      <c r="A3276" s="1">
        <v>1996</v>
      </c>
      <c r="B3276" t="s">
        <v>26</v>
      </c>
      <c r="C3276" t="s">
        <v>27</v>
      </c>
      <c r="D3276">
        <v>1556437</v>
      </c>
    </row>
    <row r="3277" spans="1:4" x14ac:dyDescent="0.35">
      <c r="A3277" s="1">
        <v>1996</v>
      </c>
      <c r="B3277" t="s">
        <v>40</v>
      </c>
      <c r="C3277" t="s">
        <v>41</v>
      </c>
      <c r="D3277">
        <v>229104</v>
      </c>
    </row>
    <row r="3278" spans="1:4" x14ac:dyDescent="0.35">
      <c r="A3278" s="1">
        <v>1996</v>
      </c>
      <c r="B3278" t="s">
        <v>42</v>
      </c>
      <c r="C3278" t="s">
        <v>43</v>
      </c>
      <c r="D3278">
        <v>551555</v>
      </c>
    </row>
    <row r="3279" spans="1:4" x14ac:dyDescent="0.35">
      <c r="A3279" s="1">
        <v>1996</v>
      </c>
      <c r="B3279" t="s">
        <v>196</v>
      </c>
      <c r="C3279" t="s">
        <v>197</v>
      </c>
      <c r="D3279">
        <v>523975</v>
      </c>
    </row>
    <row r="3280" spans="1:4" x14ac:dyDescent="0.35">
      <c r="A3280" s="1">
        <v>1996</v>
      </c>
      <c r="B3280" t="s">
        <v>28</v>
      </c>
      <c r="C3280" t="s">
        <v>29</v>
      </c>
      <c r="D3280">
        <v>363987</v>
      </c>
    </row>
    <row r="3281" spans="1:4" x14ac:dyDescent="0.35">
      <c r="A3281" s="1">
        <v>1996</v>
      </c>
      <c r="B3281" t="s">
        <v>30</v>
      </c>
      <c r="C3281" t="s">
        <v>31</v>
      </c>
      <c r="D3281">
        <v>613467</v>
      </c>
    </row>
    <row r="3282" spans="1:4" x14ac:dyDescent="0.35">
      <c r="A3282" s="1">
        <v>1996</v>
      </c>
      <c r="B3282" t="s">
        <v>114</v>
      </c>
      <c r="C3282" t="s">
        <v>115</v>
      </c>
      <c r="D3282">
        <v>2116512</v>
      </c>
    </row>
    <row r="3283" spans="1:4" x14ac:dyDescent="0.35">
      <c r="A3283" s="1">
        <v>1996</v>
      </c>
      <c r="B3283" t="s">
        <v>138</v>
      </c>
      <c r="C3283" t="s">
        <v>139</v>
      </c>
      <c r="D3283">
        <v>1239937</v>
      </c>
    </row>
    <row r="3284" spans="1:4" x14ac:dyDescent="0.35">
      <c r="A3284" s="1">
        <v>1996</v>
      </c>
      <c r="B3284" t="s">
        <v>116</v>
      </c>
      <c r="C3284" t="s">
        <v>117</v>
      </c>
      <c r="D3284">
        <v>1169827</v>
      </c>
    </row>
    <row r="3285" spans="1:4" x14ac:dyDescent="0.35">
      <c r="A3285" s="1">
        <v>1996</v>
      </c>
      <c r="B3285" t="s">
        <v>118</v>
      </c>
      <c r="C3285" t="s">
        <v>119</v>
      </c>
      <c r="D3285">
        <v>1350539</v>
      </c>
    </row>
    <row r="3286" spans="1:4" x14ac:dyDescent="0.35">
      <c r="A3286" s="1">
        <v>1996</v>
      </c>
      <c r="B3286" t="s">
        <v>158</v>
      </c>
      <c r="C3286" t="s">
        <v>159</v>
      </c>
      <c r="D3286">
        <v>345255</v>
      </c>
    </row>
    <row r="3287" spans="1:4" x14ac:dyDescent="0.35">
      <c r="A3287" s="1">
        <v>1996</v>
      </c>
      <c r="B3287" t="s">
        <v>112</v>
      </c>
      <c r="C3287" t="s">
        <v>113</v>
      </c>
      <c r="D3287">
        <v>553038</v>
      </c>
    </row>
    <row r="3288" spans="1:4" x14ac:dyDescent="0.35">
      <c r="A3288" s="1">
        <v>1996</v>
      </c>
      <c r="B3288" t="s">
        <v>186</v>
      </c>
      <c r="C3288" t="s">
        <v>187</v>
      </c>
      <c r="D3288">
        <v>341940</v>
      </c>
    </row>
    <row r="3289" spans="1:4" x14ac:dyDescent="0.35">
      <c r="A3289" s="1">
        <v>1996</v>
      </c>
      <c r="B3289" t="s">
        <v>188</v>
      </c>
      <c r="C3289" t="s">
        <v>189</v>
      </c>
      <c r="D3289">
        <v>204642</v>
      </c>
    </row>
    <row r="3290" spans="1:4" x14ac:dyDescent="0.35">
      <c r="A3290" s="1">
        <v>1996</v>
      </c>
      <c r="B3290" t="s">
        <v>208</v>
      </c>
      <c r="C3290" t="s">
        <v>209</v>
      </c>
      <c r="D3290">
        <v>871505</v>
      </c>
    </row>
    <row r="3291" spans="1:4" x14ac:dyDescent="0.35">
      <c r="A3291" s="1">
        <v>1996</v>
      </c>
      <c r="B3291" t="s">
        <v>210</v>
      </c>
      <c r="C3291" t="s">
        <v>211</v>
      </c>
      <c r="D3291">
        <v>489330</v>
      </c>
    </row>
    <row r="3292" spans="1:4" x14ac:dyDescent="0.35">
      <c r="A3292" s="1">
        <v>1996</v>
      </c>
      <c r="B3292" t="s">
        <v>198</v>
      </c>
      <c r="C3292" t="s">
        <v>199</v>
      </c>
      <c r="D3292">
        <v>528344</v>
      </c>
    </row>
    <row r="3293" spans="1:4" x14ac:dyDescent="0.35">
      <c r="A3293" s="1">
        <v>1996</v>
      </c>
      <c r="B3293" t="s">
        <v>160</v>
      </c>
      <c r="C3293" t="s">
        <v>161</v>
      </c>
      <c r="D3293">
        <v>393845</v>
      </c>
    </row>
    <row r="3294" spans="1:4" x14ac:dyDescent="0.35">
      <c r="A3294" s="1">
        <v>1996</v>
      </c>
      <c r="B3294" t="s">
        <v>162</v>
      </c>
      <c r="C3294" t="s">
        <v>163</v>
      </c>
      <c r="D3294">
        <v>354415</v>
      </c>
    </row>
    <row r="3295" spans="1:4" x14ac:dyDescent="0.35">
      <c r="A3295" s="1">
        <v>1996</v>
      </c>
      <c r="B3295" t="s">
        <v>102</v>
      </c>
      <c r="C3295" t="s">
        <v>103</v>
      </c>
      <c r="D3295">
        <v>383701</v>
      </c>
    </row>
    <row r="3296" spans="1:4" x14ac:dyDescent="0.35">
      <c r="A3296" s="1">
        <v>1996</v>
      </c>
      <c r="B3296" t="s">
        <v>44</v>
      </c>
      <c r="C3296" t="s">
        <v>45</v>
      </c>
      <c r="D3296">
        <v>330730</v>
      </c>
    </row>
    <row r="3297" spans="1:4" x14ac:dyDescent="0.35">
      <c r="A3297" s="1">
        <v>1996</v>
      </c>
      <c r="B3297" t="s">
        <v>46</v>
      </c>
      <c r="C3297" t="s">
        <v>221</v>
      </c>
      <c r="D3297">
        <v>136975</v>
      </c>
    </row>
    <row r="3298" spans="1:4" x14ac:dyDescent="0.35">
      <c r="A3298" s="1">
        <v>1996</v>
      </c>
      <c r="B3298" t="s">
        <v>120</v>
      </c>
      <c r="C3298" t="s">
        <v>121</v>
      </c>
      <c r="D3298">
        <v>1131399</v>
      </c>
    </row>
    <row r="3299" spans="1:4" x14ac:dyDescent="0.35">
      <c r="A3299" s="1">
        <v>1996</v>
      </c>
      <c r="B3299" t="s">
        <v>122</v>
      </c>
      <c r="C3299" t="s">
        <v>222</v>
      </c>
      <c r="D3299">
        <v>1406949</v>
      </c>
    </row>
    <row r="3300" spans="1:4" x14ac:dyDescent="0.35">
      <c r="A3300" s="1">
        <v>1996</v>
      </c>
      <c r="B3300" t="s">
        <v>124</v>
      </c>
      <c r="C3300" t="s">
        <v>125</v>
      </c>
      <c r="D3300">
        <v>1389668</v>
      </c>
    </row>
    <row r="3301" spans="1:4" x14ac:dyDescent="0.35">
      <c r="A3301" s="1">
        <v>1996</v>
      </c>
      <c r="B3301" t="s">
        <v>126</v>
      </c>
      <c r="C3301" t="s">
        <v>127</v>
      </c>
      <c r="D3301">
        <v>1221145</v>
      </c>
    </row>
    <row r="3302" spans="1:4" x14ac:dyDescent="0.35">
      <c r="A3302" s="1">
        <v>1996</v>
      </c>
      <c r="B3302" t="s">
        <v>128</v>
      </c>
      <c r="C3302" t="s">
        <v>129</v>
      </c>
      <c r="D3302">
        <v>1097809</v>
      </c>
    </row>
    <row r="3303" spans="1:4" x14ac:dyDescent="0.35">
      <c r="A3303" s="1">
        <v>1996</v>
      </c>
      <c r="B3303" t="s">
        <v>257</v>
      </c>
      <c r="D3303">
        <v>57935959</v>
      </c>
    </row>
    <row r="3304" spans="1:4" x14ac:dyDescent="0.35">
      <c r="A3304" s="1">
        <v>1996</v>
      </c>
      <c r="B3304">
        <v>971</v>
      </c>
      <c r="C3304" t="s">
        <v>73</v>
      </c>
      <c r="D3304">
        <v>371873</v>
      </c>
    </row>
    <row r="3305" spans="1:4" x14ac:dyDescent="0.35">
      <c r="A3305" s="1">
        <v>1996</v>
      </c>
      <c r="B3305">
        <v>972</v>
      </c>
      <c r="C3305" t="s">
        <v>75</v>
      </c>
      <c r="D3305">
        <v>370818</v>
      </c>
    </row>
    <row r="3306" spans="1:4" x14ac:dyDescent="0.35">
      <c r="A3306" s="1">
        <v>1996</v>
      </c>
      <c r="B3306">
        <v>973</v>
      </c>
      <c r="C3306" t="s">
        <v>77</v>
      </c>
      <c r="D3306">
        <v>139848</v>
      </c>
    </row>
    <row r="3307" spans="1:4" x14ac:dyDescent="0.35">
      <c r="A3307" s="1">
        <v>1996</v>
      </c>
      <c r="B3307">
        <v>974</v>
      </c>
      <c r="C3307" t="s">
        <v>79</v>
      </c>
      <c r="D3307">
        <v>668915</v>
      </c>
    </row>
    <row r="3308" spans="1:4" x14ac:dyDescent="0.35">
      <c r="A3308" s="1">
        <v>1996</v>
      </c>
      <c r="B3308" t="s">
        <v>226</v>
      </c>
      <c r="D3308">
        <v>1551454</v>
      </c>
    </row>
    <row r="3309" spans="1:4" x14ac:dyDescent="0.35">
      <c r="A3309" s="1">
        <v>1996</v>
      </c>
      <c r="B3309" t="s">
        <v>227</v>
      </c>
      <c r="D3309">
        <v>59487413</v>
      </c>
    </row>
    <row r="3310" spans="1:4" x14ac:dyDescent="0.35">
      <c r="A3310" s="1">
        <v>1996</v>
      </c>
    </row>
    <row r="3311" spans="1:4" x14ac:dyDescent="0.35">
      <c r="A3311" s="1">
        <v>1996</v>
      </c>
      <c r="B3311" t="s">
        <v>240</v>
      </c>
    </row>
    <row r="3312" spans="1:4" x14ac:dyDescent="0.35">
      <c r="A3312" s="1">
        <v>1995</v>
      </c>
      <c r="B3312" t="s">
        <v>251</v>
      </c>
    </row>
    <row r="3313" spans="1:4" x14ac:dyDescent="0.35">
      <c r="A3313" s="1">
        <v>1995</v>
      </c>
      <c r="B3313" t="s">
        <v>269</v>
      </c>
    </row>
    <row r="3314" spans="1:4" x14ac:dyDescent="0.35">
      <c r="A3314" s="1">
        <v>1995</v>
      </c>
    </row>
    <row r="3315" spans="1:4" x14ac:dyDescent="0.35">
      <c r="A3315" s="1">
        <v>1995</v>
      </c>
      <c r="B3315" t="s">
        <v>231</v>
      </c>
    </row>
    <row r="3316" spans="1:4" x14ac:dyDescent="0.35">
      <c r="A3316" s="1">
        <v>1995</v>
      </c>
      <c r="D3316" t="s">
        <v>232</v>
      </c>
    </row>
    <row r="3317" spans="1:4" x14ac:dyDescent="0.35">
      <c r="A3317" s="1">
        <v>1995</v>
      </c>
      <c r="B3317" t="s">
        <v>5</v>
      </c>
      <c r="C3317" t="s">
        <v>6</v>
      </c>
      <c r="D3317">
        <v>495127</v>
      </c>
    </row>
    <row r="3318" spans="1:4" x14ac:dyDescent="0.35">
      <c r="A3318" s="1">
        <v>1995</v>
      </c>
      <c r="B3318" t="s">
        <v>104</v>
      </c>
      <c r="C3318" t="s">
        <v>105</v>
      </c>
      <c r="D3318">
        <v>538324</v>
      </c>
    </row>
    <row r="3319" spans="1:4" x14ac:dyDescent="0.35">
      <c r="A3319" s="1">
        <v>1995</v>
      </c>
      <c r="B3319" t="s">
        <v>10</v>
      </c>
      <c r="C3319" t="s">
        <v>11</v>
      </c>
      <c r="D3319">
        <v>351058</v>
      </c>
    </row>
    <row r="3320" spans="1:4" x14ac:dyDescent="0.35">
      <c r="A3320" s="1">
        <v>1995</v>
      </c>
      <c r="B3320" t="s">
        <v>200</v>
      </c>
      <c r="C3320" t="s">
        <v>201</v>
      </c>
      <c r="D3320">
        <v>136392</v>
      </c>
    </row>
    <row r="3321" spans="1:4" x14ac:dyDescent="0.35">
      <c r="A3321" s="1">
        <v>1995</v>
      </c>
      <c r="B3321" t="s">
        <v>202</v>
      </c>
      <c r="C3321" t="s">
        <v>203</v>
      </c>
      <c r="D3321">
        <v>117530</v>
      </c>
    </row>
    <row r="3322" spans="1:4" x14ac:dyDescent="0.35">
      <c r="A3322" s="1">
        <v>1995</v>
      </c>
      <c r="B3322" t="s">
        <v>204</v>
      </c>
      <c r="C3322" t="s">
        <v>205</v>
      </c>
      <c r="D3322">
        <v>998702</v>
      </c>
    </row>
    <row r="3323" spans="1:4" x14ac:dyDescent="0.35">
      <c r="A3323" s="1">
        <v>1995</v>
      </c>
      <c r="B3323" t="s">
        <v>12</v>
      </c>
      <c r="C3323" t="s">
        <v>13</v>
      </c>
      <c r="D3323">
        <v>281487</v>
      </c>
    </row>
    <row r="3324" spans="1:4" x14ac:dyDescent="0.35">
      <c r="A3324" s="1">
        <v>1995</v>
      </c>
      <c r="B3324" t="s">
        <v>84</v>
      </c>
      <c r="C3324" t="s">
        <v>85</v>
      </c>
      <c r="D3324">
        <v>293368</v>
      </c>
    </row>
    <row r="3325" spans="1:4" x14ac:dyDescent="0.35">
      <c r="A3325" s="1">
        <v>1995</v>
      </c>
      <c r="B3325" t="s">
        <v>164</v>
      </c>
      <c r="C3325" t="s">
        <v>165</v>
      </c>
      <c r="D3325">
        <v>136496</v>
      </c>
    </row>
    <row r="3326" spans="1:4" x14ac:dyDescent="0.35">
      <c r="A3326" s="1">
        <v>1995</v>
      </c>
      <c r="B3326" t="s">
        <v>86</v>
      </c>
      <c r="C3326" t="s">
        <v>87</v>
      </c>
      <c r="D3326">
        <v>292575</v>
      </c>
    </row>
    <row r="3327" spans="1:4" x14ac:dyDescent="0.35">
      <c r="A3327" s="1">
        <v>1995</v>
      </c>
      <c r="B3327" t="s">
        <v>166</v>
      </c>
      <c r="C3327" t="s">
        <v>167</v>
      </c>
      <c r="D3327">
        <v>303404</v>
      </c>
    </row>
    <row r="3328" spans="1:4" x14ac:dyDescent="0.35">
      <c r="A3328" s="1">
        <v>1995</v>
      </c>
      <c r="B3328" t="s">
        <v>168</v>
      </c>
      <c r="C3328" t="s">
        <v>169</v>
      </c>
      <c r="D3328">
        <v>266473</v>
      </c>
    </row>
    <row r="3329" spans="1:4" x14ac:dyDescent="0.35">
      <c r="A3329" s="1">
        <v>1995</v>
      </c>
      <c r="B3329" t="s">
        <v>206</v>
      </c>
      <c r="C3329" t="s">
        <v>207</v>
      </c>
      <c r="D3329">
        <v>1802202</v>
      </c>
    </row>
    <row r="3330" spans="1:4" x14ac:dyDescent="0.35">
      <c r="A3330" s="1">
        <v>1995</v>
      </c>
      <c r="B3330" t="s">
        <v>130</v>
      </c>
      <c r="C3330" t="s">
        <v>131</v>
      </c>
      <c r="D3330">
        <v>633738</v>
      </c>
    </row>
    <row r="3331" spans="1:4" x14ac:dyDescent="0.35">
      <c r="A3331" s="1">
        <v>1995</v>
      </c>
      <c r="B3331" t="s">
        <v>14</v>
      </c>
      <c r="C3331" t="s">
        <v>15</v>
      </c>
      <c r="D3331">
        <v>154630</v>
      </c>
    </row>
    <row r="3332" spans="1:4" x14ac:dyDescent="0.35">
      <c r="A3332" s="1">
        <v>1995</v>
      </c>
      <c r="B3332" t="s">
        <v>140</v>
      </c>
      <c r="C3332" t="s">
        <v>141</v>
      </c>
      <c r="D3332">
        <v>341371</v>
      </c>
    </row>
    <row r="3333" spans="1:4" x14ac:dyDescent="0.35">
      <c r="A3333" s="1">
        <v>1995</v>
      </c>
      <c r="B3333" t="s">
        <v>142</v>
      </c>
      <c r="C3333" t="s">
        <v>143</v>
      </c>
      <c r="D3333">
        <v>540779</v>
      </c>
    </row>
    <row r="3334" spans="1:4" x14ac:dyDescent="0.35">
      <c r="A3334" s="1">
        <v>1995</v>
      </c>
      <c r="B3334" t="s">
        <v>56</v>
      </c>
      <c r="C3334" t="s">
        <v>57</v>
      </c>
      <c r="D3334">
        <v>318250</v>
      </c>
    </row>
    <row r="3335" spans="1:4" x14ac:dyDescent="0.35">
      <c r="A3335" s="1">
        <v>1995</v>
      </c>
      <c r="B3335" t="s">
        <v>144</v>
      </c>
      <c r="C3335" t="s">
        <v>145</v>
      </c>
      <c r="D3335">
        <v>235422</v>
      </c>
    </row>
    <row r="3336" spans="1:4" x14ac:dyDescent="0.35">
      <c r="A3336" s="1">
        <v>1995</v>
      </c>
      <c r="B3336" t="s">
        <v>68</v>
      </c>
      <c r="C3336" t="s">
        <v>69</v>
      </c>
      <c r="D3336">
        <v>119753</v>
      </c>
    </row>
    <row r="3337" spans="1:4" x14ac:dyDescent="0.35">
      <c r="A3337" s="1">
        <v>1995</v>
      </c>
      <c r="B3337" t="s">
        <v>70</v>
      </c>
      <c r="C3337" t="s">
        <v>71</v>
      </c>
      <c r="D3337">
        <v>138663</v>
      </c>
    </row>
    <row r="3338" spans="1:4" x14ac:dyDescent="0.35">
      <c r="A3338" s="1">
        <v>1995</v>
      </c>
      <c r="B3338" t="s">
        <v>32</v>
      </c>
      <c r="C3338" t="s">
        <v>219</v>
      </c>
      <c r="D3338">
        <v>502767</v>
      </c>
    </row>
    <row r="3339" spans="1:4" x14ac:dyDescent="0.35">
      <c r="A3339" s="1">
        <v>1995</v>
      </c>
      <c r="B3339" t="s">
        <v>48</v>
      </c>
      <c r="C3339" t="s">
        <v>220</v>
      </c>
      <c r="D3339">
        <v>537009</v>
      </c>
    </row>
    <row r="3340" spans="1:4" x14ac:dyDescent="0.35">
      <c r="A3340" s="1">
        <v>1995</v>
      </c>
      <c r="B3340" t="s">
        <v>146</v>
      </c>
      <c r="C3340" t="s">
        <v>147</v>
      </c>
      <c r="D3340">
        <v>127002</v>
      </c>
    </row>
    <row r="3341" spans="1:4" x14ac:dyDescent="0.35">
      <c r="A3341" s="1">
        <v>1995</v>
      </c>
      <c r="B3341" t="s">
        <v>148</v>
      </c>
      <c r="C3341" t="s">
        <v>149</v>
      </c>
      <c r="D3341">
        <v>386941</v>
      </c>
    </row>
    <row r="3342" spans="1:4" x14ac:dyDescent="0.35">
      <c r="A3342" s="1">
        <v>1995</v>
      </c>
      <c r="B3342" t="s">
        <v>34</v>
      </c>
      <c r="C3342" t="s">
        <v>35</v>
      </c>
      <c r="D3342">
        <v>495063</v>
      </c>
    </row>
    <row r="3343" spans="1:4" x14ac:dyDescent="0.35">
      <c r="A3343" s="1">
        <v>1995</v>
      </c>
      <c r="B3343" t="s">
        <v>16</v>
      </c>
      <c r="C3343" t="s">
        <v>17</v>
      </c>
      <c r="D3343">
        <v>427508</v>
      </c>
    </row>
    <row r="3344" spans="1:4" x14ac:dyDescent="0.35">
      <c r="A3344" s="1">
        <v>1995</v>
      </c>
      <c r="B3344" t="s">
        <v>132</v>
      </c>
      <c r="C3344" t="s">
        <v>133</v>
      </c>
      <c r="D3344">
        <v>531677</v>
      </c>
    </row>
    <row r="3345" spans="1:4" x14ac:dyDescent="0.35">
      <c r="A3345" s="1">
        <v>1995</v>
      </c>
      <c r="B3345" t="s">
        <v>58</v>
      </c>
      <c r="C3345" t="s">
        <v>59</v>
      </c>
      <c r="D3345">
        <v>406368</v>
      </c>
    </row>
    <row r="3346" spans="1:4" x14ac:dyDescent="0.35">
      <c r="A3346" s="1">
        <v>1995</v>
      </c>
      <c r="B3346" t="s">
        <v>50</v>
      </c>
      <c r="C3346" t="s">
        <v>51</v>
      </c>
      <c r="D3346">
        <v>841298</v>
      </c>
    </row>
    <row r="3347" spans="1:4" x14ac:dyDescent="0.35">
      <c r="A3347" s="1">
        <v>1995</v>
      </c>
      <c r="B3347" t="s">
        <v>170</v>
      </c>
      <c r="C3347" t="s">
        <v>171</v>
      </c>
      <c r="D3347">
        <v>605413</v>
      </c>
    </row>
    <row r="3348" spans="1:4" x14ac:dyDescent="0.35">
      <c r="A3348" s="1">
        <v>1995</v>
      </c>
      <c r="B3348" t="s">
        <v>172</v>
      </c>
      <c r="C3348" t="s">
        <v>173</v>
      </c>
      <c r="D3348">
        <v>991133</v>
      </c>
    </row>
    <row r="3349" spans="1:4" x14ac:dyDescent="0.35">
      <c r="A3349" s="1">
        <v>1995</v>
      </c>
      <c r="B3349" t="s">
        <v>174</v>
      </c>
      <c r="C3349" t="s">
        <v>175</v>
      </c>
      <c r="D3349">
        <v>172650</v>
      </c>
    </row>
    <row r="3350" spans="1:4" x14ac:dyDescent="0.35">
      <c r="A3350" s="1">
        <v>1995</v>
      </c>
      <c r="B3350" t="s">
        <v>150</v>
      </c>
      <c r="C3350" t="s">
        <v>151</v>
      </c>
      <c r="D3350">
        <v>1256465</v>
      </c>
    </row>
    <row r="3351" spans="1:4" x14ac:dyDescent="0.35">
      <c r="A3351" s="1">
        <v>1995</v>
      </c>
      <c r="B3351" t="s">
        <v>176</v>
      </c>
      <c r="C3351" t="s">
        <v>177</v>
      </c>
      <c r="D3351">
        <v>850037</v>
      </c>
    </row>
    <row r="3352" spans="1:4" x14ac:dyDescent="0.35">
      <c r="A3352" s="1">
        <v>1995</v>
      </c>
      <c r="B3352" t="s">
        <v>52</v>
      </c>
      <c r="C3352" t="s">
        <v>53</v>
      </c>
      <c r="D3352">
        <v>832855</v>
      </c>
    </row>
    <row r="3353" spans="1:4" x14ac:dyDescent="0.35">
      <c r="A3353" s="1">
        <v>1995</v>
      </c>
      <c r="B3353" t="s">
        <v>60</v>
      </c>
      <c r="C3353" t="s">
        <v>61</v>
      </c>
      <c r="D3353">
        <v>234056</v>
      </c>
    </row>
    <row r="3354" spans="1:4" x14ac:dyDescent="0.35">
      <c r="A3354" s="1">
        <v>1995</v>
      </c>
      <c r="B3354" t="s">
        <v>62</v>
      </c>
      <c r="C3354" t="s">
        <v>63</v>
      </c>
      <c r="D3354">
        <v>543482</v>
      </c>
    </row>
    <row r="3355" spans="1:4" x14ac:dyDescent="0.35">
      <c r="A3355" s="1">
        <v>1995</v>
      </c>
      <c r="B3355" t="s">
        <v>18</v>
      </c>
      <c r="C3355" t="s">
        <v>19</v>
      </c>
      <c r="D3355">
        <v>1059768</v>
      </c>
    </row>
    <row r="3356" spans="1:4" x14ac:dyDescent="0.35">
      <c r="A3356" s="1">
        <v>1995</v>
      </c>
      <c r="B3356" t="s">
        <v>36</v>
      </c>
      <c r="C3356" t="s">
        <v>37</v>
      </c>
      <c r="D3356">
        <v>250509</v>
      </c>
    </row>
    <row r="3357" spans="1:4" x14ac:dyDescent="0.35">
      <c r="A3357" s="1">
        <v>1995</v>
      </c>
      <c r="B3357" t="s">
        <v>152</v>
      </c>
      <c r="C3357" t="s">
        <v>153</v>
      </c>
      <c r="D3357">
        <v>319778</v>
      </c>
    </row>
    <row r="3358" spans="1:4" x14ac:dyDescent="0.35">
      <c r="A3358" s="1">
        <v>1995</v>
      </c>
      <c r="B3358" t="s">
        <v>64</v>
      </c>
      <c r="C3358" t="s">
        <v>65</v>
      </c>
      <c r="D3358">
        <v>311590</v>
      </c>
    </row>
    <row r="3359" spans="1:4" x14ac:dyDescent="0.35">
      <c r="A3359" s="1">
        <v>1995</v>
      </c>
      <c r="B3359" t="s">
        <v>20</v>
      </c>
      <c r="C3359" t="s">
        <v>21</v>
      </c>
      <c r="D3359">
        <v>740191</v>
      </c>
    </row>
    <row r="3360" spans="1:4" x14ac:dyDescent="0.35">
      <c r="A3360" s="1">
        <v>1995</v>
      </c>
      <c r="B3360" t="s">
        <v>22</v>
      </c>
      <c r="C3360" t="s">
        <v>23</v>
      </c>
      <c r="D3360">
        <v>206511</v>
      </c>
    </row>
    <row r="3361" spans="1:4" x14ac:dyDescent="0.35">
      <c r="A3361" s="1">
        <v>1995</v>
      </c>
      <c r="B3361" t="s">
        <v>190</v>
      </c>
      <c r="C3361" t="s">
        <v>191</v>
      </c>
      <c r="D3361">
        <v>1096033</v>
      </c>
    </row>
    <row r="3362" spans="1:4" x14ac:dyDescent="0.35">
      <c r="A3362" s="1">
        <v>1995</v>
      </c>
      <c r="B3362" t="s">
        <v>66</v>
      </c>
      <c r="C3362" t="s">
        <v>67</v>
      </c>
      <c r="D3362">
        <v>604569</v>
      </c>
    </row>
    <row r="3363" spans="1:4" x14ac:dyDescent="0.35">
      <c r="A3363" s="1">
        <v>1995</v>
      </c>
      <c r="B3363" t="s">
        <v>178</v>
      </c>
      <c r="C3363" t="s">
        <v>179</v>
      </c>
      <c r="D3363">
        <v>157977</v>
      </c>
    </row>
    <row r="3364" spans="1:4" x14ac:dyDescent="0.35">
      <c r="A3364" s="1">
        <v>1995</v>
      </c>
      <c r="B3364" t="s">
        <v>154</v>
      </c>
      <c r="C3364" t="s">
        <v>155</v>
      </c>
      <c r="D3364">
        <v>304310</v>
      </c>
    </row>
    <row r="3365" spans="1:4" x14ac:dyDescent="0.35">
      <c r="A3365" s="1">
        <v>1995</v>
      </c>
      <c r="B3365" t="s">
        <v>180</v>
      </c>
      <c r="C3365" t="s">
        <v>181</v>
      </c>
      <c r="D3365">
        <v>72884</v>
      </c>
    </row>
    <row r="3366" spans="1:4" x14ac:dyDescent="0.35">
      <c r="A3366" s="1">
        <v>1995</v>
      </c>
      <c r="B3366" t="s">
        <v>192</v>
      </c>
      <c r="C3366" t="s">
        <v>193</v>
      </c>
      <c r="D3366">
        <v>720569</v>
      </c>
    </row>
    <row r="3367" spans="1:4" x14ac:dyDescent="0.35">
      <c r="A3367" s="1">
        <v>1995</v>
      </c>
      <c r="B3367" t="s">
        <v>134</v>
      </c>
      <c r="C3367" t="s">
        <v>135</v>
      </c>
      <c r="D3367">
        <v>480310</v>
      </c>
    </row>
    <row r="3368" spans="1:4" x14ac:dyDescent="0.35">
      <c r="A3368" s="1">
        <v>1995</v>
      </c>
      <c r="B3368" t="s">
        <v>88</v>
      </c>
      <c r="C3368" t="s">
        <v>89</v>
      </c>
      <c r="D3368">
        <v>564908</v>
      </c>
    </row>
    <row r="3369" spans="1:4" x14ac:dyDescent="0.35">
      <c r="A3369" s="1">
        <v>1995</v>
      </c>
      <c r="B3369" t="s">
        <v>90</v>
      </c>
      <c r="C3369" t="s">
        <v>91</v>
      </c>
      <c r="D3369">
        <v>199263</v>
      </c>
    </row>
    <row r="3370" spans="1:4" x14ac:dyDescent="0.35">
      <c r="A3370" s="1">
        <v>1995</v>
      </c>
      <c r="B3370" t="s">
        <v>194</v>
      </c>
      <c r="C3370" t="s">
        <v>195</v>
      </c>
      <c r="D3370">
        <v>281443</v>
      </c>
    </row>
    <row r="3371" spans="1:4" x14ac:dyDescent="0.35">
      <c r="A3371" s="1">
        <v>1995</v>
      </c>
      <c r="B3371" t="s">
        <v>92</v>
      </c>
      <c r="C3371" t="s">
        <v>93</v>
      </c>
      <c r="D3371">
        <v>717273</v>
      </c>
    </row>
    <row r="3372" spans="1:4" x14ac:dyDescent="0.35">
      <c r="A3372" s="1">
        <v>1995</v>
      </c>
      <c r="B3372" t="s">
        <v>94</v>
      </c>
      <c r="C3372" t="s">
        <v>95</v>
      </c>
      <c r="D3372">
        <v>194887</v>
      </c>
    </row>
    <row r="3373" spans="1:4" x14ac:dyDescent="0.35">
      <c r="A3373" s="1">
        <v>1995</v>
      </c>
      <c r="B3373" t="s">
        <v>54</v>
      </c>
      <c r="C3373" t="s">
        <v>55</v>
      </c>
      <c r="D3373">
        <v>629518</v>
      </c>
    </row>
    <row r="3374" spans="1:4" x14ac:dyDescent="0.35">
      <c r="A3374" s="1">
        <v>1995</v>
      </c>
      <c r="B3374" t="s">
        <v>96</v>
      </c>
      <c r="C3374" t="s">
        <v>97</v>
      </c>
      <c r="D3374">
        <v>1019421</v>
      </c>
    </row>
    <row r="3375" spans="1:4" x14ac:dyDescent="0.35">
      <c r="A3375" s="1">
        <v>1995</v>
      </c>
      <c r="B3375" t="s">
        <v>38</v>
      </c>
      <c r="C3375" t="s">
        <v>39</v>
      </c>
      <c r="D3375">
        <v>229577</v>
      </c>
    </row>
    <row r="3376" spans="1:4" x14ac:dyDescent="0.35">
      <c r="A3376" s="1">
        <v>1995</v>
      </c>
      <c r="B3376" t="s">
        <v>106</v>
      </c>
      <c r="C3376" t="s">
        <v>107</v>
      </c>
      <c r="D3376">
        <v>2548948</v>
      </c>
    </row>
    <row r="3377" spans="1:4" x14ac:dyDescent="0.35">
      <c r="A3377" s="1">
        <v>1995</v>
      </c>
      <c r="B3377" t="s">
        <v>108</v>
      </c>
      <c r="C3377" t="s">
        <v>109</v>
      </c>
      <c r="D3377">
        <v>755673</v>
      </c>
    </row>
    <row r="3378" spans="1:4" x14ac:dyDescent="0.35">
      <c r="A3378" s="1">
        <v>1995</v>
      </c>
      <c r="B3378" t="s">
        <v>136</v>
      </c>
      <c r="C3378" t="s">
        <v>137</v>
      </c>
      <c r="D3378">
        <v>294268</v>
      </c>
    </row>
    <row r="3379" spans="1:4" x14ac:dyDescent="0.35">
      <c r="A3379" s="1">
        <v>1995</v>
      </c>
      <c r="B3379" t="s">
        <v>110</v>
      </c>
      <c r="C3379" t="s">
        <v>111</v>
      </c>
      <c r="D3379">
        <v>1437398</v>
      </c>
    </row>
    <row r="3380" spans="1:4" x14ac:dyDescent="0.35">
      <c r="A3380" s="1">
        <v>1995</v>
      </c>
      <c r="B3380" t="s">
        <v>24</v>
      </c>
      <c r="C3380" t="s">
        <v>25</v>
      </c>
      <c r="D3380">
        <v>600033</v>
      </c>
    </row>
    <row r="3381" spans="1:4" x14ac:dyDescent="0.35">
      <c r="A3381" s="1">
        <v>1995</v>
      </c>
      <c r="B3381" t="s">
        <v>156</v>
      </c>
      <c r="C3381" t="s">
        <v>157</v>
      </c>
      <c r="D3381">
        <v>588226</v>
      </c>
    </row>
    <row r="3382" spans="1:4" x14ac:dyDescent="0.35">
      <c r="A3382" s="1">
        <v>1995</v>
      </c>
      <c r="B3382" t="s">
        <v>182</v>
      </c>
      <c r="C3382" t="s">
        <v>183</v>
      </c>
      <c r="D3382">
        <v>223936</v>
      </c>
    </row>
    <row r="3383" spans="1:4" x14ac:dyDescent="0.35">
      <c r="A3383" s="1">
        <v>1995</v>
      </c>
      <c r="B3383" t="s">
        <v>184</v>
      </c>
      <c r="C3383" t="s">
        <v>185</v>
      </c>
      <c r="D3383">
        <v>377296</v>
      </c>
    </row>
    <row r="3384" spans="1:4" x14ac:dyDescent="0.35">
      <c r="A3384" s="1">
        <v>1995</v>
      </c>
      <c r="B3384" t="s">
        <v>98</v>
      </c>
      <c r="C3384" t="s">
        <v>99</v>
      </c>
      <c r="D3384">
        <v>994932</v>
      </c>
    </row>
    <row r="3385" spans="1:4" x14ac:dyDescent="0.35">
      <c r="A3385" s="1">
        <v>1995</v>
      </c>
      <c r="B3385" t="s">
        <v>100</v>
      </c>
      <c r="C3385" t="s">
        <v>101</v>
      </c>
      <c r="D3385">
        <v>692543</v>
      </c>
    </row>
    <row r="3386" spans="1:4" x14ac:dyDescent="0.35">
      <c r="A3386" s="1">
        <v>1995</v>
      </c>
      <c r="B3386" t="s">
        <v>26</v>
      </c>
      <c r="C3386" t="s">
        <v>27</v>
      </c>
      <c r="D3386">
        <v>1551482</v>
      </c>
    </row>
    <row r="3387" spans="1:4" x14ac:dyDescent="0.35">
      <c r="A3387" s="1">
        <v>1995</v>
      </c>
      <c r="B3387" t="s">
        <v>40</v>
      </c>
      <c r="C3387" t="s">
        <v>41</v>
      </c>
      <c r="D3387">
        <v>229376</v>
      </c>
    </row>
    <row r="3388" spans="1:4" x14ac:dyDescent="0.35">
      <c r="A3388" s="1">
        <v>1995</v>
      </c>
      <c r="B3388" t="s">
        <v>42</v>
      </c>
      <c r="C3388" t="s">
        <v>43</v>
      </c>
      <c r="D3388">
        <v>553381</v>
      </c>
    </row>
    <row r="3389" spans="1:4" x14ac:dyDescent="0.35">
      <c r="A3389" s="1">
        <v>1995</v>
      </c>
      <c r="B3389" t="s">
        <v>196</v>
      </c>
      <c r="C3389" t="s">
        <v>197</v>
      </c>
      <c r="D3389">
        <v>522462</v>
      </c>
    </row>
    <row r="3390" spans="1:4" x14ac:dyDescent="0.35">
      <c r="A3390" s="1">
        <v>1995</v>
      </c>
      <c r="B3390" t="s">
        <v>28</v>
      </c>
      <c r="C3390" t="s">
        <v>29</v>
      </c>
      <c r="D3390">
        <v>362340</v>
      </c>
    </row>
    <row r="3391" spans="1:4" x14ac:dyDescent="0.35">
      <c r="A3391" s="1">
        <v>1995</v>
      </c>
      <c r="B3391" t="s">
        <v>30</v>
      </c>
      <c r="C3391" t="s">
        <v>31</v>
      </c>
      <c r="D3391">
        <v>607187</v>
      </c>
    </row>
    <row r="3392" spans="1:4" x14ac:dyDescent="0.35">
      <c r="A3392" s="1">
        <v>1995</v>
      </c>
      <c r="B3392" t="s">
        <v>114</v>
      </c>
      <c r="C3392" t="s">
        <v>115</v>
      </c>
      <c r="D3392">
        <v>2120545</v>
      </c>
    </row>
    <row r="3393" spans="1:4" x14ac:dyDescent="0.35">
      <c r="A3393" s="1">
        <v>1995</v>
      </c>
      <c r="B3393" t="s">
        <v>138</v>
      </c>
      <c r="C3393" t="s">
        <v>139</v>
      </c>
      <c r="D3393">
        <v>1239357</v>
      </c>
    </row>
    <row r="3394" spans="1:4" x14ac:dyDescent="0.35">
      <c r="A3394" s="1">
        <v>1995</v>
      </c>
      <c r="B3394" t="s">
        <v>116</v>
      </c>
      <c r="C3394" t="s">
        <v>117</v>
      </c>
      <c r="D3394">
        <v>1159421</v>
      </c>
    </row>
    <row r="3395" spans="1:4" x14ac:dyDescent="0.35">
      <c r="A3395" s="1">
        <v>1995</v>
      </c>
      <c r="B3395" t="s">
        <v>118</v>
      </c>
      <c r="C3395" t="s">
        <v>119</v>
      </c>
      <c r="D3395">
        <v>1345471</v>
      </c>
    </row>
    <row r="3396" spans="1:4" x14ac:dyDescent="0.35">
      <c r="A3396" s="1">
        <v>1995</v>
      </c>
      <c r="B3396" t="s">
        <v>158</v>
      </c>
      <c r="C3396" t="s">
        <v>159</v>
      </c>
      <c r="D3396">
        <v>345256</v>
      </c>
    </row>
    <row r="3397" spans="1:4" x14ac:dyDescent="0.35">
      <c r="A3397" s="1">
        <v>1995</v>
      </c>
      <c r="B3397" t="s">
        <v>112</v>
      </c>
      <c r="C3397" t="s">
        <v>113</v>
      </c>
      <c r="D3397">
        <v>552153</v>
      </c>
    </row>
    <row r="3398" spans="1:4" x14ac:dyDescent="0.35">
      <c r="A3398" s="1">
        <v>1995</v>
      </c>
      <c r="B3398" t="s">
        <v>186</v>
      </c>
      <c r="C3398" t="s">
        <v>187</v>
      </c>
      <c r="D3398">
        <v>341873</v>
      </c>
    </row>
    <row r="3399" spans="1:4" x14ac:dyDescent="0.35">
      <c r="A3399" s="1">
        <v>1995</v>
      </c>
      <c r="B3399" t="s">
        <v>188</v>
      </c>
      <c r="C3399" t="s">
        <v>189</v>
      </c>
      <c r="D3399">
        <v>204268</v>
      </c>
    </row>
    <row r="3400" spans="1:4" x14ac:dyDescent="0.35">
      <c r="A3400" s="1">
        <v>1995</v>
      </c>
      <c r="B3400" t="s">
        <v>208</v>
      </c>
      <c r="C3400" t="s">
        <v>209</v>
      </c>
      <c r="D3400">
        <v>864290</v>
      </c>
    </row>
    <row r="3401" spans="1:4" x14ac:dyDescent="0.35">
      <c r="A3401" s="1">
        <v>1995</v>
      </c>
      <c r="B3401" t="s">
        <v>210</v>
      </c>
      <c r="C3401" t="s">
        <v>211</v>
      </c>
      <c r="D3401">
        <v>486196</v>
      </c>
    </row>
    <row r="3402" spans="1:4" x14ac:dyDescent="0.35">
      <c r="A3402" s="1">
        <v>1995</v>
      </c>
      <c r="B3402" t="s">
        <v>198</v>
      </c>
      <c r="C3402" t="s">
        <v>199</v>
      </c>
      <c r="D3402">
        <v>525250</v>
      </c>
    </row>
    <row r="3403" spans="1:4" x14ac:dyDescent="0.35">
      <c r="A3403" s="1">
        <v>1995</v>
      </c>
      <c r="B3403" t="s">
        <v>160</v>
      </c>
      <c r="C3403" t="s">
        <v>161</v>
      </c>
      <c r="D3403">
        <v>391878</v>
      </c>
    </row>
    <row r="3404" spans="1:4" x14ac:dyDescent="0.35">
      <c r="A3404" s="1">
        <v>1995</v>
      </c>
      <c r="B3404" t="s">
        <v>162</v>
      </c>
      <c r="C3404" t="s">
        <v>163</v>
      </c>
      <c r="D3404">
        <v>354518</v>
      </c>
    </row>
    <row r="3405" spans="1:4" x14ac:dyDescent="0.35">
      <c r="A3405" s="1">
        <v>1995</v>
      </c>
      <c r="B3405" t="s">
        <v>102</v>
      </c>
      <c r="C3405" t="s">
        <v>103</v>
      </c>
      <c r="D3405">
        <v>383907</v>
      </c>
    </row>
    <row r="3406" spans="1:4" x14ac:dyDescent="0.35">
      <c r="A3406" s="1">
        <v>1995</v>
      </c>
      <c r="B3406" t="s">
        <v>44</v>
      </c>
      <c r="C3406" t="s">
        <v>45</v>
      </c>
      <c r="D3406">
        <v>329784</v>
      </c>
    </row>
    <row r="3407" spans="1:4" x14ac:dyDescent="0.35">
      <c r="A3407" s="1">
        <v>1995</v>
      </c>
      <c r="B3407" t="s">
        <v>46</v>
      </c>
      <c r="C3407" t="s">
        <v>221</v>
      </c>
      <c r="D3407">
        <v>136592</v>
      </c>
    </row>
    <row r="3408" spans="1:4" x14ac:dyDescent="0.35">
      <c r="A3408" s="1">
        <v>1995</v>
      </c>
      <c r="B3408" t="s">
        <v>120</v>
      </c>
      <c r="C3408" t="s">
        <v>121</v>
      </c>
      <c r="D3408">
        <v>1127647</v>
      </c>
    </row>
    <row r="3409" spans="1:4" x14ac:dyDescent="0.35">
      <c r="A3409" s="1">
        <v>1995</v>
      </c>
      <c r="B3409" t="s">
        <v>122</v>
      </c>
      <c r="C3409" t="s">
        <v>222</v>
      </c>
      <c r="D3409">
        <v>1403081</v>
      </c>
    </row>
    <row r="3410" spans="1:4" x14ac:dyDescent="0.35">
      <c r="A3410" s="1">
        <v>1995</v>
      </c>
      <c r="B3410" t="s">
        <v>124</v>
      </c>
      <c r="C3410" t="s">
        <v>125</v>
      </c>
      <c r="D3410">
        <v>1389976</v>
      </c>
    </row>
    <row r="3411" spans="1:4" x14ac:dyDescent="0.35">
      <c r="A3411" s="1">
        <v>1995</v>
      </c>
      <c r="B3411" t="s">
        <v>126</v>
      </c>
      <c r="C3411" t="s">
        <v>127</v>
      </c>
      <c r="D3411">
        <v>1221918</v>
      </c>
    </row>
    <row r="3412" spans="1:4" x14ac:dyDescent="0.35">
      <c r="A3412" s="1">
        <v>1995</v>
      </c>
      <c r="B3412" t="s">
        <v>128</v>
      </c>
      <c r="C3412" t="s">
        <v>129</v>
      </c>
      <c r="D3412">
        <v>1090916</v>
      </c>
    </row>
    <row r="3413" spans="1:4" x14ac:dyDescent="0.35">
      <c r="A3413" s="1">
        <v>1995</v>
      </c>
      <c r="B3413" t="s">
        <v>257</v>
      </c>
      <c r="D3413">
        <v>57752535</v>
      </c>
    </row>
    <row r="3414" spans="1:4" x14ac:dyDescent="0.35">
      <c r="A3414" s="1">
        <v>1995</v>
      </c>
      <c r="B3414">
        <v>971</v>
      </c>
      <c r="C3414" t="s">
        <v>73</v>
      </c>
      <c r="D3414">
        <v>367867</v>
      </c>
    </row>
    <row r="3415" spans="1:4" x14ac:dyDescent="0.35">
      <c r="A3415" s="1">
        <v>1995</v>
      </c>
      <c r="B3415">
        <v>972</v>
      </c>
      <c r="C3415" t="s">
        <v>75</v>
      </c>
      <c r="D3415">
        <v>368045</v>
      </c>
    </row>
    <row r="3416" spans="1:4" x14ac:dyDescent="0.35">
      <c r="A3416" s="1">
        <v>1995</v>
      </c>
      <c r="B3416">
        <v>973</v>
      </c>
      <c r="C3416" t="s">
        <v>77</v>
      </c>
      <c r="D3416">
        <v>134968</v>
      </c>
    </row>
    <row r="3417" spans="1:4" x14ac:dyDescent="0.35">
      <c r="A3417" s="1">
        <v>1995</v>
      </c>
      <c r="B3417">
        <v>974</v>
      </c>
      <c r="C3417" t="s">
        <v>79</v>
      </c>
      <c r="D3417">
        <v>657162</v>
      </c>
    </row>
    <row r="3418" spans="1:4" x14ac:dyDescent="0.35">
      <c r="A3418" s="1">
        <v>1995</v>
      </c>
      <c r="B3418" t="s">
        <v>226</v>
      </c>
      <c r="D3418">
        <v>1528042</v>
      </c>
    </row>
    <row r="3419" spans="1:4" x14ac:dyDescent="0.35">
      <c r="A3419" s="1">
        <v>1995</v>
      </c>
      <c r="B3419" t="s">
        <v>227</v>
      </c>
      <c r="D3419">
        <v>59280577</v>
      </c>
    </row>
    <row r="3420" spans="1:4" x14ac:dyDescent="0.35">
      <c r="A3420" s="1">
        <v>1995</v>
      </c>
    </row>
    <row r="3421" spans="1:4" x14ac:dyDescent="0.35">
      <c r="A3421" s="1">
        <v>1995</v>
      </c>
      <c r="B3421" t="s">
        <v>240</v>
      </c>
    </row>
    <row r="3422" spans="1:4" x14ac:dyDescent="0.35">
      <c r="A3422" s="1">
        <v>1994</v>
      </c>
      <c r="B3422" t="s">
        <v>251</v>
      </c>
    </row>
    <row r="3423" spans="1:4" x14ac:dyDescent="0.35">
      <c r="A3423" s="1">
        <v>1994</v>
      </c>
      <c r="B3423" t="s">
        <v>270</v>
      </c>
    </row>
    <row r="3424" spans="1:4" x14ac:dyDescent="0.35">
      <c r="A3424" s="1">
        <v>1994</v>
      </c>
    </row>
    <row r="3425" spans="1:4" x14ac:dyDescent="0.35">
      <c r="A3425" s="1">
        <v>1994</v>
      </c>
      <c r="B3425" t="s">
        <v>231</v>
      </c>
    </row>
    <row r="3426" spans="1:4" x14ac:dyDescent="0.35">
      <c r="A3426" s="1">
        <v>1994</v>
      </c>
      <c r="D3426" t="s">
        <v>232</v>
      </c>
    </row>
    <row r="3427" spans="1:4" x14ac:dyDescent="0.35">
      <c r="A3427" s="1">
        <v>1994</v>
      </c>
      <c r="B3427" t="s">
        <v>5</v>
      </c>
      <c r="C3427" t="s">
        <v>6</v>
      </c>
      <c r="D3427">
        <v>491135</v>
      </c>
    </row>
    <row r="3428" spans="1:4" x14ac:dyDescent="0.35">
      <c r="A3428" s="1">
        <v>1994</v>
      </c>
      <c r="B3428" t="s">
        <v>104</v>
      </c>
      <c r="C3428" t="s">
        <v>105</v>
      </c>
      <c r="D3428">
        <v>537926</v>
      </c>
    </row>
    <row r="3429" spans="1:4" x14ac:dyDescent="0.35">
      <c r="A3429" s="1">
        <v>1994</v>
      </c>
      <c r="B3429" t="s">
        <v>10</v>
      </c>
      <c r="C3429" t="s">
        <v>11</v>
      </c>
      <c r="D3429">
        <v>352441</v>
      </c>
    </row>
    <row r="3430" spans="1:4" x14ac:dyDescent="0.35">
      <c r="A3430" s="1">
        <v>1994</v>
      </c>
      <c r="B3430" t="s">
        <v>200</v>
      </c>
      <c r="C3430" t="s">
        <v>201</v>
      </c>
      <c r="D3430">
        <v>135216</v>
      </c>
    </row>
    <row r="3431" spans="1:4" x14ac:dyDescent="0.35">
      <c r="A3431" s="1">
        <v>1994</v>
      </c>
      <c r="B3431" t="s">
        <v>202</v>
      </c>
      <c r="C3431" t="s">
        <v>203</v>
      </c>
      <c r="D3431">
        <v>116689</v>
      </c>
    </row>
    <row r="3432" spans="1:4" x14ac:dyDescent="0.35">
      <c r="A3432" s="1">
        <v>1994</v>
      </c>
      <c r="B3432" t="s">
        <v>204</v>
      </c>
      <c r="C3432" t="s">
        <v>205</v>
      </c>
      <c r="D3432">
        <v>998779</v>
      </c>
    </row>
    <row r="3433" spans="1:4" x14ac:dyDescent="0.35">
      <c r="A3433" s="1">
        <v>1994</v>
      </c>
      <c r="B3433" t="s">
        <v>12</v>
      </c>
      <c r="C3433" t="s">
        <v>13</v>
      </c>
      <c r="D3433">
        <v>280897</v>
      </c>
    </row>
    <row r="3434" spans="1:4" x14ac:dyDescent="0.35">
      <c r="A3434" s="1">
        <v>1994</v>
      </c>
      <c r="B3434" t="s">
        <v>84</v>
      </c>
      <c r="C3434" t="s">
        <v>85</v>
      </c>
      <c r="D3434">
        <v>294260</v>
      </c>
    </row>
    <row r="3435" spans="1:4" x14ac:dyDescent="0.35">
      <c r="A3435" s="1">
        <v>1994</v>
      </c>
      <c r="B3435" t="s">
        <v>164</v>
      </c>
      <c r="C3435" t="s">
        <v>165</v>
      </c>
      <c r="D3435">
        <v>136613</v>
      </c>
    </row>
    <row r="3436" spans="1:4" x14ac:dyDescent="0.35">
      <c r="A3436" s="1">
        <v>1994</v>
      </c>
      <c r="B3436" t="s">
        <v>86</v>
      </c>
      <c r="C3436" t="s">
        <v>87</v>
      </c>
      <c r="D3436">
        <v>291968</v>
      </c>
    </row>
    <row r="3437" spans="1:4" x14ac:dyDescent="0.35">
      <c r="A3437" s="1">
        <v>1994</v>
      </c>
      <c r="B3437" t="s">
        <v>166</v>
      </c>
      <c r="C3437" t="s">
        <v>167</v>
      </c>
      <c r="D3437">
        <v>302569</v>
      </c>
    </row>
    <row r="3438" spans="1:4" x14ac:dyDescent="0.35">
      <c r="A3438" s="1">
        <v>1994</v>
      </c>
      <c r="B3438" t="s">
        <v>168</v>
      </c>
      <c r="C3438" t="s">
        <v>169</v>
      </c>
      <c r="D3438">
        <v>267025</v>
      </c>
    </row>
    <row r="3439" spans="1:4" x14ac:dyDescent="0.35">
      <c r="A3439" s="1">
        <v>1994</v>
      </c>
      <c r="B3439" t="s">
        <v>206</v>
      </c>
      <c r="C3439" t="s">
        <v>207</v>
      </c>
      <c r="D3439">
        <v>1794222</v>
      </c>
    </row>
    <row r="3440" spans="1:4" x14ac:dyDescent="0.35">
      <c r="A3440" s="1">
        <v>1994</v>
      </c>
      <c r="B3440" t="s">
        <v>130</v>
      </c>
      <c r="C3440" t="s">
        <v>131</v>
      </c>
      <c r="D3440">
        <v>631182</v>
      </c>
    </row>
    <row r="3441" spans="1:4" x14ac:dyDescent="0.35">
      <c r="A3441" s="1">
        <v>1994</v>
      </c>
      <c r="B3441" t="s">
        <v>14</v>
      </c>
      <c r="C3441" t="s">
        <v>15</v>
      </c>
      <c r="D3441">
        <v>155574</v>
      </c>
    </row>
    <row r="3442" spans="1:4" x14ac:dyDescent="0.35">
      <c r="A3442" s="1">
        <v>1994</v>
      </c>
      <c r="B3442" t="s">
        <v>140</v>
      </c>
      <c r="C3442" t="s">
        <v>141</v>
      </c>
      <c r="D3442">
        <v>341750</v>
      </c>
    </row>
    <row r="3443" spans="1:4" x14ac:dyDescent="0.35">
      <c r="A3443" s="1">
        <v>1994</v>
      </c>
      <c r="B3443" t="s">
        <v>142</v>
      </c>
      <c r="C3443" t="s">
        <v>143</v>
      </c>
      <c r="D3443">
        <v>538260</v>
      </c>
    </row>
    <row r="3444" spans="1:4" x14ac:dyDescent="0.35">
      <c r="A3444" s="1">
        <v>1994</v>
      </c>
      <c r="B3444" t="s">
        <v>56</v>
      </c>
      <c r="C3444" t="s">
        <v>57</v>
      </c>
      <c r="D3444">
        <v>319294</v>
      </c>
    </row>
    <row r="3445" spans="1:4" x14ac:dyDescent="0.35">
      <c r="A3445" s="1">
        <v>1994</v>
      </c>
      <c r="B3445" t="s">
        <v>144</v>
      </c>
      <c r="C3445" t="s">
        <v>145</v>
      </c>
      <c r="D3445">
        <v>235827</v>
      </c>
    </row>
    <row r="3446" spans="1:4" x14ac:dyDescent="0.35">
      <c r="A3446" s="1">
        <v>1994</v>
      </c>
      <c r="B3446" t="s">
        <v>68</v>
      </c>
      <c r="C3446" t="s">
        <v>69</v>
      </c>
      <c r="D3446">
        <v>119677</v>
      </c>
    </row>
    <row r="3447" spans="1:4" x14ac:dyDescent="0.35">
      <c r="A3447" s="1">
        <v>1994</v>
      </c>
      <c r="B3447" t="s">
        <v>70</v>
      </c>
      <c r="C3447" t="s">
        <v>71</v>
      </c>
      <c r="D3447">
        <v>137300</v>
      </c>
    </row>
    <row r="3448" spans="1:4" x14ac:dyDescent="0.35">
      <c r="A3448" s="1">
        <v>1994</v>
      </c>
      <c r="B3448" t="s">
        <v>32</v>
      </c>
      <c r="C3448" t="s">
        <v>219</v>
      </c>
      <c r="D3448">
        <v>500929</v>
      </c>
    </row>
    <row r="3449" spans="1:4" x14ac:dyDescent="0.35">
      <c r="A3449" s="1">
        <v>1994</v>
      </c>
      <c r="B3449" t="s">
        <v>48</v>
      </c>
      <c r="C3449" t="s">
        <v>220</v>
      </c>
      <c r="D3449">
        <v>536793</v>
      </c>
    </row>
    <row r="3450" spans="1:4" x14ac:dyDescent="0.35">
      <c r="A3450" s="1">
        <v>1994</v>
      </c>
      <c r="B3450" t="s">
        <v>146</v>
      </c>
      <c r="C3450" t="s">
        <v>147</v>
      </c>
      <c r="D3450">
        <v>127959</v>
      </c>
    </row>
    <row r="3451" spans="1:4" x14ac:dyDescent="0.35">
      <c r="A3451" s="1">
        <v>1994</v>
      </c>
      <c r="B3451" t="s">
        <v>148</v>
      </c>
      <c r="C3451" t="s">
        <v>149</v>
      </c>
      <c r="D3451">
        <v>387114</v>
      </c>
    </row>
    <row r="3452" spans="1:4" x14ac:dyDescent="0.35">
      <c r="A3452" s="1">
        <v>1994</v>
      </c>
      <c r="B3452" t="s">
        <v>34</v>
      </c>
      <c r="C3452" t="s">
        <v>35</v>
      </c>
      <c r="D3452">
        <v>492812</v>
      </c>
    </row>
    <row r="3453" spans="1:4" x14ac:dyDescent="0.35">
      <c r="A3453" s="1">
        <v>1994</v>
      </c>
      <c r="B3453" t="s">
        <v>16</v>
      </c>
      <c r="C3453" t="s">
        <v>17</v>
      </c>
      <c r="D3453">
        <v>424626</v>
      </c>
    </row>
    <row r="3454" spans="1:4" x14ac:dyDescent="0.35">
      <c r="A3454" s="1">
        <v>1994</v>
      </c>
      <c r="B3454" t="s">
        <v>132</v>
      </c>
      <c r="C3454" t="s">
        <v>133</v>
      </c>
      <c r="D3454">
        <v>528991</v>
      </c>
    </row>
    <row r="3455" spans="1:4" x14ac:dyDescent="0.35">
      <c r="A3455" s="1">
        <v>1994</v>
      </c>
      <c r="B3455" t="s">
        <v>58</v>
      </c>
      <c r="C3455" t="s">
        <v>59</v>
      </c>
      <c r="D3455">
        <v>405293</v>
      </c>
    </row>
    <row r="3456" spans="1:4" x14ac:dyDescent="0.35">
      <c r="A3456" s="1">
        <v>1994</v>
      </c>
      <c r="B3456" t="s">
        <v>50</v>
      </c>
      <c r="C3456" t="s">
        <v>51</v>
      </c>
      <c r="D3456">
        <v>840565</v>
      </c>
    </row>
    <row r="3457" spans="1:4" x14ac:dyDescent="0.35">
      <c r="A3457" s="1">
        <v>1994</v>
      </c>
      <c r="B3457" t="s">
        <v>170</v>
      </c>
      <c r="C3457" t="s">
        <v>171</v>
      </c>
      <c r="D3457">
        <v>602896</v>
      </c>
    </row>
    <row r="3458" spans="1:4" x14ac:dyDescent="0.35">
      <c r="A3458" s="1">
        <v>1994</v>
      </c>
      <c r="B3458" t="s">
        <v>172</v>
      </c>
      <c r="C3458" t="s">
        <v>173</v>
      </c>
      <c r="D3458">
        <v>979110</v>
      </c>
    </row>
    <row r="3459" spans="1:4" x14ac:dyDescent="0.35">
      <c r="A3459" s="1">
        <v>1994</v>
      </c>
      <c r="B3459" t="s">
        <v>174</v>
      </c>
      <c r="C3459" t="s">
        <v>175</v>
      </c>
      <c r="D3459">
        <v>173194</v>
      </c>
    </row>
    <row r="3460" spans="1:4" x14ac:dyDescent="0.35">
      <c r="A3460" s="1">
        <v>1994</v>
      </c>
      <c r="B3460" t="s">
        <v>150</v>
      </c>
      <c r="C3460" t="s">
        <v>151</v>
      </c>
      <c r="D3460">
        <v>1249226</v>
      </c>
    </row>
    <row r="3461" spans="1:4" x14ac:dyDescent="0.35">
      <c r="A3461" s="1">
        <v>1994</v>
      </c>
      <c r="B3461" t="s">
        <v>176</v>
      </c>
      <c r="C3461" t="s">
        <v>177</v>
      </c>
      <c r="D3461">
        <v>839568</v>
      </c>
    </row>
    <row r="3462" spans="1:4" x14ac:dyDescent="0.35">
      <c r="A3462" s="1">
        <v>1994</v>
      </c>
      <c r="B3462" t="s">
        <v>52</v>
      </c>
      <c r="C3462" t="s">
        <v>53</v>
      </c>
      <c r="D3462">
        <v>826097</v>
      </c>
    </row>
    <row r="3463" spans="1:4" x14ac:dyDescent="0.35">
      <c r="A3463" s="1">
        <v>1994</v>
      </c>
      <c r="B3463" t="s">
        <v>60</v>
      </c>
      <c r="C3463" t="s">
        <v>61</v>
      </c>
      <c r="D3463">
        <v>234577</v>
      </c>
    </row>
    <row r="3464" spans="1:4" x14ac:dyDescent="0.35">
      <c r="A3464" s="1">
        <v>1994</v>
      </c>
      <c r="B3464" t="s">
        <v>62</v>
      </c>
      <c r="C3464" t="s">
        <v>63</v>
      </c>
      <c r="D3464">
        <v>540563</v>
      </c>
    </row>
    <row r="3465" spans="1:4" x14ac:dyDescent="0.35">
      <c r="A3465" s="1">
        <v>1994</v>
      </c>
      <c r="B3465" t="s">
        <v>18</v>
      </c>
      <c r="C3465" t="s">
        <v>19</v>
      </c>
      <c r="D3465">
        <v>1051932</v>
      </c>
    </row>
    <row r="3466" spans="1:4" x14ac:dyDescent="0.35">
      <c r="A3466" s="1">
        <v>1994</v>
      </c>
      <c r="B3466" t="s">
        <v>36</v>
      </c>
      <c r="C3466" t="s">
        <v>37</v>
      </c>
      <c r="D3466">
        <v>250294</v>
      </c>
    </row>
    <row r="3467" spans="1:4" x14ac:dyDescent="0.35">
      <c r="A3467" s="1">
        <v>1994</v>
      </c>
      <c r="B3467" t="s">
        <v>152</v>
      </c>
      <c r="C3467" t="s">
        <v>153</v>
      </c>
      <c r="D3467">
        <v>318630</v>
      </c>
    </row>
    <row r="3468" spans="1:4" x14ac:dyDescent="0.35">
      <c r="A3468" s="1">
        <v>1994</v>
      </c>
      <c r="B3468" t="s">
        <v>64</v>
      </c>
      <c r="C3468" t="s">
        <v>65</v>
      </c>
      <c r="D3468">
        <v>310472</v>
      </c>
    </row>
    <row r="3469" spans="1:4" x14ac:dyDescent="0.35">
      <c r="A3469" s="1">
        <v>1994</v>
      </c>
      <c r="B3469" t="s">
        <v>20</v>
      </c>
      <c r="C3469" t="s">
        <v>21</v>
      </c>
      <c r="D3469">
        <v>742659</v>
      </c>
    </row>
    <row r="3470" spans="1:4" x14ac:dyDescent="0.35">
      <c r="A3470" s="1">
        <v>1994</v>
      </c>
      <c r="B3470" t="s">
        <v>22</v>
      </c>
      <c r="C3470" t="s">
        <v>23</v>
      </c>
      <c r="D3470">
        <v>206508</v>
      </c>
    </row>
    <row r="3471" spans="1:4" x14ac:dyDescent="0.35">
      <c r="A3471" s="1">
        <v>1994</v>
      </c>
      <c r="B3471" t="s">
        <v>190</v>
      </c>
      <c r="C3471" t="s">
        <v>191</v>
      </c>
      <c r="D3471">
        <v>1087854</v>
      </c>
    </row>
    <row r="3472" spans="1:4" x14ac:dyDescent="0.35">
      <c r="A3472" s="1">
        <v>1994</v>
      </c>
      <c r="B3472" t="s">
        <v>66</v>
      </c>
      <c r="C3472" t="s">
        <v>67</v>
      </c>
      <c r="D3472">
        <v>600195</v>
      </c>
    </row>
    <row r="3473" spans="1:4" x14ac:dyDescent="0.35">
      <c r="A3473" s="1">
        <v>1994</v>
      </c>
      <c r="B3473" t="s">
        <v>178</v>
      </c>
      <c r="C3473" t="s">
        <v>179</v>
      </c>
      <c r="D3473">
        <v>157694</v>
      </c>
    </row>
    <row r="3474" spans="1:4" x14ac:dyDescent="0.35">
      <c r="A3474" s="1">
        <v>1994</v>
      </c>
      <c r="B3474" t="s">
        <v>154</v>
      </c>
      <c r="C3474" t="s">
        <v>155</v>
      </c>
      <c r="D3474">
        <v>304044</v>
      </c>
    </row>
    <row r="3475" spans="1:4" x14ac:dyDescent="0.35">
      <c r="A3475" s="1">
        <v>1994</v>
      </c>
      <c r="B3475" t="s">
        <v>180</v>
      </c>
      <c r="C3475" t="s">
        <v>181</v>
      </c>
      <c r="D3475">
        <v>72932</v>
      </c>
    </row>
    <row r="3476" spans="1:4" x14ac:dyDescent="0.35">
      <c r="A3476" s="1">
        <v>1994</v>
      </c>
      <c r="B3476" t="s">
        <v>192</v>
      </c>
      <c r="C3476" t="s">
        <v>193</v>
      </c>
      <c r="D3476">
        <v>717037</v>
      </c>
    </row>
    <row r="3477" spans="1:4" x14ac:dyDescent="0.35">
      <c r="A3477" s="1">
        <v>1994</v>
      </c>
      <c r="B3477" t="s">
        <v>134</v>
      </c>
      <c r="C3477" t="s">
        <v>135</v>
      </c>
      <c r="D3477">
        <v>479779</v>
      </c>
    </row>
    <row r="3478" spans="1:4" x14ac:dyDescent="0.35">
      <c r="A3478" s="1">
        <v>1994</v>
      </c>
      <c r="B3478" t="s">
        <v>88</v>
      </c>
      <c r="C3478" t="s">
        <v>89</v>
      </c>
      <c r="D3478">
        <v>563357</v>
      </c>
    </row>
    <row r="3479" spans="1:4" x14ac:dyDescent="0.35">
      <c r="A3479" s="1">
        <v>1994</v>
      </c>
      <c r="B3479" t="s">
        <v>90</v>
      </c>
      <c r="C3479" t="s">
        <v>91</v>
      </c>
      <c r="D3479">
        <v>199891</v>
      </c>
    </row>
    <row r="3480" spans="1:4" x14ac:dyDescent="0.35">
      <c r="A3480" s="1">
        <v>1994</v>
      </c>
      <c r="B3480" t="s">
        <v>194</v>
      </c>
      <c r="C3480" t="s">
        <v>195</v>
      </c>
      <c r="D3480">
        <v>280569</v>
      </c>
    </row>
    <row r="3481" spans="1:4" x14ac:dyDescent="0.35">
      <c r="A3481" s="1">
        <v>1994</v>
      </c>
      <c r="B3481" t="s">
        <v>92</v>
      </c>
      <c r="C3481" t="s">
        <v>93</v>
      </c>
      <c r="D3481">
        <v>716518</v>
      </c>
    </row>
    <row r="3482" spans="1:4" x14ac:dyDescent="0.35">
      <c r="A3482" s="1">
        <v>1994</v>
      </c>
      <c r="B3482" t="s">
        <v>94</v>
      </c>
      <c r="C3482" t="s">
        <v>95</v>
      </c>
      <c r="D3482">
        <v>195478</v>
      </c>
    </row>
    <row r="3483" spans="1:4" x14ac:dyDescent="0.35">
      <c r="A3483" s="1">
        <v>1994</v>
      </c>
      <c r="B3483" t="s">
        <v>54</v>
      </c>
      <c r="C3483" t="s">
        <v>55</v>
      </c>
      <c r="D3483">
        <v>627128</v>
      </c>
    </row>
    <row r="3484" spans="1:4" x14ac:dyDescent="0.35">
      <c r="A3484" s="1">
        <v>1994</v>
      </c>
      <c r="B3484" t="s">
        <v>96</v>
      </c>
      <c r="C3484" t="s">
        <v>97</v>
      </c>
      <c r="D3484">
        <v>1017589</v>
      </c>
    </row>
    <row r="3485" spans="1:4" x14ac:dyDescent="0.35">
      <c r="A3485" s="1">
        <v>1994</v>
      </c>
      <c r="B3485" t="s">
        <v>38</v>
      </c>
      <c r="C3485" t="s">
        <v>39</v>
      </c>
      <c r="D3485">
        <v>230146</v>
      </c>
    </row>
    <row r="3486" spans="1:4" x14ac:dyDescent="0.35">
      <c r="A3486" s="1">
        <v>1994</v>
      </c>
      <c r="B3486" t="s">
        <v>106</v>
      </c>
      <c r="C3486" t="s">
        <v>107</v>
      </c>
      <c r="D3486">
        <v>2544978</v>
      </c>
    </row>
    <row r="3487" spans="1:4" x14ac:dyDescent="0.35">
      <c r="A3487" s="1">
        <v>1994</v>
      </c>
      <c r="B3487" t="s">
        <v>108</v>
      </c>
      <c r="C3487" t="s">
        <v>109</v>
      </c>
      <c r="D3487">
        <v>751362</v>
      </c>
    </row>
    <row r="3488" spans="1:4" x14ac:dyDescent="0.35">
      <c r="A3488" s="1">
        <v>1994</v>
      </c>
      <c r="B3488" t="s">
        <v>136</v>
      </c>
      <c r="C3488" t="s">
        <v>137</v>
      </c>
      <c r="D3488">
        <v>294376</v>
      </c>
    </row>
    <row r="3489" spans="1:4" x14ac:dyDescent="0.35">
      <c r="A3489" s="1">
        <v>1994</v>
      </c>
      <c r="B3489" t="s">
        <v>110</v>
      </c>
      <c r="C3489" t="s">
        <v>111</v>
      </c>
      <c r="D3489">
        <v>1436805</v>
      </c>
    </row>
    <row r="3490" spans="1:4" x14ac:dyDescent="0.35">
      <c r="A3490" s="1">
        <v>1994</v>
      </c>
      <c r="B3490" t="s">
        <v>24</v>
      </c>
      <c r="C3490" t="s">
        <v>25</v>
      </c>
      <c r="D3490">
        <v>599492</v>
      </c>
    </row>
    <row r="3491" spans="1:4" x14ac:dyDescent="0.35">
      <c r="A3491" s="1">
        <v>1994</v>
      </c>
      <c r="B3491" t="s">
        <v>156</v>
      </c>
      <c r="C3491" t="s">
        <v>157</v>
      </c>
      <c r="D3491">
        <v>586794</v>
      </c>
    </row>
    <row r="3492" spans="1:4" x14ac:dyDescent="0.35">
      <c r="A3492" s="1">
        <v>1994</v>
      </c>
      <c r="B3492" t="s">
        <v>182</v>
      </c>
      <c r="C3492" t="s">
        <v>183</v>
      </c>
      <c r="D3492">
        <v>223834</v>
      </c>
    </row>
    <row r="3493" spans="1:4" x14ac:dyDescent="0.35">
      <c r="A3493" s="1">
        <v>1994</v>
      </c>
      <c r="B3493" t="s">
        <v>184</v>
      </c>
      <c r="C3493" t="s">
        <v>185</v>
      </c>
      <c r="D3493">
        <v>374854</v>
      </c>
    </row>
    <row r="3494" spans="1:4" x14ac:dyDescent="0.35">
      <c r="A3494" s="1">
        <v>1994</v>
      </c>
      <c r="B3494" t="s">
        <v>98</v>
      </c>
      <c r="C3494" t="s">
        <v>99</v>
      </c>
      <c r="D3494">
        <v>987370</v>
      </c>
    </row>
    <row r="3495" spans="1:4" x14ac:dyDescent="0.35">
      <c r="A3495" s="1">
        <v>1994</v>
      </c>
      <c r="B3495" t="s">
        <v>100</v>
      </c>
      <c r="C3495" t="s">
        <v>101</v>
      </c>
      <c r="D3495">
        <v>688363</v>
      </c>
    </row>
    <row r="3496" spans="1:4" x14ac:dyDescent="0.35">
      <c r="A3496" s="1">
        <v>1994</v>
      </c>
      <c r="B3496" t="s">
        <v>26</v>
      </c>
      <c r="C3496" t="s">
        <v>27</v>
      </c>
      <c r="D3496">
        <v>1546144</v>
      </c>
    </row>
    <row r="3497" spans="1:4" x14ac:dyDescent="0.35">
      <c r="A3497" s="1">
        <v>1994</v>
      </c>
      <c r="B3497" t="s">
        <v>40</v>
      </c>
      <c r="C3497" t="s">
        <v>41</v>
      </c>
      <c r="D3497">
        <v>228548</v>
      </c>
    </row>
    <row r="3498" spans="1:4" x14ac:dyDescent="0.35">
      <c r="A3498" s="1">
        <v>1994</v>
      </c>
      <c r="B3498" t="s">
        <v>42</v>
      </c>
      <c r="C3498" t="s">
        <v>43</v>
      </c>
      <c r="D3498">
        <v>555171</v>
      </c>
    </row>
    <row r="3499" spans="1:4" x14ac:dyDescent="0.35">
      <c r="A3499" s="1">
        <v>1994</v>
      </c>
      <c r="B3499" t="s">
        <v>196</v>
      </c>
      <c r="C3499" t="s">
        <v>197</v>
      </c>
      <c r="D3499">
        <v>520465</v>
      </c>
    </row>
    <row r="3500" spans="1:4" x14ac:dyDescent="0.35">
      <c r="A3500" s="1">
        <v>1994</v>
      </c>
      <c r="B3500" t="s">
        <v>28</v>
      </c>
      <c r="C3500" t="s">
        <v>29</v>
      </c>
      <c r="D3500">
        <v>360303</v>
      </c>
    </row>
    <row r="3501" spans="1:4" x14ac:dyDescent="0.35">
      <c r="A3501" s="1">
        <v>1994</v>
      </c>
      <c r="B3501" t="s">
        <v>30</v>
      </c>
      <c r="C3501" t="s">
        <v>31</v>
      </c>
      <c r="D3501">
        <v>600584</v>
      </c>
    </row>
    <row r="3502" spans="1:4" x14ac:dyDescent="0.35">
      <c r="A3502" s="1">
        <v>1994</v>
      </c>
      <c r="B3502" t="s">
        <v>114</v>
      </c>
      <c r="C3502" t="s">
        <v>115</v>
      </c>
      <c r="D3502">
        <v>2129856</v>
      </c>
    </row>
    <row r="3503" spans="1:4" x14ac:dyDescent="0.35">
      <c r="A3503" s="1">
        <v>1994</v>
      </c>
      <c r="B3503" t="s">
        <v>138</v>
      </c>
      <c r="C3503" t="s">
        <v>139</v>
      </c>
      <c r="D3503">
        <v>1236774</v>
      </c>
    </row>
    <row r="3504" spans="1:4" x14ac:dyDescent="0.35">
      <c r="A3504" s="1">
        <v>1994</v>
      </c>
      <c r="B3504" t="s">
        <v>116</v>
      </c>
      <c r="C3504" t="s">
        <v>117</v>
      </c>
      <c r="D3504">
        <v>1146990</v>
      </c>
    </row>
    <row r="3505" spans="1:4" x14ac:dyDescent="0.35">
      <c r="A3505" s="1">
        <v>1994</v>
      </c>
      <c r="B3505" t="s">
        <v>118</v>
      </c>
      <c r="C3505" t="s">
        <v>119</v>
      </c>
      <c r="D3505">
        <v>1340268</v>
      </c>
    </row>
    <row r="3506" spans="1:4" x14ac:dyDescent="0.35">
      <c r="A3506" s="1">
        <v>1994</v>
      </c>
      <c r="B3506" t="s">
        <v>158</v>
      </c>
      <c r="C3506" t="s">
        <v>159</v>
      </c>
      <c r="D3506">
        <v>345181</v>
      </c>
    </row>
    <row r="3507" spans="1:4" x14ac:dyDescent="0.35">
      <c r="A3507" s="1">
        <v>1994</v>
      </c>
      <c r="B3507" t="s">
        <v>112</v>
      </c>
      <c r="C3507" t="s">
        <v>113</v>
      </c>
      <c r="D3507">
        <v>551159</v>
      </c>
    </row>
    <row r="3508" spans="1:4" x14ac:dyDescent="0.35">
      <c r="A3508" s="1">
        <v>1994</v>
      </c>
      <c r="B3508" t="s">
        <v>186</v>
      </c>
      <c r="C3508" t="s">
        <v>187</v>
      </c>
      <c r="D3508">
        <v>342309</v>
      </c>
    </row>
    <row r="3509" spans="1:4" x14ac:dyDescent="0.35">
      <c r="A3509" s="1">
        <v>1994</v>
      </c>
      <c r="B3509" t="s">
        <v>188</v>
      </c>
      <c r="C3509" t="s">
        <v>189</v>
      </c>
      <c r="D3509">
        <v>203854</v>
      </c>
    </row>
    <row r="3510" spans="1:4" x14ac:dyDescent="0.35">
      <c r="A3510" s="1">
        <v>1994</v>
      </c>
      <c r="B3510" t="s">
        <v>208</v>
      </c>
      <c r="C3510" t="s">
        <v>209</v>
      </c>
      <c r="D3510">
        <v>856303</v>
      </c>
    </row>
    <row r="3511" spans="1:4" x14ac:dyDescent="0.35">
      <c r="A3511" s="1">
        <v>1994</v>
      </c>
      <c r="B3511" t="s">
        <v>210</v>
      </c>
      <c r="C3511" t="s">
        <v>211</v>
      </c>
      <c r="D3511">
        <v>482383</v>
      </c>
    </row>
    <row r="3512" spans="1:4" x14ac:dyDescent="0.35">
      <c r="A3512" s="1">
        <v>1994</v>
      </c>
      <c r="B3512" t="s">
        <v>198</v>
      </c>
      <c r="C3512" t="s">
        <v>199</v>
      </c>
      <c r="D3512">
        <v>522513</v>
      </c>
    </row>
    <row r="3513" spans="1:4" x14ac:dyDescent="0.35">
      <c r="A3513" s="1">
        <v>1994</v>
      </c>
      <c r="B3513" t="s">
        <v>160</v>
      </c>
      <c r="C3513" t="s">
        <v>161</v>
      </c>
      <c r="D3513">
        <v>388170</v>
      </c>
    </row>
    <row r="3514" spans="1:4" x14ac:dyDescent="0.35">
      <c r="A3514" s="1">
        <v>1994</v>
      </c>
      <c r="B3514" t="s">
        <v>162</v>
      </c>
      <c r="C3514" t="s">
        <v>163</v>
      </c>
      <c r="D3514">
        <v>354744</v>
      </c>
    </row>
    <row r="3515" spans="1:4" x14ac:dyDescent="0.35">
      <c r="A3515" s="1">
        <v>1994</v>
      </c>
      <c r="B3515" t="s">
        <v>102</v>
      </c>
      <c r="C3515" t="s">
        <v>103</v>
      </c>
      <c r="D3515">
        <v>384282</v>
      </c>
    </row>
    <row r="3516" spans="1:4" x14ac:dyDescent="0.35">
      <c r="A3516" s="1">
        <v>1994</v>
      </c>
      <c r="B3516" t="s">
        <v>44</v>
      </c>
      <c r="C3516" t="s">
        <v>45</v>
      </c>
      <c r="D3516">
        <v>328907</v>
      </c>
    </row>
    <row r="3517" spans="1:4" x14ac:dyDescent="0.35">
      <c r="A3517" s="1">
        <v>1994</v>
      </c>
      <c r="B3517" t="s">
        <v>46</v>
      </c>
      <c r="C3517" t="s">
        <v>221</v>
      </c>
      <c r="D3517">
        <v>136140</v>
      </c>
    </row>
    <row r="3518" spans="1:4" x14ac:dyDescent="0.35">
      <c r="A3518" s="1">
        <v>1994</v>
      </c>
      <c r="B3518" t="s">
        <v>120</v>
      </c>
      <c r="C3518" t="s">
        <v>121</v>
      </c>
      <c r="D3518">
        <v>1122103</v>
      </c>
    </row>
    <row r="3519" spans="1:4" x14ac:dyDescent="0.35">
      <c r="A3519" s="1">
        <v>1994</v>
      </c>
      <c r="B3519" t="s">
        <v>122</v>
      </c>
      <c r="C3519" t="s">
        <v>222</v>
      </c>
      <c r="D3519">
        <v>1399157</v>
      </c>
    </row>
    <row r="3520" spans="1:4" x14ac:dyDescent="0.35">
      <c r="A3520" s="1">
        <v>1994</v>
      </c>
      <c r="B3520" t="s">
        <v>124</v>
      </c>
      <c r="C3520" t="s">
        <v>125</v>
      </c>
      <c r="D3520">
        <v>1389787</v>
      </c>
    </row>
    <row r="3521" spans="1:4" x14ac:dyDescent="0.35">
      <c r="A3521" s="1">
        <v>1994</v>
      </c>
      <c r="B3521" t="s">
        <v>126</v>
      </c>
      <c r="C3521" t="s">
        <v>127</v>
      </c>
      <c r="D3521">
        <v>1222214</v>
      </c>
    </row>
    <row r="3522" spans="1:4" x14ac:dyDescent="0.35">
      <c r="A3522" s="1">
        <v>1994</v>
      </c>
      <c r="B3522" t="s">
        <v>128</v>
      </c>
      <c r="C3522" t="s">
        <v>129</v>
      </c>
      <c r="D3522">
        <v>1082848</v>
      </c>
    </row>
    <row r="3523" spans="1:4" x14ac:dyDescent="0.35">
      <c r="A3523" s="1">
        <v>1994</v>
      </c>
      <c r="B3523" t="s">
        <v>257</v>
      </c>
      <c r="D3523">
        <v>57565008</v>
      </c>
    </row>
    <row r="3524" spans="1:4" x14ac:dyDescent="0.35">
      <c r="A3524" s="1">
        <v>1994</v>
      </c>
      <c r="B3524">
        <v>971</v>
      </c>
      <c r="C3524" t="s">
        <v>73</v>
      </c>
      <c r="D3524">
        <v>364140</v>
      </c>
    </row>
    <row r="3525" spans="1:4" x14ac:dyDescent="0.35">
      <c r="A3525" s="1">
        <v>1994</v>
      </c>
      <c r="B3525">
        <v>972</v>
      </c>
      <c r="C3525" t="s">
        <v>75</v>
      </c>
      <c r="D3525">
        <v>365554</v>
      </c>
    </row>
    <row r="3526" spans="1:4" x14ac:dyDescent="0.35">
      <c r="A3526" s="1">
        <v>1994</v>
      </c>
      <c r="B3526">
        <v>973</v>
      </c>
      <c r="C3526" t="s">
        <v>77</v>
      </c>
      <c r="D3526">
        <v>130282</v>
      </c>
    </row>
    <row r="3527" spans="1:4" x14ac:dyDescent="0.35">
      <c r="A3527" s="1">
        <v>1994</v>
      </c>
      <c r="B3527">
        <v>974</v>
      </c>
      <c r="C3527" t="s">
        <v>79</v>
      </c>
      <c r="D3527">
        <v>645093</v>
      </c>
    </row>
    <row r="3528" spans="1:4" x14ac:dyDescent="0.35">
      <c r="A3528" s="1">
        <v>1994</v>
      </c>
      <c r="B3528" t="s">
        <v>226</v>
      </c>
      <c r="D3528">
        <v>1505069</v>
      </c>
    </row>
    <row r="3529" spans="1:4" x14ac:dyDescent="0.35">
      <c r="A3529" s="1">
        <v>1994</v>
      </c>
      <c r="B3529" t="s">
        <v>227</v>
      </c>
      <c r="D3529">
        <v>59070077</v>
      </c>
    </row>
    <row r="3530" spans="1:4" x14ac:dyDescent="0.35">
      <c r="A3530" s="1">
        <v>1994</v>
      </c>
    </row>
    <row r="3531" spans="1:4" x14ac:dyDescent="0.35">
      <c r="A3531" s="1">
        <v>1994</v>
      </c>
      <c r="B3531" t="s">
        <v>240</v>
      </c>
    </row>
    <row r="3532" spans="1:4" x14ac:dyDescent="0.35">
      <c r="A3532" s="1">
        <v>1993</v>
      </c>
      <c r="B3532" t="s">
        <v>251</v>
      </c>
    </row>
    <row r="3533" spans="1:4" x14ac:dyDescent="0.35">
      <c r="A3533" s="1">
        <v>1993</v>
      </c>
      <c r="B3533" t="s">
        <v>271</v>
      </c>
    </row>
    <row r="3534" spans="1:4" x14ac:dyDescent="0.35">
      <c r="A3534" s="1">
        <v>1993</v>
      </c>
    </row>
    <row r="3535" spans="1:4" x14ac:dyDescent="0.35">
      <c r="A3535" s="1">
        <v>1993</v>
      </c>
      <c r="B3535" t="s">
        <v>231</v>
      </c>
    </row>
    <row r="3536" spans="1:4" x14ac:dyDescent="0.35">
      <c r="A3536" s="1">
        <v>1993</v>
      </c>
      <c r="D3536" t="s">
        <v>232</v>
      </c>
    </row>
    <row r="3537" spans="1:4" x14ac:dyDescent="0.35">
      <c r="A3537" s="1">
        <v>1993</v>
      </c>
      <c r="B3537" t="s">
        <v>5</v>
      </c>
      <c r="C3537" t="s">
        <v>6</v>
      </c>
      <c r="D3537">
        <v>488244</v>
      </c>
    </row>
    <row r="3538" spans="1:4" x14ac:dyDescent="0.35">
      <c r="A3538" s="1">
        <v>1993</v>
      </c>
      <c r="B3538" t="s">
        <v>104</v>
      </c>
      <c r="C3538" t="s">
        <v>105</v>
      </c>
      <c r="D3538">
        <v>538219</v>
      </c>
    </row>
    <row r="3539" spans="1:4" x14ac:dyDescent="0.35">
      <c r="A3539" s="1">
        <v>1993</v>
      </c>
      <c r="B3539" t="s">
        <v>10</v>
      </c>
      <c r="C3539" t="s">
        <v>11</v>
      </c>
      <c r="D3539">
        <v>353824</v>
      </c>
    </row>
    <row r="3540" spans="1:4" x14ac:dyDescent="0.35">
      <c r="A3540" s="1">
        <v>1993</v>
      </c>
      <c r="B3540" t="s">
        <v>200</v>
      </c>
      <c r="C3540" t="s">
        <v>201</v>
      </c>
      <c r="D3540">
        <v>134040</v>
      </c>
    </row>
    <row r="3541" spans="1:4" x14ac:dyDescent="0.35">
      <c r="A3541" s="1">
        <v>1993</v>
      </c>
      <c r="B3541" t="s">
        <v>202</v>
      </c>
      <c r="C3541" t="s">
        <v>203</v>
      </c>
      <c r="D3541">
        <v>115376</v>
      </c>
    </row>
    <row r="3542" spans="1:4" x14ac:dyDescent="0.35">
      <c r="A3542" s="1">
        <v>1993</v>
      </c>
      <c r="B3542" t="s">
        <v>204</v>
      </c>
      <c r="C3542" t="s">
        <v>205</v>
      </c>
      <c r="D3542">
        <v>993695</v>
      </c>
    </row>
    <row r="3543" spans="1:4" x14ac:dyDescent="0.35">
      <c r="A3543" s="1">
        <v>1993</v>
      </c>
      <c r="B3543" t="s">
        <v>12</v>
      </c>
      <c r="C3543" t="s">
        <v>13</v>
      </c>
      <c r="D3543">
        <v>280263</v>
      </c>
    </row>
    <row r="3544" spans="1:4" x14ac:dyDescent="0.35">
      <c r="A3544" s="1">
        <v>1993</v>
      </c>
      <c r="B3544" t="s">
        <v>84</v>
      </c>
      <c r="C3544" t="s">
        <v>85</v>
      </c>
      <c r="D3544">
        <v>294604</v>
      </c>
    </row>
    <row r="3545" spans="1:4" x14ac:dyDescent="0.35">
      <c r="A3545" s="1">
        <v>1993</v>
      </c>
      <c r="B3545" t="s">
        <v>164</v>
      </c>
      <c r="C3545" t="s">
        <v>165</v>
      </c>
      <c r="D3545">
        <v>136632</v>
      </c>
    </row>
    <row r="3546" spans="1:4" x14ac:dyDescent="0.35">
      <c r="A3546" s="1">
        <v>1993</v>
      </c>
      <c r="B3546" t="s">
        <v>86</v>
      </c>
      <c r="C3546" t="s">
        <v>87</v>
      </c>
      <c r="D3546">
        <v>291359</v>
      </c>
    </row>
    <row r="3547" spans="1:4" x14ac:dyDescent="0.35">
      <c r="A3547" s="1">
        <v>1993</v>
      </c>
      <c r="B3547" t="s">
        <v>166</v>
      </c>
      <c r="C3547" t="s">
        <v>167</v>
      </c>
      <c r="D3547">
        <v>301693</v>
      </c>
    </row>
    <row r="3548" spans="1:4" x14ac:dyDescent="0.35">
      <c r="A3548" s="1">
        <v>1993</v>
      </c>
      <c r="B3548" t="s">
        <v>168</v>
      </c>
      <c r="C3548" t="s">
        <v>169</v>
      </c>
      <c r="D3548">
        <v>267728</v>
      </c>
    </row>
    <row r="3549" spans="1:4" x14ac:dyDescent="0.35">
      <c r="A3549" s="1">
        <v>1993</v>
      </c>
      <c r="B3549" t="s">
        <v>206</v>
      </c>
      <c r="C3549" t="s">
        <v>207</v>
      </c>
      <c r="D3549">
        <v>1788025</v>
      </c>
    </row>
    <row r="3550" spans="1:4" x14ac:dyDescent="0.35">
      <c r="A3550" s="1">
        <v>1993</v>
      </c>
      <c r="B3550" t="s">
        <v>130</v>
      </c>
      <c r="C3550" t="s">
        <v>131</v>
      </c>
      <c r="D3550">
        <v>628687</v>
      </c>
    </row>
    <row r="3551" spans="1:4" x14ac:dyDescent="0.35">
      <c r="A3551" s="1">
        <v>1993</v>
      </c>
      <c r="B3551" t="s">
        <v>14</v>
      </c>
      <c r="C3551" t="s">
        <v>15</v>
      </c>
      <c r="D3551">
        <v>156449</v>
      </c>
    </row>
    <row r="3552" spans="1:4" x14ac:dyDescent="0.35">
      <c r="A3552" s="1">
        <v>1993</v>
      </c>
      <c r="B3552" t="s">
        <v>140</v>
      </c>
      <c r="C3552" t="s">
        <v>141</v>
      </c>
      <c r="D3552">
        <v>342381</v>
      </c>
    </row>
    <row r="3553" spans="1:4" x14ac:dyDescent="0.35">
      <c r="A3553" s="1">
        <v>1993</v>
      </c>
      <c r="B3553" t="s">
        <v>142</v>
      </c>
      <c r="C3553" t="s">
        <v>143</v>
      </c>
      <c r="D3553">
        <v>535893</v>
      </c>
    </row>
    <row r="3554" spans="1:4" x14ac:dyDescent="0.35">
      <c r="A3554" s="1">
        <v>1993</v>
      </c>
      <c r="B3554" t="s">
        <v>56</v>
      </c>
      <c r="C3554" t="s">
        <v>57</v>
      </c>
      <c r="D3554">
        <v>320257</v>
      </c>
    </row>
    <row r="3555" spans="1:4" x14ac:dyDescent="0.35">
      <c r="A3555" s="1">
        <v>1993</v>
      </c>
      <c r="B3555" t="s">
        <v>144</v>
      </c>
      <c r="C3555" t="s">
        <v>145</v>
      </c>
      <c r="D3555">
        <v>236308</v>
      </c>
    </row>
    <row r="3556" spans="1:4" x14ac:dyDescent="0.35">
      <c r="A3556" s="1">
        <v>1993</v>
      </c>
      <c r="B3556" t="s">
        <v>68</v>
      </c>
      <c r="C3556" t="s">
        <v>69</v>
      </c>
      <c r="D3556">
        <v>119594</v>
      </c>
    </row>
    <row r="3557" spans="1:4" x14ac:dyDescent="0.35">
      <c r="A3557" s="1">
        <v>1993</v>
      </c>
      <c r="B3557" t="s">
        <v>70</v>
      </c>
      <c r="C3557" t="s">
        <v>71</v>
      </c>
      <c r="D3557">
        <v>134001</v>
      </c>
    </row>
    <row r="3558" spans="1:4" x14ac:dyDescent="0.35">
      <c r="A3558" s="1">
        <v>1993</v>
      </c>
      <c r="B3558" t="s">
        <v>32</v>
      </c>
      <c r="C3558" t="s">
        <v>219</v>
      </c>
      <c r="D3558">
        <v>499519</v>
      </c>
    </row>
    <row r="3559" spans="1:4" x14ac:dyDescent="0.35">
      <c r="A3559" s="1">
        <v>1993</v>
      </c>
      <c r="B3559" t="s">
        <v>48</v>
      </c>
      <c r="C3559" t="s">
        <v>220</v>
      </c>
      <c r="D3559">
        <v>537435</v>
      </c>
    </row>
    <row r="3560" spans="1:4" x14ac:dyDescent="0.35">
      <c r="A3560" s="1">
        <v>1993</v>
      </c>
      <c r="B3560" t="s">
        <v>146</v>
      </c>
      <c r="C3560" t="s">
        <v>147</v>
      </c>
      <c r="D3560">
        <v>128976</v>
      </c>
    </row>
    <row r="3561" spans="1:4" x14ac:dyDescent="0.35">
      <c r="A3561" s="1">
        <v>1993</v>
      </c>
      <c r="B3561" t="s">
        <v>148</v>
      </c>
      <c r="C3561" t="s">
        <v>149</v>
      </c>
      <c r="D3561">
        <v>387227</v>
      </c>
    </row>
    <row r="3562" spans="1:4" x14ac:dyDescent="0.35">
      <c r="A3562" s="1">
        <v>1993</v>
      </c>
      <c r="B3562" t="s">
        <v>34</v>
      </c>
      <c r="C3562" t="s">
        <v>35</v>
      </c>
      <c r="D3562">
        <v>491109</v>
      </c>
    </row>
    <row r="3563" spans="1:4" x14ac:dyDescent="0.35">
      <c r="A3563" s="1">
        <v>1993</v>
      </c>
      <c r="B3563" t="s">
        <v>16</v>
      </c>
      <c r="C3563" t="s">
        <v>17</v>
      </c>
      <c r="D3563">
        <v>422575</v>
      </c>
    </row>
    <row r="3564" spans="1:4" x14ac:dyDescent="0.35">
      <c r="A3564" s="1">
        <v>1993</v>
      </c>
      <c r="B3564" t="s">
        <v>132</v>
      </c>
      <c r="C3564" t="s">
        <v>133</v>
      </c>
      <c r="D3564">
        <v>525823</v>
      </c>
    </row>
    <row r="3565" spans="1:4" x14ac:dyDescent="0.35">
      <c r="A3565" s="1">
        <v>1993</v>
      </c>
      <c r="B3565" t="s">
        <v>58</v>
      </c>
      <c r="C3565" t="s">
        <v>59</v>
      </c>
      <c r="D3565">
        <v>403528</v>
      </c>
    </row>
    <row r="3566" spans="1:4" x14ac:dyDescent="0.35">
      <c r="A3566" s="1">
        <v>1993</v>
      </c>
      <c r="B3566" t="s">
        <v>50</v>
      </c>
      <c r="C3566" t="s">
        <v>51</v>
      </c>
      <c r="D3566">
        <v>839672</v>
      </c>
    </row>
    <row r="3567" spans="1:4" x14ac:dyDescent="0.35">
      <c r="A3567" s="1">
        <v>1993</v>
      </c>
      <c r="B3567" t="s">
        <v>170</v>
      </c>
      <c r="C3567" t="s">
        <v>171</v>
      </c>
      <c r="D3567">
        <v>598655</v>
      </c>
    </row>
    <row r="3568" spans="1:4" x14ac:dyDescent="0.35">
      <c r="A3568" s="1">
        <v>1993</v>
      </c>
      <c r="B3568" t="s">
        <v>172</v>
      </c>
      <c r="C3568" t="s">
        <v>173</v>
      </c>
      <c r="D3568">
        <v>970746</v>
      </c>
    </row>
    <row r="3569" spans="1:4" x14ac:dyDescent="0.35">
      <c r="A3569" s="1">
        <v>1993</v>
      </c>
      <c r="B3569" t="s">
        <v>174</v>
      </c>
      <c r="C3569" t="s">
        <v>175</v>
      </c>
      <c r="D3569">
        <v>173735</v>
      </c>
    </row>
    <row r="3570" spans="1:4" x14ac:dyDescent="0.35">
      <c r="A3570" s="1">
        <v>1993</v>
      </c>
      <c r="B3570" t="s">
        <v>150</v>
      </c>
      <c r="C3570" t="s">
        <v>151</v>
      </c>
      <c r="D3570">
        <v>1243092</v>
      </c>
    </row>
    <row r="3571" spans="1:4" x14ac:dyDescent="0.35">
      <c r="A3571" s="1">
        <v>1993</v>
      </c>
      <c r="B3571" t="s">
        <v>176</v>
      </c>
      <c r="C3571" t="s">
        <v>177</v>
      </c>
      <c r="D3571">
        <v>829197</v>
      </c>
    </row>
    <row r="3572" spans="1:4" x14ac:dyDescent="0.35">
      <c r="A3572" s="1">
        <v>1993</v>
      </c>
      <c r="B3572" t="s">
        <v>52</v>
      </c>
      <c r="C3572" t="s">
        <v>53</v>
      </c>
      <c r="D3572">
        <v>819455</v>
      </c>
    </row>
    <row r="3573" spans="1:4" x14ac:dyDescent="0.35">
      <c r="A3573" s="1">
        <v>1993</v>
      </c>
      <c r="B3573" t="s">
        <v>60</v>
      </c>
      <c r="C3573" t="s">
        <v>61</v>
      </c>
      <c r="D3573">
        <v>235831</v>
      </c>
    </row>
    <row r="3574" spans="1:4" x14ac:dyDescent="0.35">
      <c r="A3574" s="1">
        <v>1993</v>
      </c>
      <c r="B3574" t="s">
        <v>62</v>
      </c>
      <c r="C3574" t="s">
        <v>63</v>
      </c>
      <c r="D3574">
        <v>538147</v>
      </c>
    </row>
    <row r="3575" spans="1:4" x14ac:dyDescent="0.35">
      <c r="A3575" s="1">
        <v>1993</v>
      </c>
      <c r="B3575" t="s">
        <v>18</v>
      </c>
      <c r="C3575" t="s">
        <v>19</v>
      </c>
      <c r="D3575">
        <v>1044677</v>
      </c>
    </row>
    <row r="3576" spans="1:4" x14ac:dyDescent="0.35">
      <c r="A3576" s="1">
        <v>1993</v>
      </c>
      <c r="B3576" t="s">
        <v>36</v>
      </c>
      <c r="C3576" t="s">
        <v>37</v>
      </c>
      <c r="D3576">
        <v>250215</v>
      </c>
    </row>
    <row r="3577" spans="1:4" x14ac:dyDescent="0.35">
      <c r="A3577" s="1">
        <v>1993</v>
      </c>
      <c r="B3577" t="s">
        <v>152</v>
      </c>
      <c r="C3577" t="s">
        <v>153</v>
      </c>
      <c r="D3577">
        <v>317126</v>
      </c>
    </row>
    <row r="3578" spans="1:4" x14ac:dyDescent="0.35">
      <c r="A3578" s="1">
        <v>1993</v>
      </c>
      <c r="B3578" t="s">
        <v>64</v>
      </c>
      <c r="C3578" t="s">
        <v>65</v>
      </c>
      <c r="D3578">
        <v>309798</v>
      </c>
    </row>
    <row r="3579" spans="1:4" x14ac:dyDescent="0.35">
      <c r="A3579" s="1">
        <v>1993</v>
      </c>
      <c r="B3579" t="s">
        <v>20</v>
      </c>
      <c r="C3579" t="s">
        <v>21</v>
      </c>
      <c r="D3579">
        <v>744067</v>
      </c>
    </row>
    <row r="3580" spans="1:4" x14ac:dyDescent="0.35">
      <c r="A3580" s="1">
        <v>1993</v>
      </c>
      <c r="B3580" t="s">
        <v>22</v>
      </c>
      <c r="C3580" t="s">
        <v>23</v>
      </c>
      <c r="D3580">
        <v>206379</v>
      </c>
    </row>
    <row r="3581" spans="1:4" x14ac:dyDescent="0.35">
      <c r="A3581" s="1">
        <v>1993</v>
      </c>
      <c r="B3581" t="s">
        <v>190</v>
      </c>
      <c r="C3581" t="s">
        <v>191</v>
      </c>
      <c r="D3581">
        <v>1079601</v>
      </c>
    </row>
    <row r="3582" spans="1:4" x14ac:dyDescent="0.35">
      <c r="A3582" s="1">
        <v>1993</v>
      </c>
      <c r="B3582" t="s">
        <v>66</v>
      </c>
      <c r="C3582" t="s">
        <v>67</v>
      </c>
      <c r="D3582">
        <v>595926</v>
      </c>
    </row>
    <row r="3583" spans="1:4" x14ac:dyDescent="0.35">
      <c r="A3583" s="1">
        <v>1993</v>
      </c>
      <c r="B3583" t="s">
        <v>178</v>
      </c>
      <c r="C3583" t="s">
        <v>179</v>
      </c>
      <c r="D3583">
        <v>157211</v>
      </c>
    </row>
    <row r="3584" spans="1:4" x14ac:dyDescent="0.35">
      <c r="A3584" s="1">
        <v>1993</v>
      </c>
      <c r="B3584" t="s">
        <v>154</v>
      </c>
      <c r="C3584" t="s">
        <v>155</v>
      </c>
      <c r="D3584">
        <v>304579</v>
      </c>
    </row>
    <row r="3585" spans="1:4" x14ac:dyDescent="0.35">
      <c r="A3585" s="1">
        <v>1993</v>
      </c>
      <c r="B3585" t="s">
        <v>180</v>
      </c>
      <c r="C3585" t="s">
        <v>181</v>
      </c>
      <c r="D3585">
        <v>72763</v>
      </c>
    </row>
    <row r="3586" spans="1:4" x14ac:dyDescent="0.35">
      <c r="A3586" s="1">
        <v>1993</v>
      </c>
      <c r="B3586" t="s">
        <v>192</v>
      </c>
      <c r="C3586" t="s">
        <v>193</v>
      </c>
      <c r="D3586">
        <v>713817</v>
      </c>
    </row>
    <row r="3587" spans="1:4" x14ac:dyDescent="0.35">
      <c r="A3587" s="1">
        <v>1993</v>
      </c>
      <c r="B3587" t="s">
        <v>134</v>
      </c>
      <c r="C3587" t="s">
        <v>135</v>
      </c>
      <c r="D3587">
        <v>479877</v>
      </c>
    </row>
    <row r="3588" spans="1:4" x14ac:dyDescent="0.35">
      <c r="A3588" s="1">
        <v>1993</v>
      </c>
      <c r="B3588" t="s">
        <v>88</v>
      </c>
      <c r="C3588" t="s">
        <v>89</v>
      </c>
      <c r="D3588">
        <v>562053</v>
      </c>
    </row>
    <row r="3589" spans="1:4" x14ac:dyDescent="0.35">
      <c r="A3589" s="1">
        <v>1993</v>
      </c>
      <c r="B3589" t="s">
        <v>90</v>
      </c>
      <c r="C3589" t="s">
        <v>91</v>
      </c>
      <c r="D3589">
        <v>200882</v>
      </c>
    </row>
    <row r="3590" spans="1:4" x14ac:dyDescent="0.35">
      <c r="A3590" s="1">
        <v>1993</v>
      </c>
      <c r="B3590" t="s">
        <v>194</v>
      </c>
      <c r="C3590" t="s">
        <v>195</v>
      </c>
      <c r="D3590">
        <v>279725</v>
      </c>
    </row>
    <row r="3591" spans="1:4" x14ac:dyDescent="0.35">
      <c r="A3591" s="1">
        <v>1993</v>
      </c>
      <c r="B3591" t="s">
        <v>92</v>
      </c>
      <c r="C3591" t="s">
        <v>93</v>
      </c>
      <c r="D3591">
        <v>715492</v>
      </c>
    </row>
    <row r="3592" spans="1:4" x14ac:dyDescent="0.35">
      <c r="A3592" s="1">
        <v>1993</v>
      </c>
      <c r="B3592" t="s">
        <v>94</v>
      </c>
      <c r="C3592" t="s">
        <v>95</v>
      </c>
      <c r="D3592">
        <v>195709</v>
      </c>
    </row>
    <row r="3593" spans="1:4" x14ac:dyDescent="0.35">
      <c r="A3593" s="1">
        <v>1993</v>
      </c>
      <c r="B3593" t="s">
        <v>54</v>
      </c>
      <c r="C3593" t="s">
        <v>55</v>
      </c>
      <c r="D3593">
        <v>626160</v>
      </c>
    </row>
    <row r="3594" spans="1:4" x14ac:dyDescent="0.35">
      <c r="A3594" s="1">
        <v>1993</v>
      </c>
      <c r="B3594" t="s">
        <v>96</v>
      </c>
      <c r="C3594" t="s">
        <v>97</v>
      </c>
      <c r="D3594">
        <v>1015854</v>
      </c>
    </row>
    <row r="3595" spans="1:4" x14ac:dyDescent="0.35">
      <c r="A3595" s="1">
        <v>1993</v>
      </c>
      <c r="B3595" t="s">
        <v>38</v>
      </c>
      <c r="C3595" t="s">
        <v>39</v>
      </c>
      <c r="D3595">
        <v>230756</v>
      </c>
    </row>
    <row r="3596" spans="1:4" x14ac:dyDescent="0.35">
      <c r="A3596" s="1">
        <v>1993</v>
      </c>
      <c r="B3596" t="s">
        <v>106</v>
      </c>
      <c r="C3596" t="s">
        <v>107</v>
      </c>
      <c r="D3596">
        <v>2541429</v>
      </c>
    </row>
    <row r="3597" spans="1:4" x14ac:dyDescent="0.35">
      <c r="A3597" s="1">
        <v>1993</v>
      </c>
      <c r="B3597" t="s">
        <v>108</v>
      </c>
      <c r="C3597" t="s">
        <v>109</v>
      </c>
      <c r="D3597">
        <v>746457</v>
      </c>
    </row>
    <row r="3598" spans="1:4" x14ac:dyDescent="0.35">
      <c r="A3598" s="1">
        <v>1993</v>
      </c>
      <c r="B3598" t="s">
        <v>136</v>
      </c>
      <c r="C3598" t="s">
        <v>137</v>
      </c>
      <c r="D3598">
        <v>294086</v>
      </c>
    </row>
    <row r="3599" spans="1:4" x14ac:dyDescent="0.35">
      <c r="A3599" s="1">
        <v>1993</v>
      </c>
      <c r="B3599" t="s">
        <v>110</v>
      </c>
      <c r="C3599" t="s">
        <v>111</v>
      </c>
      <c r="D3599">
        <v>1436353</v>
      </c>
    </row>
    <row r="3600" spans="1:4" x14ac:dyDescent="0.35">
      <c r="A3600" s="1">
        <v>1993</v>
      </c>
      <c r="B3600" t="s">
        <v>24</v>
      </c>
      <c r="C3600" t="s">
        <v>25</v>
      </c>
      <c r="D3600">
        <v>599325</v>
      </c>
    </row>
    <row r="3601" spans="1:4" x14ac:dyDescent="0.35">
      <c r="A3601" s="1">
        <v>1993</v>
      </c>
      <c r="B3601" t="s">
        <v>156</v>
      </c>
      <c r="C3601" t="s">
        <v>157</v>
      </c>
      <c r="D3601">
        <v>585466</v>
      </c>
    </row>
    <row r="3602" spans="1:4" x14ac:dyDescent="0.35">
      <c r="A3602" s="1">
        <v>1993</v>
      </c>
      <c r="B3602" t="s">
        <v>182</v>
      </c>
      <c r="C3602" t="s">
        <v>183</v>
      </c>
      <c r="D3602">
        <v>224676</v>
      </c>
    </row>
    <row r="3603" spans="1:4" x14ac:dyDescent="0.35">
      <c r="A3603" s="1">
        <v>1993</v>
      </c>
      <c r="B3603" t="s">
        <v>184</v>
      </c>
      <c r="C3603" t="s">
        <v>185</v>
      </c>
      <c r="D3603">
        <v>372716</v>
      </c>
    </row>
    <row r="3604" spans="1:4" x14ac:dyDescent="0.35">
      <c r="A3604" s="1">
        <v>1993</v>
      </c>
      <c r="B3604" t="s">
        <v>98</v>
      </c>
      <c r="C3604" t="s">
        <v>99</v>
      </c>
      <c r="D3604">
        <v>978610</v>
      </c>
    </row>
    <row r="3605" spans="1:4" x14ac:dyDescent="0.35">
      <c r="A3605" s="1">
        <v>1993</v>
      </c>
      <c r="B3605" t="s">
        <v>100</v>
      </c>
      <c r="C3605" t="s">
        <v>101</v>
      </c>
      <c r="D3605">
        <v>684357</v>
      </c>
    </row>
    <row r="3606" spans="1:4" x14ac:dyDescent="0.35">
      <c r="A3606" s="1">
        <v>1993</v>
      </c>
      <c r="B3606" t="s">
        <v>26</v>
      </c>
      <c r="C3606" t="s">
        <v>27</v>
      </c>
      <c r="D3606">
        <v>1540976</v>
      </c>
    </row>
    <row r="3607" spans="1:4" x14ac:dyDescent="0.35">
      <c r="A3607" s="1">
        <v>1993</v>
      </c>
      <c r="B3607" t="s">
        <v>40</v>
      </c>
      <c r="C3607" t="s">
        <v>41</v>
      </c>
      <c r="D3607">
        <v>228577</v>
      </c>
    </row>
    <row r="3608" spans="1:4" x14ac:dyDescent="0.35">
      <c r="A3608" s="1">
        <v>1993</v>
      </c>
      <c r="B3608" t="s">
        <v>42</v>
      </c>
      <c r="C3608" t="s">
        <v>43</v>
      </c>
      <c r="D3608">
        <v>556591</v>
      </c>
    </row>
    <row r="3609" spans="1:4" x14ac:dyDescent="0.35">
      <c r="A3609" s="1">
        <v>1993</v>
      </c>
      <c r="B3609" t="s">
        <v>196</v>
      </c>
      <c r="C3609" t="s">
        <v>197</v>
      </c>
      <c r="D3609">
        <v>518667</v>
      </c>
    </row>
    <row r="3610" spans="1:4" x14ac:dyDescent="0.35">
      <c r="A3610" s="1">
        <v>1993</v>
      </c>
      <c r="B3610" t="s">
        <v>28</v>
      </c>
      <c r="C3610" t="s">
        <v>29</v>
      </c>
      <c r="D3610">
        <v>358484</v>
      </c>
    </row>
    <row r="3611" spans="1:4" x14ac:dyDescent="0.35">
      <c r="A3611" s="1">
        <v>1993</v>
      </c>
      <c r="B3611" t="s">
        <v>30</v>
      </c>
      <c r="C3611" t="s">
        <v>31</v>
      </c>
      <c r="D3611">
        <v>595629</v>
      </c>
    </row>
    <row r="3612" spans="1:4" x14ac:dyDescent="0.35">
      <c r="A3612" s="1">
        <v>1993</v>
      </c>
      <c r="B3612" t="s">
        <v>114</v>
      </c>
      <c r="C3612" t="s">
        <v>115</v>
      </c>
      <c r="D3612">
        <v>2132475</v>
      </c>
    </row>
    <row r="3613" spans="1:4" x14ac:dyDescent="0.35">
      <c r="A3613" s="1">
        <v>1993</v>
      </c>
      <c r="B3613" t="s">
        <v>138</v>
      </c>
      <c r="C3613" t="s">
        <v>139</v>
      </c>
      <c r="D3613">
        <v>1234321</v>
      </c>
    </row>
    <row r="3614" spans="1:4" x14ac:dyDescent="0.35">
      <c r="A3614" s="1">
        <v>1993</v>
      </c>
      <c r="B3614" t="s">
        <v>116</v>
      </c>
      <c r="C3614" t="s">
        <v>117</v>
      </c>
      <c r="D3614">
        <v>1131179</v>
      </c>
    </row>
    <row r="3615" spans="1:4" x14ac:dyDescent="0.35">
      <c r="A3615" s="1">
        <v>1993</v>
      </c>
      <c r="B3615" t="s">
        <v>118</v>
      </c>
      <c r="C3615" t="s">
        <v>119</v>
      </c>
      <c r="D3615">
        <v>1333814</v>
      </c>
    </row>
    <row r="3616" spans="1:4" x14ac:dyDescent="0.35">
      <c r="A3616" s="1">
        <v>1993</v>
      </c>
      <c r="B3616" t="s">
        <v>158</v>
      </c>
      <c r="C3616" t="s">
        <v>159</v>
      </c>
      <c r="D3616">
        <v>345534</v>
      </c>
    </row>
    <row r="3617" spans="1:4" x14ac:dyDescent="0.35">
      <c r="A3617" s="1">
        <v>1993</v>
      </c>
      <c r="B3617" t="s">
        <v>112</v>
      </c>
      <c r="C3617" t="s">
        <v>113</v>
      </c>
      <c r="D3617">
        <v>550247</v>
      </c>
    </row>
    <row r="3618" spans="1:4" x14ac:dyDescent="0.35">
      <c r="A3618" s="1">
        <v>1993</v>
      </c>
      <c r="B3618" t="s">
        <v>186</v>
      </c>
      <c r="C3618" t="s">
        <v>187</v>
      </c>
      <c r="D3618">
        <v>342402</v>
      </c>
    </row>
    <row r="3619" spans="1:4" x14ac:dyDescent="0.35">
      <c r="A3619" s="1">
        <v>1993</v>
      </c>
      <c r="B3619" t="s">
        <v>188</v>
      </c>
      <c r="C3619" t="s">
        <v>189</v>
      </c>
      <c r="D3619">
        <v>203245</v>
      </c>
    </row>
    <row r="3620" spans="1:4" x14ac:dyDescent="0.35">
      <c r="A3620" s="1">
        <v>1993</v>
      </c>
      <c r="B3620" t="s">
        <v>208</v>
      </c>
      <c r="C3620" t="s">
        <v>209</v>
      </c>
      <c r="D3620">
        <v>846896</v>
      </c>
    </row>
    <row r="3621" spans="1:4" x14ac:dyDescent="0.35">
      <c r="A3621" s="1">
        <v>1993</v>
      </c>
      <c r="B3621" t="s">
        <v>210</v>
      </c>
      <c r="C3621" t="s">
        <v>211</v>
      </c>
      <c r="D3621">
        <v>478843</v>
      </c>
    </row>
    <row r="3622" spans="1:4" x14ac:dyDescent="0.35">
      <c r="A3622" s="1">
        <v>1993</v>
      </c>
      <c r="B3622" t="s">
        <v>198</v>
      </c>
      <c r="C3622" t="s">
        <v>199</v>
      </c>
      <c r="D3622">
        <v>518974</v>
      </c>
    </row>
    <row r="3623" spans="1:4" x14ac:dyDescent="0.35">
      <c r="A3623" s="1">
        <v>1993</v>
      </c>
      <c r="B3623" t="s">
        <v>160</v>
      </c>
      <c r="C3623" t="s">
        <v>161</v>
      </c>
      <c r="D3623">
        <v>386099</v>
      </c>
    </row>
    <row r="3624" spans="1:4" x14ac:dyDescent="0.35">
      <c r="A3624" s="1">
        <v>1993</v>
      </c>
      <c r="B3624" t="s">
        <v>162</v>
      </c>
      <c r="C3624" t="s">
        <v>163</v>
      </c>
      <c r="D3624">
        <v>354418</v>
      </c>
    </row>
    <row r="3625" spans="1:4" x14ac:dyDescent="0.35">
      <c r="A3625" s="1">
        <v>1993</v>
      </c>
      <c r="B3625" t="s">
        <v>102</v>
      </c>
      <c r="C3625" t="s">
        <v>103</v>
      </c>
      <c r="D3625">
        <v>384459</v>
      </c>
    </row>
    <row r="3626" spans="1:4" x14ac:dyDescent="0.35">
      <c r="A3626" s="1">
        <v>1993</v>
      </c>
      <c r="B3626" t="s">
        <v>44</v>
      </c>
      <c r="C3626" t="s">
        <v>45</v>
      </c>
      <c r="D3626">
        <v>327739</v>
      </c>
    </row>
    <row r="3627" spans="1:4" x14ac:dyDescent="0.35">
      <c r="A3627" s="1">
        <v>1993</v>
      </c>
      <c r="B3627" t="s">
        <v>46</v>
      </c>
      <c r="C3627" t="s">
        <v>221</v>
      </c>
      <c r="D3627">
        <v>135510</v>
      </c>
    </row>
    <row r="3628" spans="1:4" x14ac:dyDescent="0.35">
      <c r="A3628" s="1">
        <v>1993</v>
      </c>
      <c r="B3628" t="s">
        <v>120</v>
      </c>
      <c r="C3628" t="s">
        <v>121</v>
      </c>
      <c r="D3628">
        <v>1115400</v>
      </c>
    </row>
    <row r="3629" spans="1:4" x14ac:dyDescent="0.35">
      <c r="A3629" s="1">
        <v>1993</v>
      </c>
      <c r="B3629" t="s">
        <v>122</v>
      </c>
      <c r="C3629" t="s">
        <v>222</v>
      </c>
      <c r="D3629">
        <v>1395461</v>
      </c>
    </row>
    <row r="3630" spans="1:4" x14ac:dyDescent="0.35">
      <c r="A3630" s="1">
        <v>1993</v>
      </c>
      <c r="B3630" t="s">
        <v>124</v>
      </c>
      <c r="C3630" t="s">
        <v>125</v>
      </c>
      <c r="D3630">
        <v>1387427</v>
      </c>
    </row>
    <row r="3631" spans="1:4" x14ac:dyDescent="0.35">
      <c r="A3631" s="1">
        <v>1993</v>
      </c>
      <c r="B3631" t="s">
        <v>126</v>
      </c>
      <c r="C3631" t="s">
        <v>127</v>
      </c>
      <c r="D3631">
        <v>1221158</v>
      </c>
    </row>
    <row r="3632" spans="1:4" x14ac:dyDescent="0.35">
      <c r="A3632" s="1">
        <v>1993</v>
      </c>
      <c r="B3632" t="s">
        <v>128</v>
      </c>
      <c r="C3632" t="s">
        <v>129</v>
      </c>
      <c r="D3632">
        <v>1076500</v>
      </c>
    </row>
    <row r="3633" spans="1:4" x14ac:dyDescent="0.35">
      <c r="A3633" s="1">
        <v>1993</v>
      </c>
      <c r="B3633" t="s">
        <v>257</v>
      </c>
      <c r="D3633">
        <v>57369161</v>
      </c>
    </row>
    <row r="3634" spans="1:4" x14ac:dyDescent="0.35">
      <c r="A3634" s="1">
        <v>1993</v>
      </c>
      <c r="B3634">
        <v>971</v>
      </c>
      <c r="C3634" t="s">
        <v>73</v>
      </c>
      <c r="D3634">
        <v>360681</v>
      </c>
    </row>
    <row r="3635" spans="1:4" x14ac:dyDescent="0.35">
      <c r="A3635" s="1">
        <v>1993</v>
      </c>
      <c r="B3635">
        <v>972</v>
      </c>
      <c r="C3635" t="s">
        <v>75</v>
      </c>
      <c r="D3635">
        <v>363344</v>
      </c>
    </row>
    <row r="3636" spans="1:4" x14ac:dyDescent="0.35">
      <c r="A3636" s="1">
        <v>1993</v>
      </c>
      <c r="B3636">
        <v>973</v>
      </c>
      <c r="C3636" t="s">
        <v>77</v>
      </c>
      <c r="D3636">
        <v>125786</v>
      </c>
    </row>
    <row r="3637" spans="1:4" x14ac:dyDescent="0.35">
      <c r="A3637" s="1">
        <v>1993</v>
      </c>
      <c r="B3637">
        <v>974</v>
      </c>
      <c r="C3637" t="s">
        <v>79</v>
      </c>
      <c r="D3637">
        <v>633030</v>
      </c>
    </row>
    <row r="3638" spans="1:4" x14ac:dyDescent="0.35">
      <c r="A3638" s="1">
        <v>1993</v>
      </c>
      <c r="B3638" t="s">
        <v>226</v>
      </c>
      <c r="D3638">
        <v>1482841</v>
      </c>
    </row>
    <row r="3639" spans="1:4" x14ac:dyDescent="0.35">
      <c r="A3639" s="1">
        <v>1993</v>
      </c>
      <c r="B3639" t="s">
        <v>227</v>
      </c>
      <c r="D3639">
        <v>58852002</v>
      </c>
    </row>
    <row r="3640" spans="1:4" x14ac:dyDescent="0.35">
      <c r="A3640" s="1">
        <v>1993</v>
      </c>
    </row>
    <row r="3641" spans="1:4" x14ac:dyDescent="0.35">
      <c r="A3641" s="1">
        <v>1993</v>
      </c>
      <c r="B3641" t="s">
        <v>240</v>
      </c>
    </row>
    <row r="3642" spans="1:4" x14ac:dyDescent="0.35">
      <c r="A3642" s="1">
        <v>1992</v>
      </c>
      <c r="B3642" t="s">
        <v>251</v>
      </c>
    </row>
    <row r="3643" spans="1:4" x14ac:dyDescent="0.35">
      <c r="A3643" s="1">
        <v>1992</v>
      </c>
      <c r="B3643" t="s">
        <v>272</v>
      </c>
    </row>
    <row r="3644" spans="1:4" x14ac:dyDescent="0.35">
      <c r="A3644" s="1">
        <v>1992</v>
      </c>
    </row>
    <row r="3645" spans="1:4" x14ac:dyDescent="0.35">
      <c r="A3645" s="1">
        <v>1992</v>
      </c>
      <c r="B3645" t="s">
        <v>231</v>
      </c>
    </row>
    <row r="3646" spans="1:4" x14ac:dyDescent="0.35">
      <c r="A3646" s="1">
        <v>1992</v>
      </c>
      <c r="D3646" t="s">
        <v>232</v>
      </c>
    </row>
    <row r="3647" spans="1:4" x14ac:dyDescent="0.35">
      <c r="A3647" s="1">
        <v>1992</v>
      </c>
      <c r="B3647" t="s">
        <v>5</v>
      </c>
      <c r="C3647" t="s">
        <v>6</v>
      </c>
      <c r="D3647">
        <v>482557</v>
      </c>
    </row>
    <row r="3648" spans="1:4" x14ac:dyDescent="0.35">
      <c r="A3648" s="1">
        <v>1992</v>
      </c>
      <c r="B3648" t="s">
        <v>104</v>
      </c>
      <c r="C3648" t="s">
        <v>105</v>
      </c>
      <c r="D3648">
        <v>537755</v>
      </c>
    </row>
    <row r="3649" spans="1:4" x14ac:dyDescent="0.35">
      <c r="A3649" s="1">
        <v>1992</v>
      </c>
      <c r="B3649" t="s">
        <v>10</v>
      </c>
      <c r="C3649" t="s">
        <v>11</v>
      </c>
      <c r="D3649">
        <v>355195</v>
      </c>
    </row>
    <row r="3650" spans="1:4" x14ac:dyDescent="0.35">
      <c r="A3650" s="1">
        <v>1992</v>
      </c>
      <c r="B3650" t="s">
        <v>200</v>
      </c>
      <c r="C3650" t="s">
        <v>201</v>
      </c>
      <c r="D3650">
        <v>132739</v>
      </c>
    </row>
    <row r="3651" spans="1:4" x14ac:dyDescent="0.35">
      <c r="A3651" s="1">
        <v>1992</v>
      </c>
      <c r="B3651" t="s">
        <v>202</v>
      </c>
      <c r="C3651" t="s">
        <v>203</v>
      </c>
      <c r="D3651">
        <v>114917</v>
      </c>
    </row>
    <row r="3652" spans="1:4" x14ac:dyDescent="0.35">
      <c r="A3652" s="1">
        <v>1992</v>
      </c>
      <c r="B3652" t="s">
        <v>204</v>
      </c>
      <c r="C3652" t="s">
        <v>205</v>
      </c>
      <c r="D3652">
        <v>989251</v>
      </c>
    </row>
    <row r="3653" spans="1:4" x14ac:dyDescent="0.35">
      <c r="A3653" s="1">
        <v>1992</v>
      </c>
      <c r="B3653" t="s">
        <v>12</v>
      </c>
      <c r="C3653" t="s">
        <v>13</v>
      </c>
      <c r="D3653">
        <v>279438</v>
      </c>
    </row>
    <row r="3654" spans="1:4" x14ac:dyDescent="0.35">
      <c r="A3654" s="1">
        <v>1992</v>
      </c>
      <c r="B3654" t="s">
        <v>84</v>
      </c>
      <c r="C3654" t="s">
        <v>85</v>
      </c>
      <c r="D3654">
        <v>294625</v>
      </c>
    </row>
    <row r="3655" spans="1:4" x14ac:dyDescent="0.35">
      <c r="A3655" s="1">
        <v>1992</v>
      </c>
      <c r="B3655" t="s">
        <v>164</v>
      </c>
      <c r="C3655" t="s">
        <v>165</v>
      </c>
      <c r="D3655">
        <v>136870</v>
      </c>
    </row>
    <row r="3656" spans="1:4" x14ac:dyDescent="0.35">
      <c r="A3656" s="1">
        <v>1992</v>
      </c>
      <c r="B3656" t="s">
        <v>86</v>
      </c>
      <c r="C3656" t="s">
        <v>87</v>
      </c>
      <c r="D3656">
        <v>290731</v>
      </c>
    </row>
    <row r="3657" spans="1:4" x14ac:dyDescent="0.35">
      <c r="A3657" s="1">
        <v>1992</v>
      </c>
      <c r="B3657" t="s">
        <v>166</v>
      </c>
      <c r="C3657" t="s">
        <v>167</v>
      </c>
      <c r="D3657">
        <v>301045</v>
      </c>
    </row>
    <row r="3658" spans="1:4" x14ac:dyDescent="0.35">
      <c r="A3658" s="1">
        <v>1992</v>
      </c>
      <c r="B3658" t="s">
        <v>168</v>
      </c>
      <c r="C3658" t="s">
        <v>169</v>
      </c>
      <c r="D3658">
        <v>268535</v>
      </c>
    </row>
    <row r="3659" spans="1:4" x14ac:dyDescent="0.35">
      <c r="A3659" s="1">
        <v>1992</v>
      </c>
      <c r="B3659" t="s">
        <v>206</v>
      </c>
      <c r="C3659" t="s">
        <v>207</v>
      </c>
      <c r="D3659">
        <v>1777351</v>
      </c>
    </row>
    <row r="3660" spans="1:4" x14ac:dyDescent="0.35">
      <c r="A3660" s="1">
        <v>1992</v>
      </c>
      <c r="B3660" t="s">
        <v>130</v>
      </c>
      <c r="C3660" t="s">
        <v>131</v>
      </c>
      <c r="D3660">
        <v>625079</v>
      </c>
    </row>
    <row r="3661" spans="1:4" x14ac:dyDescent="0.35">
      <c r="A3661" s="1">
        <v>1992</v>
      </c>
      <c r="B3661" t="s">
        <v>14</v>
      </c>
      <c r="C3661" t="s">
        <v>15</v>
      </c>
      <c r="D3661">
        <v>157220</v>
      </c>
    </row>
    <row r="3662" spans="1:4" x14ac:dyDescent="0.35">
      <c r="A3662" s="1">
        <v>1992</v>
      </c>
      <c r="B3662" t="s">
        <v>140</v>
      </c>
      <c r="C3662" t="s">
        <v>141</v>
      </c>
      <c r="D3662">
        <v>342242</v>
      </c>
    </row>
    <row r="3663" spans="1:4" x14ac:dyDescent="0.35">
      <c r="A3663" s="1">
        <v>1992</v>
      </c>
      <c r="B3663" t="s">
        <v>142</v>
      </c>
      <c r="C3663" t="s">
        <v>143</v>
      </c>
      <c r="D3663">
        <v>533431</v>
      </c>
    </row>
    <row r="3664" spans="1:4" x14ac:dyDescent="0.35">
      <c r="A3664" s="1">
        <v>1992</v>
      </c>
      <c r="B3664" t="s">
        <v>56</v>
      </c>
      <c r="C3664" t="s">
        <v>57</v>
      </c>
      <c r="D3664">
        <v>321042</v>
      </c>
    </row>
    <row r="3665" spans="1:4" x14ac:dyDescent="0.35">
      <c r="A3665" s="1">
        <v>1992</v>
      </c>
      <c r="B3665" t="s">
        <v>144</v>
      </c>
      <c r="C3665" t="s">
        <v>145</v>
      </c>
      <c r="D3665">
        <v>236942</v>
      </c>
    </row>
    <row r="3666" spans="1:4" x14ac:dyDescent="0.35">
      <c r="A3666" s="1">
        <v>1992</v>
      </c>
      <c r="B3666" t="s">
        <v>68</v>
      </c>
      <c r="C3666" t="s">
        <v>69</v>
      </c>
      <c r="D3666">
        <v>119076</v>
      </c>
    </row>
    <row r="3667" spans="1:4" x14ac:dyDescent="0.35">
      <c r="A3667" s="1">
        <v>1992</v>
      </c>
      <c r="B3667" t="s">
        <v>70</v>
      </c>
      <c r="C3667" t="s">
        <v>71</v>
      </c>
      <c r="D3667">
        <v>132622</v>
      </c>
    </row>
    <row r="3668" spans="1:4" x14ac:dyDescent="0.35">
      <c r="A3668" s="1">
        <v>1992</v>
      </c>
      <c r="B3668" t="s">
        <v>32</v>
      </c>
      <c r="C3668" t="s">
        <v>219</v>
      </c>
      <c r="D3668">
        <v>497563</v>
      </c>
    </row>
    <row r="3669" spans="1:4" x14ac:dyDescent="0.35">
      <c r="A3669" s="1">
        <v>1992</v>
      </c>
      <c r="B3669" t="s">
        <v>48</v>
      </c>
      <c r="C3669" t="s">
        <v>220</v>
      </c>
      <c r="D3669">
        <v>537254</v>
      </c>
    </row>
    <row r="3670" spans="1:4" x14ac:dyDescent="0.35">
      <c r="A3670" s="1">
        <v>1992</v>
      </c>
      <c r="B3670" t="s">
        <v>146</v>
      </c>
      <c r="C3670" t="s">
        <v>147</v>
      </c>
      <c r="D3670">
        <v>129648</v>
      </c>
    </row>
    <row r="3671" spans="1:4" x14ac:dyDescent="0.35">
      <c r="A3671" s="1">
        <v>1992</v>
      </c>
      <c r="B3671" t="s">
        <v>148</v>
      </c>
      <c r="C3671" t="s">
        <v>149</v>
      </c>
      <c r="D3671">
        <v>387066</v>
      </c>
    </row>
    <row r="3672" spans="1:4" x14ac:dyDescent="0.35">
      <c r="A3672" s="1">
        <v>1992</v>
      </c>
      <c r="B3672" t="s">
        <v>34</v>
      </c>
      <c r="C3672" t="s">
        <v>35</v>
      </c>
      <c r="D3672">
        <v>488956</v>
      </c>
    </row>
    <row r="3673" spans="1:4" x14ac:dyDescent="0.35">
      <c r="A3673" s="1">
        <v>1992</v>
      </c>
      <c r="B3673" t="s">
        <v>16</v>
      </c>
      <c r="C3673" t="s">
        <v>17</v>
      </c>
      <c r="D3673">
        <v>419445</v>
      </c>
    </row>
    <row r="3674" spans="1:4" x14ac:dyDescent="0.35">
      <c r="A3674" s="1">
        <v>1992</v>
      </c>
      <c r="B3674" t="s">
        <v>132</v>
      </c>
      <c r="C3674" t="s">
        <v>133</v>
      </c>
      <c r="D3674">
        <v>522477</v>
      </c>
    </row>
    <row r="3675" spans="1:4" x14ac:dyDescent="0.35">
      <c r="A3675" s="1">
        <v>1992</v>
      </c>
      <c r="B3675" t="s">
        <v>58</v>
      </c>
      <c r="C3675" t="s">
        <v>59</v>
      </c>
      <c r="D3675">
        <v>401323</v>
      </c>
    </row>
    <row r="3676" spans="1:4" x14ac:dyDescent="0.35">
      <c r="A3676" s="1">
        <v>1992</v>
      </c>
      <c r="B3676" t="s">
        <v>50</v>
      </c>
      <c r="C3676" t="s">
        <v>51</v>
      </c>
      <c r="D3676">
        <v>838457</v>
      </c>
    </row>
    <row r="3677" spans="1:4" x14ac:dyDescent="0.35">
      <c r="A3677" s="1">
        <v>1992</v>
      </c>
      <c r="B3677" t="s">
        <v>170</v>
      </c>
      <c r="C3677" t="s">
        <v>171</v>
      </c>
      <c r="D3677">
        <v>593423</v>
      </c>
    </row>
    <row r="3678" spans="1:4" x14ac:dyDescent="0.35">
      <c r="A3678" s="1">
        <v>1992</v>
      </c>
      <c r="B3678" t="s">
        <v>172</v>
      </c>
      <c r="C3678" t="s">
        <v>173</v>
      </c>
      <c r="D3678">
        <v>955129</v>
      </c>
    </row>
    <row r="3679" spans="1:4" x14ac:dyDescent="0.35">
      <c r="A3679" s="1">
        <v>1992</v>
      </c>
      <c r="B3679" t="s">
        <v>174</v>
      </c>
      <c r="C3679" t="s">
        <v>175</v>
      </c>
      <c r="D3679">
        <v>174102</v>
      </c>
    </row>
    <row r="3680" spans="1:4" x14ac:dyDescent="0.35">
      <c r="A3680" s="1">
        <v>1992</v>
      </c>
      <c r="B3680" t="s">
        <v>150</v>
      </c>
      <c r="C3680" t="s">
        <v>151</v>
      </c>
      <c r="D3680">
        <v>1233378</v>
      </c>
    </row>
    <row r="3681" spans="1:4" x14ac:dyDescent="0.35">
      <c r="A3681" s="1">
        <v>1992</v>
      </c>
      <c r="B3681" t="s">
        <v>176</v>
      </c>
      <c r="C3681" t="s">
        <v>177</v>
      </c>
      <c r="D3681">
        <v>817317</v>
      </c>
    </row>
    <row r="3682" spans="1:4" x14ac:dyDescent="0.35">
      <c r="A3682" s="1">
        <v>1992</v>
      </c>
      <c r="B3682" t="s">
        <v>52</v>
      </c>
      <c r="C3682" t="s">
        <v>53</v>
      </c>
      <c r="D3682">
        <v>812305</v>
      </c>
    </row>
    <row r="3683" spans="1:4" x14ac:dyDescent="0.35">
      <c r="A3683" s="1">
        <v>1992</v>
      </c>
      <c r="B3683" t="s">
        <v>60</v>
      </c>
      <c r="C3683" t="s">
        <v>61</v>
      </c>
      <c r="D3683">
        <v>236467</v>
      </c>
    </row>
    <row r="3684" spans="1:4" x14ac:dyDescent="0.35">
      <c r="A3684" s="1">
        <v>1992</v>
      </c>
      <c r="B3684" t="s">
        <v>62</v>
      </c>
      <c r="C3684" t="s">
        <v>63</v>
      </c>
      <c r="D3684">
        <v>534700</v>
      </c>
    </row>
    <row r="3685" spans="1:4" x14ac:dyDescent="0.35">
      <c r="A3685" s="1">
        <v>1992</v>
      </c>
      <c r="B3685" t="s">
        <v>18</v>
      </c>
      <c r="C3685" t="s">
        <v>19</v>
      </c>
      <c r="D3685">
        <v>1035067</v>
      </c>
    </row>
    <row r="3686" spans="1:4" x14ac:dyDescent="0.35">
      <c r="A3686" s="1">
        <v>1992</v>
      </c>
      <c r="B3686" t="s">
        <v>36</v>
      </c>
      <c r="C3686" t="s">
        <v>37</v>
      </c>
      <c r="D3686">
        <v>249821</v>
      </c>
    </row>
    <row r="3687" spans="1:4" x14ac:dyDescent="0.35">
      <c r="A3687" s="1">
        <v>1992</v>
      </c>
      <c r="B3687" t="s">
        <v>152</v>
      </c>
      <c r="C3687" t="s">
        <v>153</v>
      </c>
      <c r="D3687">
        <v>315261</v>
      </c>
    </row>
    <row r="3688" spans="1:4" x14ac:dyDescent="0.35">
      <c r="A3688" s="1">
        <v>1992</v>
      </c>
      <c r="B3688" t="s">
        <v>64</v>
      </c>
      <c r="C3688" t="s">
        <v>65</v>
      </c>
      <c r="D3688">
        <v>308482</v>
      </c>
    </row>
    <row r="3689" spans="1:4" x14ac:dyDescent="0.35">
      <c r="A3689" s="1">
        <v>1992</v>
      </c>
      <c r="B3689" t="s">
        <v>20</v>
      </c>
      <c r="C3689" t="s">
        <v>21</v>
      </c>
      <c r="D3689">
        <v>744283</v>
      </c>
    </row>
    <row r="3690" spans="1:4" x14ac:dyDescent="0.35">
      <c r="A3690" s="1">
        <v>1992</v>
      </c>
      <c r="B3690" t="s">
        <v>22</v>
      </c>
      <c r="C3690" t="s">
        <v>23</v>
      </c>
      <c r="D3690">
        <v>206639</v>
      </c>
    </row>
    <row r="3691" spans="1:4" x14ac:dyDescent="0.35">
      <c r="A3691" s="1">
        <v>1992</v>
      </c>
      <c r="B3691" t="s">
        <v>190</v>
      </c>
      <c r="C3691" t="s">
        <v>191</v>
      </c>
      <c r="D3691">
        <v>1068983</v>
      </c>
    </row>
    <row r="3692" spans="1:4" x14ac:dyDescent="0.35">
      <c r="A3692" s="1">
        <v>1992</v>
      </c>
      <c r="B3692" t="s">
        <v>66</v>
      </c>
      <c r="C3692" t="s">
        <v>67</v>
      </c>
      <c r="D3692">
        <v>591029</v>
      </c>
    </row>
    <row r="3693" spans="1:4" x14ac:dyDescent="0.35">
      <c r="A3693" s="1">
        <v>1992</v>
      </c>
      <c r="B3693" t="s">
        <v>178</v>
      </c>
      <c r="C3693" t="s">
        <v>179</v>
      </c>
      <c r="D3693">
        <v>156980</v>
      </c>
    </row>
    <row r="3694" spans="1:4" x14ac:dyDescent="0.35">
      <c r="A3694" s="1">
        <v>1992</v>
      </c>
      <c r="B3694" t="s">
        <v>154</v>
      </c>
      <c r="C3694" t="s">
        <v>155</v>
      </c>
      <c r="D3694">
        <v>304994</v>
      </c>
    </row>
    <row r="3695" spans="1:4" x14ac:dyDescent="0.35">
      <c r="A3695" s="1">
        <v>1992</v>
      </c>
      <c r="B3695" t="s">
        <v>180</v>
      </c>
      <c r="C3695" t="s">
        <v>181</v>
      </c>
      <c r="D3695">
        <v>72390</v>
      </c>
    </row>
    <row r="3696" spans="1:4" x14ac:dyDescent="0.35">
      <c r="A3696" s="1">
        <v>1992</v>
      </c>
      <c r="B3696" t="s">
        <v>192</v>
      </c>
      <c r="C3696" t="s">
        <v>193</v>
      </c>
      <c r="D3696">
        <v>710269</v>
      </c>
    </row>
    <row r="3697" spans="1:4" x14ac:dyDescent="0.35">
      <c r="A3697" s="1">
        <v>1992</v>
      </c>
      <c r="B3697" t="s">
        <v>134</v>
      </c>
      <c r="C3697" t="s">
        <v>135</v>
      </c>
      <c r="D3697">
        <v>479408</v>
      </c>
    </row>
    <row r="3698" spans="1:4" x14ac:dyDescent="0.35">
      <c r="A3698" s="1">
        <v>1992</v>
      </c>
      <c r="B3698" t="s">
        <v>88</v>
      </c>
      <c r="C3698" t="s">
        <v>89</v>
      </c>
      <c r="D3698">
        <v>560409</v>
      </c>
    </row>
    <row r="3699" spans="1:4" x14ac:dyDescent="0.35">
      <c r="A3699" s="1">
        <v>1992</v>
      </c>
      <c r="B3699" t="s">
        <v>90</v>
      </c>
      <c r="C3699" t="s">
        <v>91</v>
      </c>
      <c r="D3699">
        <v>202052</v>
      </c>
    </row>
    <row r="3700" spans="1:4" x14ac:dyDescent="0.35">
      <c r="A3700" s="1">
        <v>1992</v>
      </c>
      <c r="B3700" t="s">
        <v>194</v>
      </c>
      <c r="C3700" t="s">
        <v>195</v>
      </c>
      <c r="D3700">
        <v>278701</v>
      </c>
    </row>
    <row r="3701" spans="1:4" x14ac:dyDescent="0.35">
      <c r="A3701" s="1">
        <v>1992</v>
      </c>
      <c r="B3701" t="s">
        <v>92</v>
      </c>
      <c r="C3701" t="s">
        <v>93</v>
      </c>
      <c r="D3701">
        <v>713614</v>
      </c>
    </row>
    <row r="3702" spans="1:4" x14ac:dyDescent="0.35">
      <c r="A3702" s="1">
        <v>1992</v>
      </c>
      <c r="B3702" t="s">
        <v>94</v>
      </c>
      <c r="C3702" t="s">
        <v>95</v>
      </c>
      <c r="D3702">
        <v>195676</v>
      </c>
    </row>
    <row r="3703" spans="1:4" x14ac:dyDescent="0.35">
      <c r="A3703" s="1">
        <v>1992</v>
      </c>
      <c r="B3703" t="s">
        <v>54</v>
      </c>
      <c r="C3703" t="s">
        <v>55</v>
      </c>
      <c r="D3703">
        <v>623457</v>
      </c>
    </row>
    <row r="3704" spans="1:4" x14ac:dyDescent="0.35">
      <c r="A3704" s="1">
        <v>1992</v>
      </c>
      <c r="B3704" t="s">
        <v>96</v>
      </c>
      <c r="C3704" t="s">
        <v>97</v>
      </c>
      <c r="D3704">
        <v>1013534</v>
      </c>
    </row>
    <row r="3705" spans="1:4" x14ac:dyDescent="0.35">
      <c r="A3705" s="1">
        <v>1992</v>
      </c>
      <c r="B3705" t="s">
        <v>38</v>
      </c>
      <c r="C3705" t="s">
        <v>39</v>
      </c>
      <c r="D3705">
        <v>231731</v>
      </c>
    </row>
    <row r="3706" spans="1:4" x14ac:dyDescent="0.35">
      <c r="A3706" s="1">
        <v>1992</v>
      </c>
      <c r="B3706" t="s">
        <v>106</v>
      </c>
      <c r="C3706" t="s">
        <v>107</v>
      </c>
      <c r="D3706">
        <v>2536843</v>
      </c>
    </row>
    <row r="3707" spans="1:4" x14ac:dyDescent="0.35">
      <c r="A3707" s="1">
        <v>1992</v>
      </c>
      <c r="B3707" t="s">
        <v>108</v>
      </c>
      <c r="C3707" t="s">
        <v>109</v>
      </c>
      <c r="D3707">
        <v>739642</v>
      </c>
    </row>
    <row r="3708" spans="1:4" x14ac:dyDescent="0.35">
      <c r="A3708" s="1">
        <v>1992</v>
      </c>
      <c r="B3708" t="s">
        <v>136</v>
      </c>
      <c r="C3708" t="s">
        <v>137</v>
      </c>
      <c r="D3708">
        <v>293314</v>
      </c>
    </row>
    <row r="3709" spans="1:4" x14ac:dyDescent="0.35">
      <c r="A3709" s="1">
        <v>1992</v>
      </c>
      <c r="B3709" t="s">
        <v>110</v>
      </c>
      <c r="C3709" t="s">
        <v>111</v>
      </c>
      <c r="D3709">
        <v>1434353</v>
      </c>
    </row>
    <row r="3710" spans="1:4" x14ac:dyDescent="0.35">
      <c r="A3710" s="1">
        <v>1992</v>
      </c>
      <c r="B3710" t="s">
        <v>24</v>
      </c>
      <c r="C3710" t="s">
        <v>25</v>
      </c>
      <c r="D3710">
        <v>598348</v>
      </c>
    </row>
    <row r="3711" spans="1:4" x14ac:dyDescent="0.35">
      <c r="A3711" s="1">
        <v>1992</v>
      </c>
      <c r="B3711" t="s">
        <v>156</v>
      </c>
      <c r="C3711" t="s">
        <v>157</v>
      </c>
      <c r="D3711">
        <v>583349</v>
      </c>
    </row>
    <row r="3712" spans="1:4" x14ac:dyDescent="0.35">
      <c r="A3712" s="1">
        <v>1992</v>
      </c>
      <c r="B3712" t="s">
        <v>182</v>
      </c>
      <c r="C3712" t="s">
        <v>183</v>
      </c>
      <c r="D3712">
        <v>224823</v>
      </c>
    </row>
    <row r="3713" spans="1:4" x14ac:dyDescent="0.35">
      <c r="A3713" s="1">
        <v>1992</v>
      </c>
      <c r="B3713" t="s">
        <v>184</v>
      </c>
      <c r="C3713" t="s">
        <v>185</v>
      </c>
      <c r="D3713">
        <v>369657</v>
      </c>
    </row>
    <row r="3714" spans="1:4" x14ac:dyDescent="0.35">
      <c r="A3714" s="1">
        <v>1992</v>
      </c>
      <c r="B3714" t="s">
        <v>98</v>
      </c>
      <c r="C3714" t="s">
        <v>99</v>
      </c>
      <c r="D3714">
        <v>968879</v>
      </c>
    </row>
    <row r="3715" spans="1:4" x14ac:dyDescent="0.35">
      <c r="A3715" s="1">
        <v>1992</v>
      </c>
      <c r="B3715" t="s">
        <v>100</v>
      </c>
      <c r="C3715" t="s">
        <v>101</v>
      </c>
      <c r="D3715">
        <v>679085</v>
      </c>
    </row>
    <row r="3716" spans="1:4" x14ac:dyDescent="0.35">
      <c r="A3716" s="1">
        <v>1992</v>
      </c>
      <c r="B3716" t="s">
        <v>26</v>
      </c>
      <c r="C3716" t="s">
        <v>27</v>
      </c>
      <c r="D3716">
        <v>1530190</v>
      </c>
    </row>
    <row r="3717" spans="1:4" x14ac:dyDescent="0.35">
      <c r="A3717" s="1">
        <v>1992</v>
      </c>
      <c r="B3717" t="s">
        <v>40</v>
      </c>
      <c r="C3717" t="s">
        <v>41</v>
      </c>
      <c r="D3717">
        <v>228657</v>
      </c>
    </row>
    <row r="3718" spans="1:4" x14ac:dyDescent="0.35">
      <c r="A3718" s="1">
        <v>1992</v>
      </c>
      <c r="B3718" t="s">
        <v>42</v>
      </c>
      <c r="C3718" t="s">
        <v>43</v>
      </c>
      <c r="D3718">
        <v>557729</v>
      </c>
    </row>
    <row r="3719" spans="1:4" x14ac:dyDescent="0.35">
      <c r="A3719" s="1">
        <v>1992</v>
      </c>
      <c r="B3719" t="s">
        <v>196</v>
      </c>
      <c r="C3719" t="s">
        <v>197</v>
      </c>
      <c r="D3719">
        <v>516652</v>
      </c>
    </row>
    <row r="3720" spans="1:4" x14ac:dyDescent="0.35">
      <c r="A3720" s="1">
        <v>1992</v>
      </c>
      <c r="B3720" t="s">
        <v>28</v>
      </c>
      <c r="C3720" t="s">
        <v>29</v>
      </c>
      <c r="D3720">
        <v>355281</v>
      </c>
    </row>
    <row r="3721" spans="1:4" x14ac:dyDescent="0.35">
      <c r="A3721" s="1">
        <v>1992</v>
      </c>
      <c r="B3721" t="s">
        <v>30</v>
      </c>
      <c r="C3721" t="s">
        <v>31</v>
      </c>
      <c r="D3721">
        <v>586783</v>
      </c>
    </row>
    <row r="3722" spans="1:4" x14ac:dyDescent="0.35">
      <c r="A3722" s="1">
        <v>1992</v>
      </c>
      <c r="B3722" t="s">
        <v>114</v>
      </c>
      <c r="C3722" t="s">
        <v>115</v>
      </c>
      <c r="D3722">
        <v>2139928</v>
      </c>
    </row>
    <row r="3723" spans="1:4" x14ac:dyDescent="0.35">
      <c r="A3723" s="1">
        <v>1992</v>
      </c>
      <c r="B3723" t="s">
        <v>138</v>
      </c>
      <c r="C3723" t="s">
        <v>139</v>
      </c>
      <c r="D3723">
        <v>1230968</v>
      </c>
    </row>
    <row r="3724" spans="1:4" x14ac:dyDescent="0.35">
      <c r="A3724" s="1">
        <v>1992</v>
      </c>
      <c r="B3724" t="s">
        <v>116</v>
      </c>
      <c r="C3724" t="s">
        <v>117</v>
      </c>
      <c r="D3724">
        <v>1115222</v>
      </c>
    </row>
    <row r="3725" spans="1:4" x14ac:dyDescent="0.35">
      <c r="A3725" s="1">
        <v>1992</v>
      </c>
      <c r="B3725" t="s">
        <v>118</v>
      </c>
      <c r="C3725" t="s">
        <v>119</v>
      </c>
      <c r="D3725">
        <v>1326185</v>
      </c>
    </row>
    <row r="3726" spans="1:4" x14ac:dyDescent="0.35">
      <c r="A3726" s="1">
        <v>1992</v>
      </c>
      <c r="B3726" t="s">
        <v>158</v>
      </c>
      <c r="C3726" t="s">
        <v>159</v>
      </c>
      <c r="D3726">
        <v>345831</v>
      </c>
    </row>
    <row r="3727" spans="1:4" x14ac:dyDescent="0.35">
      <c r="A3727" s="1">
        <v>1992</v>
      </c>
      <c r="B3727" t="s">
        <v>112</v>
      </c>
      <c r="C3727" t="s">
        <v>113</v>
      </c>
      <c r="D3727">
        <v>548885</v>
      </c>
    </row>
    <row r="3728" spans="1:4" x14ac:dyDescent="0.35">
      <c r="A3728" s="1">
        <v>1992</v>
      </c>
      <c r="B3728" t="s">
        <v>186</v>
      </c>
      <c r="C3728" t="s">
        <v>187</v>
      </c>
      <c r="D3728">
        <v>342264</v>
      </c>
    </row>
    <row r="3729" spans="1:4" x14ac:dyDescent="0.35">
      <c r="A3729" s="1">
        <v>1992</v>
      </c>
      <c r="B3729" t="s">
        <v>188</v>
      </c>
      <c r="C3729" t="s">
        <v>189</v>
      </c>
      <c r="D3729">
        <v>202930</v>
      </c>
    </row>
    <row r="3730" spans="1:4" x14ac:dyDescent="0.35">
      <c r="A3730" s="1">
        <v>1992</v>
      </c>
      <c r="B3730" t="s">
        <v>208</v>
      </c>
      <c r="C3730" t="s">
        <v>209</v>
      </c>
      <c r="D3730">
        <v>837166</v>
      </c>
    </row>
    <row r="3731" spans="1:4" x14ac:dyDescent="0.35">
      <c r="A3731" s="1">
        <v>1992</v>
      </c>
      <c r="B3731" t="s">
        <v>210</v>
      </c>
      <c r="C3731" t="s">
        <v>211</v>
      </c>
      <c r="D3731">
        <v>475239</v>
      </c>
    </row>
    <row r="3732" spans="1:4" x14ac:dyDescent="0.35">
      <c r="A3732" s="1">
        <v>1992</v>
      </c>
      <c r="B3732" t="s">
        <v>198</v>
      </c>
      <c r="C3732" t="s">
        <v>199</v>
      </c>
      <c r="D3732">
        <v>515620</v>
      </c>
    </row>
    <row r="3733" spans="1:4" x14ac:dyDescent="0.35">
      <c r="A3733" s="1">
        <v>1992</v>
      </c>
      <c r="B3733" t="s">
        <v>160</v>
      </c>
      <c r="C3733" t="s">
        <v>161</v>
      </c>
      <c r="D3733">
        <v>384083</v>
      </c>
    </row>
    <row r="3734" spans="1:4" x14ac:dyDescent="0.35">
      <c r="A3734" s="1">
        <v>1992</v>
      </c>
      <c r="B3734" t="s">
        <v>162</v>
      </c>
      <c r="C3734" t="s">
        <v>163</v>
      </c>
      <c r="D3734">
        <v>354331</v>
      </c>
    </row>
    <row r="3735" spans="1:4" x14ac:dyDescent="0.35">
      <c r="A3735" s="1">
        <v>1992</v>
      </c>
      <c r="B3735" t="s">
        <v>102</v>
      </c>
      <c r="C3735" t="s">
        <v>103</v>
      </c>
      <c r="D3735">
        <v>384768</v>
      </c>
    </row>
    <row r="3736" spans="1:4" x14ac:dyDescent="0.35">
      <c r="A3736" s="1">
        <v>1992</v>
      </c>
      <c r="B3736" t="s">
        <v>44</v>
      </c>
      <c r="C3736" t="s">
        <v>45</v>
      </c>
      <c r="D3736">
        <v>326242</v>
      </c>
    </row>
    <row r="3737" spans="1:4" x14ac:dyDescent="0.35">
      <c r="A3737" s="1">
        <v>1992</v>
      </c>
      <c r="B3737" t="s">
        <v>46</v>
      </c>
      <c r="C3737" t="s">
        <v>221</v>
      </c>
      <c r="D3737">
        <v>134892</v>
      </c>
    </row>
    <row r="3738" spans="1:4" x14ac:dyDescent="0.35">
      <c r="A3738" s="1">
        <v>1992</v>
      </c>
      <c r="B3738" t="s">
        <v>120</v>
      </c>
      <c r="C3738" t="s">
        <v>121</v>
      </c>
      <c r="D3738">
        <v>1105974</v>
      </c>
    </row>
    <row r="3739" spans="1:4" x14ac:dyDescent="0.35">
      <c r="A3739" s="1">
        <v>1992</v>
      </c>
      <c r="B3739" t="s">
        <v>122</v>
      </c>
      <c r="C3739" t="s">
        <v>222</v>
      </c>
      <c r="D3739">
        <v>1394910</v>
      </c>
    </row>
    <row r="3740" spans="1:4" x14ac:dyDescent="0.35">
      <c r="A3740" s="1">
        <v>1992</v>
      </c>
      <c r="B3740" t="s">
        <v>124</v>
      </c>
      <c r="C3740" t="s">
        <v>125</v>
      </c>
      <c r="D3740">
        <v>1384908</v>
      </c>
    </row>
    <row r="3741" spans="1:4" x14ac:dyDescent="0.35">
      <c r="A3741" s="1">
        <v>1992</v>
      </c>
      <c r="B3741" t="s">
        <v>126</v>
      </c>
      <c r="C3741" t="s">
        <v>127</v>
      </c>
      <c r="D3741">
        <v>1218450</v>
      </c>
    </row>
    <row r="3742" spans="1:4" x14ac:dyDescent="0.35">
      <c r="A3742" s="1">
        <v>1992</v>
      </c>
      <c r="B3742" t="s">
        <v>128</v>
      </c>
      <c r="C3742" t="s">
        <v>129</v>
      </c>
      <c r="D3742">
        <v>1067699</v>
      </c>
    </row>
    <row r="3743" spans="1:4" x14ac:dyDescent="0.35">
      <c r="A3743" s="1">
        <v>1992</v>
      </c>
      <c r="B3743" t="s">
        <v>257</v>
      </c>
      <c r="D3743">
        <v>57110533</v>
      </c>
    </row>
    <row r="3744" spans="1:4" x14ac:dyDescent="0.35">
      <c r="A3744" s="1">
        <v>1992</v>
      </c>
      <c r="B3744">
        <v>971</v>
      </c>
      <c r="C3744" t="s">
        <v>73</v>
      </c>
      <c r="D3744">
        <v>357482</v>
      </c>
    </row>
    <row r="3745" spans="1:4" x14ac:dyDescent="0.35">
      <c r="A3745" s="1">
        <v>1992</v>
      </c>
      <c r="B3745">
        <v>972</v>
      </c>
      <c r="C3745" t="s">
        <v>75</v>
      </c>
      <c r="D3745">
        <v>361420</v>
      </c>
    </row>
    <row r="3746" spans="1:4" x14ac:dyDescent="0.35">
      <c r="A3746" s="1">
        <v>1992</v>
      </c>
      <c r="B3746">
        <v>973</v>
      </c>
      <c r="C3746" t="s">
        <v>77</v>
      </c>
      <c r="D3746">
        <v>121469</v>
      </c>
    </row>
    <row r="3747" spans="1:4" x14ac:dyDescent="0.35">
      <c r="A3747" s="1">
        <v>1992</v>
      </c>
      <c r="B3747">
        <v>974</v>
      </c>
      <c r="C3747" t="s">
        <v>79</v>
      </c>
      <c r="D3747">
        <v>620333</v>
      </c>
    </row>
    <row r="3748" spans="1:4" x14ac:dyDescent="0.35">
      <c r="A3748" s="1">
        <v>1992</v>
      </c>
      <c r="B3748" t="s">
        <v>226</v>
      </c>
      <c r="D3748">
        <v>1460704</v>
      </c>
    </row>
    <row r="3749" spans="1:4" x14ac:dyDescent="0.35">
      <c r="A3749" s="1">
        <v>1992</v>
      </c>
      <c r="B3749" t="s">
        <v>227</v>
      </c>
      <c r="D3749">
        <v>58571237</v>
      </c>
    </row>
    <row r="3750" spans="1:4" x14ac:dyDescent="0.35">
      <c r="A3750" s="1">
        <v>1992</v>
      </c>
    </row>
    <row r="3751" spans="1:4" x14ac:dyDescent="0.35">
      <c r="A3751" s="1">
        <v>1992</v>
      </c>
      <c r="B3751" t="s">
        <v>240</v>
      </c>
    </row>
    <row r="3752" spans="1:4" x14ac:dyDescent="0.35">
      <c r="A3752" s="1">
        <v>1991</v>
      </c>
      <c r="B3752" t="s">
        <v>251</v>
      </c>
    </row>
    <row r="3753" spans="1:4" x14ac:dyDescent="0.35">
      <c r="A3753" s="1">
        <v>1991</v>
      </c>
      <c r="B3753" t="s">
        <v>273</v>
      </c>
    </row>
    <row r="3754" spans="1:4" x14ac:dyDescent="0.35">
      <c r="A3754" s="1">
        <v>1991</v>
      </c>
    </row>
    <row r="3755" spans="1:4" x14ac:dyDescent="0.35">
      <c r="A3755" s="1">
        <v>1991</v>
      </c>
      <c r="B3755" t="s">
        <v>231</v>
      </c>
    </row>
    <row r="3756" spans="1:4" x14ac:dyDescent="0.35">
      <c r="A3756" s="1">
        <v>1991</v>
      </c>
      <c r="D3756" t="s">
        <v>232</v>
      </c>
    </row>
    <row r="3757" spans="1:4" x14ac:dyDescent="0.35">
      <c r="A3757" s="1">
        <v>1991</v>
      </c>
      <c r="B3757" t="s">
        <v>5</v>
      </c>
      <c r="C3757" t="s">
        <v>6</v>
      </c>
      <c r="D3757">
        <v>476982</v>
      </c>
    </row>
    <row r="3758" spans="1:4" x14ac:dyDescent="0.35">
      <c r="A3758" s="1">
        <v>1991</v>
      </c>
      <c r="B3758" t="s">
        <v>104</v>
      </c>
      <c r="C3758" t="s">
        <v>105</v>
      </c>
      <c r="D3758">
        <v>537263</v>
      </c>
    </row>
    <row r="3759" spans="1:4" x14ac:dyDescent="0.35">
      <c r="A3759" s="1">
        <v>1991</v>
      </c>
      <c r="B3759" t="s">
        <v>10</v>
      </c>
      <c r="C3759" t="s">
        <v>11</v>
      </c>
      <c r="D3759">
        <v>356432</v>
      </c>
    </row>
    <row r="3760" spans="1:4" x14ac:dyDescent="0.35">
      <c r="A3760" s="1">
        <v>1991</v>
      </c>
      <c r="B3760" t="s">
        <v>200</v>
      </c>
      <c r="C3760" t="s">
        <v>201</v>
      </c>
      <c r="D3760">
        <v>131857</v>
      </c>
    </row>
    <row r="3761" spans="1:4" x14ac:dyDescent="0.35">
      <c r="A3761" s="1">
        <v>1991</v>
      </c>
      <c r="B3761" t="s">
        <v>202</v>
      </c>
      <c r="C3761" t="s">
        <v>203</v>
      </c>
      <c r="D3761">
        <v>114193</v>
      </c>
    </row>
    <row r="3762" spans="1:4" x14ac:dyDescent="0.35">
      <c r="A3762" s="1">
        <v>1991</v>
      </c>
      <c r="B3762" t="s">
        <v>204</v>
      </c>
      <c r="C3762" t="s">
        <v>205</v>
      </c>
      <c r="D3762">
        <v>981331</v>
      </c>
    </row>
    <row r="3763" spans="1:4" x14ac:dyDescent="0.35">
      <c r="A3763" s="1">
        <v>1991</v>
      </c>
      <c r="B3763" t="s">
        <v>12</v>
      </c>
      <c r="C3763" t="s">
        <v>13</v>
      </c>
      <c r="D3763">
        <v>278688</v>
      </c>
    </row>
    <row r="3764" spans="1:4" x14ac:dyDescent="0.35">
      <c r="A3764" s="1">
        <v>1991</v>
      </c>
      <c r="B3764" t="s">
        <v>84</v>
      </c>
      <c r="C3764" t="s">
        <v>85</v>
      </c>
      <c r="D3764">
        <v>295676</v>
      </c>
    </row>
    <row r="3765" spans="1:4" x14ac:dyDescent="0.35">
      <c r="A3765" s="1">
        <v>1991</v>
      </c>
      <c r="B3765" t="s">
        <v>164</v>
      </c>
      <c r="C3765" t="s">
        <v>165</v>
      </c>
      <c r="D3765">
        <v>136772</v>
      </c>
    </row>
    <row r="3766" spans="1:4" x14ac:dyDescent="0.35">
      <c r="A3766" s="1">
        <v>1991</v>
      </c>
      <c r="B3766" t="s">
        <v>86</v>
      </c>
      <c r="C3766" t="s">
        <v>87</v>
      </c>
      <c r="D3766">
        <v>290118</v>
      </c>
    </row>
    <row r="3767" spans="1:4" x14ac:dyDescent="0.35">
      <c r="A3767" s="1">
        <v>1991</v>
      </c>
      <c r="B3767" t="s">
        <v>166</v>
      </c>
      <c r="C3767" t="s">
        <v>167</v>
      </c>
      <c r="D3767">
        <v>300615</v>
      </c>
    </row>
    <row r="3768" spans="1:4" x14ac:dyDescent="0.35">
      <c r="A3768" s="1">
        <v>1991</v>
      </c>
      <c r="B3768" t="s">
        <v>168</v>
      </c>
      <c r="C3768" t="s">
        <v>169</v>
      </c>
      <c r="D3768">
        <v>269114</v>
      </c>
    </row>
    <row r="3769" spans="1:4" x14ac:dyDescent="0.35">
      <c r="A3769" s="1">
        <v>1991</v>
      </c>
      <c r="B3769" t="s">
        <v>206</v>
      </c>
      <c r="C3769" t="s">
        <v>207</v>
      </c>
      <c r="D3769">
        <v>1768054</v>
      </c>
    </row>
    <row r="3770" spans="1:4" x14ac:dyDescent="0.35">
      <c r="A3770" s="1">
        <v>1991</v>
      </c>
      <c r="B3770" t="s">
        <v>130</v>
      </c>
      <c r="C3770" t="s">
        <v>131</v>
      </c>
      <c r="D3770">
        <v>621780</v>
      </c>
    </row>
    <row r="3771" spans="1:4" x14ac:dyDescent="0.35">
      <c r="A3771" s="1">
        <v>1991</v>
      </c>
      <c r="B3771" t="s">
        <v>14</v>
      </c>
      <c r="C3771" t="s">
        <v>15</v>
      </c>
      <c r="D3771">
        <v>158305</v>
      </c>
    </row>
    <row r="3772" spans="1:4" x14ac:dyDescent="0.35">
      <c r="A3772" s="1">
        <v>1991</v>
      </c>
      <c r="B3772" t="s">
        <v>140</v>
      </c>
      <c r="C3772" t="s">
        <v>141</v>
      </c>
      <c r="D3772">
        <v>342244</v>
      </c>
    </row>
    <row r="3773" spans="1:4" x14ac:dyDescent="0.35">
      <c r="A3773" s="1">
        <v>1991</v>
      </c>
      <c r="B3773" t="s">
        <v>142</v>
      </c>
      <c r="C3773" t="s">
        <v>143</v>
      </c>
      <c r="D3773">
        <v>530632</v>
      </c>
    </row>
    <row r="3774" spans="1:4" x14ac:dyDescent="0.35">
      <c r="A3774" s="1">
        <v>1991</v>
      </c>
      <c r="B3774" t="s">
        <v>56</v>
      </c>
      <c r="C3774" t="s">
        <v>57</v>
      </c>
      <c r="D3774">
        <v>321274</v>
      </c>
    </row>
    <row r="3775" spans="1:4" x14ac:dyDescent="0.35">
      <c r="A3775" s="1">
        <v>1991</v>
      </c>
      <c r="B3775" t="s">
        <v>144</v>
      </c>
      <c r="C3775" t="s">
        <v>145</v>
      </c>
      <c r="D3775">
        <v>237510</v>
      </c>
    </row>
    <row r="3776" spans="1:4" x14ac:dyDescent="0.35">
      <c r="A3776" s="1">
        <v>1991</v>
      </c>
      <c r="B3776" t="s">
        <v>68</v>
      </c>
      <c r="C3776" t="s">
        <v>69</v>
      </c>
      <c r="D3776">
        <v>118863</v>
      </c>
    </row>
    <row r="3777" spans="1:4" x14ac:dyDescent="0.35">
      <c r="A3777" s="1">
        <v>1991</v>
      </c>
      <c r="B3777" t="s">
        <v>70</v>
      </c>
      <c r="C3777" t="s">
        <v>71</v>
      </c>
      <c r="D3777">
        <v>132796</v>
      </c>
    </row>
    <row r="3778" spans="1:4" x14ac:dyDescent="0.35">
      <c r="A3778" s="1">
        <v>1991</v>
      </c>
      <c r="B3778" t="s">
        <v>32</v>
      </c>
      <c r="C3778" t="s">
        <v>219</v>
      </c>
      <c r="D3778">
        <v>495531</v>
      </c>
    </row>
    <row r="3779" spans="1:4" x14ac:dyDescent="0.35">
      <c r="A3779" s="1">
        <v>1991</v>
      </c>
      <c r="B3779" t="s">
        <v>48</v>
      </c>
      <c r="C3779" t="s">
        <v>220</v>
      </c>
      <c r="D3779">
        <v>538213</v>
      </c>
    </row>
    <row r="3780" spans="1:4" x14ac:dyDescent="0.35">
      <c r="A3780" s="1">
        <v>1991</v>
      </c>
      <c r="B3780" t="s">
        <v>146</v>
      </c>
      <c r="C3780" t="s">
        <v>147</v>
      </c>
      <c r="D3780">
        <v>130554</v>
      </c>
    </row>
    <row r="3781" spans="1:4" x14ac:dyDescent="0.35">
      <c r="A3781" s="1">
        <v>1991</v>
      </c>
      <c r="B3781" t="s">
        <v>148</v>
      </c>
      <c r="C3781" t="s">
        <v>149</v>
      </c>
      <c r="D3781">
        <v>387139</v>
      </c>
    </row>
    <row r="3782" spans="1:4" x14ac:dyDescent="0.35">
      <c r="A3782" s="1">
        <v>1991</v>
      </c>
      <c r="B3782" t="s">
        <v>34</v>
      </c>
      <c r="C3782" t="s">
        <v>35</v>
      </c>
      <c r="D3782">
        <v>486507</v>
      </c>
    </row>
    <row r="3783" spans="1:4" x14ac:dyDescent="0.35">
      <c r="A3783" s="1">
        <v>1991</v>
      </c>
      <c r="B3783" t="s">
        <v>16</v>
      </c>
      <c r="C3783" t="s">
        <v>17</v>
      </c>
      <c r="D3783">
        <v>417019</v>
      </c>
    </row>
    <row r="3784" spans="1:4" x14ac:dyDescent="0.35">
      <c r="A3784" s="1">
        <v>1991</v>
      </c>
      <c r="B3784" t="s">
        <v>132</v>
      </c>
      <c r="C3784" t="s">
        <v>133</v>
      </c>
      <c r="D3784">
        <v>517478</v>
      </c>
    </row>
    <row r="3785" spans="1:4" x14ac:dyDescent="0.35">
      <c r="A3785" s="1">
        <v>1991</v>
      </c>
      <c r="B3785" t="s">
        <v>58</v>
      </c>
      <c r="C3785" t="s">
        <v>59</v>
      </c>
      <c r="D3785">
        <v>398575</v>
      </c>
    </row>
    <row r="3786" spans="1:4" x14ac:dyDescent="0.35">
      <c r="A3786" s="1">
        <v>1991</v>
      </c>
      <c r="B3786" t="s">
        <v>50</v>
      </c>
      <c r="C3786" t="s">
        <v>51</v>
      </c>
      <c r="D3786">
        <v>838401</v>
      </c>
    </row>
    <row r="3787" spans="1:4" x14ac:dyDescent="0.35">
      <c r="A3787" s="1">
        <v>1991</v>
      </c>
      <c r="B3787" t="s">
        <v>170</v>
      </c>
      <c r="C3787" t="s">
        <v>171</v>
      </c>
      <c r="D3787">
        <v>588745</v>
      </c>
    </row>
    <row r="3788" spans="1:4" x14ac:dyDescent="0.35">
      <c r="A3788" s="1">
        <v>1991</v>
      </c>
      <c r="B3788" t="s">
        <v>172</v>
      </c>
      <c r="C3788" t="s">
        <v>173</v>
      </c>
      <c r="D3788">
        <v>938877</v>
      </c>
    </row>
    <row r="3789" spans="1:4" x14ac:dyDescent="0.35">
      <c r="A3789" s="1">
        <v>1991</v>
      </c>
      <c r="B3789" t="s">
        <v>174</v>
      </c>
      <c r="C3789" t="s">
        <v>175</v>
      </c>
      <c r="D3789">
        <v>174899</v>
      </c>
    </row>
    <row r="3790" spans="1:4" x14ac:dyDescent="0.35">
      <c r="A3790" s="1">
        <v>1991</v>
      </c>
      <c r="B3790" t="s">
        <v>150</v>
      </c>
      <c r="C3790" t="s">
        <v>151</v>
      </c>
      <c r="D3790">
        <v>1223957</v>
      </c>
    </row>
    <row r="3791" spans="1:4" x14ac:dyDescent="0.35">
      <c r="A3791" s="1">
        <v>1991</v>
      </c>
      <c r="B3791" t="s">
        <v>176</v>
      </c>
      <c r="C3791" t="s">
        <v>177</v>
      </c>
      <c r="D3791">
        <v>805887</v>
      </c>
    </row>
    <row r="3792" spans="1:4" x14ac:dyDescent="0.35">
      <c r="A3792" s="1">
        <v>1991</v>
      </c>
      <c r="B3792" t="s">
        <v>52</v>
      </c>
      <c r="C3792" t="s">
        <v>53</v>
      </c>
      <c r="D3792">
        <v>805129</v>
      </c>
    </row>
    <row r="3793" spans="1:4" x14ac:dyDescent="0.35">
      <c r="A3793" s="1">
        <v>1991</v>
      </c>
      <c r="B3793" t="s">
        <v>60</v>
      </c>
      <c r="C3793" t="s">
        <v>61</v>
      </c>
      <c r="D3793">
        <v>237109</v>
      </c>
    </row>
    <row r="3794" spans="1:4" x14ac:dyDescent="0.35">
      <c r="A3794" s="1">
        <v>1991</v>
      </c>
      <c r="B3794" t="s">
        <v>62</v>
      </c>
      <c r="C3794" t="s">
        <v>63</v>
      </c>
      <c r="D3794">
        <v>531644</v>
      </c>
    </row>
    <row r="3795" spans="1:4" x14ac:dyDescent="0.35">
      <c r="A3795" s="1">
        <v>1991</v>
      </c>
      <c r="B3795" t="s">
        <v>18</v>
      </c>
      <c r="C3795" t="s">
        <v>19</v>
      </c>
      <c r="D3795">
        <v>1024568</v>
      </c>
    </row>
    <row r="3796" spans="1:4" x14ac:dyDescent="0.35">
      <c r="A3796" s="1">
        <v>1991</v>
      </c>
      <c r="B3796" t="s">
        <v>36</v>
      </c>
      <c r="C3796" t="s">
        <v>37</v>
      </c>
      <c r="D3796">
        <v>249430</v>
      </c>
    </row>
    <row r="3797" spans="1:4" x14ac:dyDescent="0.35">
      <c r="A3797" s="1">
        <v>1991</v>
      </c>
      <c r="B3797" t="s">
        <v>152</v>
      </c>
      <c r="C3797" t="s">
        <v>153</v>
      </c>
      <c r="D3797">
        <v>313287</v>
      </c>
    </row>
    <row r="3798" spans="1:4" x14ac:dyDescent="0.35">
      <c r="A3798" s="1">
        <v>1991</v>
      </c>
      <c r="B3798" t="s">
        <v>64</v>
      </c>
      <c r="C3798" t="s">
        <v>65</v>
      </c>
      <c r="D3798">
        <v>307217</v>
      </c>
    </row>
    <row r="3799" spans="1:4" x14ac:dyDescent="0.35">
      <c r="A3799" s="1">
        <v>1991</v>
      </c>
      <c r="B3799" t="s">
        <v>20</v>
      </c>
      <c r="C3799" t="s">
        <v>21</v>
      </c>
      <c r="D3799">
        <v>744872</v>
      </c>
    </row>
    <row r="3800" spans="1:4" x14ac:dyDescent="0.35">
      <c r="A3800" s="1">
        <v>1991</v>
      </c>
      <c r="B3800" t="s">
        <v>22</v>
      </c>
      <c r="C3800" t="s">
        <v>23</v>
      </c>
      <c r="D3800">
        <v>206612</v>
      </c>
    </row>
    <row r="3801" spans="1:4" x14ac:dyDescent="0.35">
      <c r="A3801" s="1">
        <v>1991</v>
      </c>
      <c r="B3801" t="s">
        <v>190</v>
      </c>
      <c r="C3801" t="s">
        <v>191</v>
      </c>
      <c r="D3801">
        <v>1058966</v>
      </c>
    </row>
    <row r="3802" spans="1:4" x14ac:dyDescent="0.35">
      <c r="A3802" s="1">
        <v>1991</v>
      </c>
      <c r="B3802" t="s">
        <v>66</v>
      </c>
      <c r="C3802" t="s">
        <v>67</v>
      </c>
      <c r="D3802">
        <v>585588</v>
      </c>
    </row>
    <row r="3803" spans="1:4" x14ac:dyDescent="0.35">
      <c r="A3803" s="1">
        <v>1991</v>
      </c>
      <c r="B3803" t="s">
        <v>178</v>
      </c>
      <c r="C3803" t="s">
        <v>179</v>
      </c>
      <c r="D3803">
        <v>156262</v>
      </c>
    </row>
    <row r="3804" spans="1:4" x14ac:dyDescent="0.35">
      <c r="A3804" s="1">
        <v>1991</v>
      </c>
      <c r="B3804" t="s">
        <v>154</v>
      </c>
      <c r="C3804" t="s">
        <v>155</v>
      </c>
      <c r="D3804">
        <v>305470</v>
      </c>
    </row>
    <row r="3805" spans="1:4" x14ac:dyDescent="0.35">
      <c r="A3805" s="1">
        <v>1991</v>
      </c>
      <c r="B3805" t="s">
        <v>180</v>
      </c>
      <c r="C3805" t="s">
        <v>181</v>
      </c>
      <c r="D3805">
        <v>72650</v>
      </c>
    </row>
    <row r="3806" spans="1:4" x14ac:dyDescent="0.35">
      <c r="A3806" s="1">
        <v>1991</v>
      </c>
      <c r="B3806" t="s">
        <v>192</v>
      </c>
      <c r="C3806" t="s">
        <v>193</v>
      </c>
      <c r="D3806">
        <v>707020</v>
      </c>
    </row>
    <row r="3807" spans="1:4" x14ac:dyDescent="0.35">
      <c r="A3807" s="1">
        <v>1991</v>
      </c>
      <c r="B3807" t="s">
        <v>134</v>
      </c>
      <c r="C3807" t="s">
        <v>135</v>
      </c>
      <c r="D3807">
        <v>479820</v>
      </c>
    </row>
    <row r="3808" spans="1:4" x14ac:dyDescent="0.35">
      <c r="A3808" s="1">
        <v>1991</v>
      </c>
      <c r="B3808" t="s">
        <v>88</v>
      </c>
      <c r="C3808" t="s">
        <v>89</v>
      </c>
      <c r="D3808">
        <v>559006</v>
      </c>
    </row>
    <row r="3809" spans="1:4" x14ac:dyDescent="0.35">
      <c r="A3809" s="1">
        <v>1991</v>
      </c>
      <c r="B3809" t="s">
        <v>90</v>
      </c>
      <c r="C3809" t="s">
        <v>91</v>
      </c>
      <c r="D3809">
        <v>203333</v>
      </c>
    </row>
    <row r="3810" spans="1:4" x14ac:dyDescent="0.35">
      <c r="A3810" s="1">
        <v>1991</v>
      </c>
      <c r="B3810" t="s">
        <v>194</v>
      </c>
      <c r="C3810" t="s">
        <v>195</v>
      </c>
      <c r="D3810">
        <v>278255</v>
      </c>
    </row>
    <row r="3811" spans="1:4" x14ac:dyDescent="0.35">
      <c r="A3811" s="1">
        <v>1991</v>
      </c>
      <c r="B3811" t="s">
        <v>92</v>
      </c>
      <c r="C3811" t="s">
        <v>93</v>
      </c>
      <c r="D3811">
        <v>711758</v>
      </c>
    </row>
    <row r="3812" spans="1:4" x14ac:dyDescent="0.35">
      <c r="A3812" s="1">
        <v>1991</v>
      </c>
      <c r="B3812" t="s">
        <v>94</v>
      </c>
      <c r="C3812" t="s">
        <v>95</v>
      </c>
      <c r="D3812">
        <v>196043</v>
      </c>
    </row>
    <row r="3813" spans="1:4" x14ac:dyDescent="0.35">
      <c r="A3813" s="1">
        <v>1991</v>
      </c>
      <c r="B3813" t="s">
        <v>54</v>
      </c>
      <c r="C3813" t="s">
        <v>55</v>
      </c>
      <c r="D3813">
        <v>621740</v>
      </c>
    </row>
    <row r="3814" spans="1:4" x14ac:dyDescent="0.35">
      <c r="A3814" s="1">
        <v>1991</v>
      </c>
      <c r="B3814" t="s">
        <v>96</v>
      </c>
      <c r="C3814" t="s">
        <v>97</v>
      </c>
      <c r="D3814">
        <v>1011848</v>
      </c>
    </row>
    <row r="3815" spans="1:4" x14ac:dyDescent="0.35">
      <c r="A3815" s="1">
        <v>1991</v>
      </c>
      <c r="B3815" t="s">
        <v>38</v>
      </c>
      <c r="C3815" t="s">
        <v>39</v>
      </c>
      <c r="D3815">
        <v>232671</v>
      </c>
    </row>
    <row r="3816" spans="1:4" x14ac:dyDescent="0.35">
      <c r="A3816" s="1">
        <v>1991</v>
      </c>
      <c r="B3816" t="s">
        <v>106</v>
      </c>
      <c r="C3816" t="s">
        <v>107</v>
      </c>
      <c r="D3816">
        <v>2531624</v>
      </c>
    </row>
    <row r="3817" spans="1:4" x14ac:dyDescent="0.35">
      <c r="A3817" s="1">
        <v>1991</v>
      </c>
      <c r="B3817" t="s">
        <v>108</v>
      </c>
      <c r="C3817" t="s">
        <v>109</v>
      </c>
      <c r="D3817">
        <v>732276</v>
      </c>
    </row>
    <row r="3818" spans="1:4" x14ac:dyDescent="0.35">
      <c r="A3818" s="1">
        <v>1991</v>
      </c>
      <c r="B3818" t="s">
        <v>136</v>
      </c>
      <c r="C3818" t="s">
        <v>137</v>
      </c>
      <c r="D3818">
        <v>293161</v>
      </c>
    </row>
    <row r="3819" spans="1:4" x14ac:dyDescent="0.35">
      <c r="A3819" s="1">
        <v>1991</v>
      </c>
      <c r="B3819" t="s">
        <v>110</v>
      </c>
      <c r="C3819" t="s">
        <v>111</v>
      </c>
      <c r="D3819">
        <v>1433769</v>
      </c>
    </row>
    <row r="3820" spans="1:4" x14ac:dyDescent="0.35">
      <c r="A3820" s="1">
        <v>1991</v>
      </c>
      <c r="B3820" t="s">
        <v>24</v>
      </c>
      <c r="C3820" t="s">
        <v>25</v>
      </c>
      <c r="D3820">
        <v>598368</v>
      </c>
    </row>
    <row r="3821" spans="1:4" x14ac:dyDescent="0.35">
      <c r="A3821" s="1">
        <v>1991</v>
      </c>
      <c r="B3821" t="s">
        <v>156</v>
      </c>
      <c r="C3821" t="s">
        <v>157</v>
      </c>
      <c r="D3821">
        <v>580655</v>
      </c>
    </row>
    <row r="3822" spans="1:4" x14ac:dyDescent="0.35">
      <c r="A3822" s="1">
        <v>1991</v>
      </c>
      <c r="B3822" t="s">
        <v>182</v>
      </c>
      <c r="C3822" t="s">
        <v>183</v>
      </c>
      <c r="D3822">
        <v>225026</v>
      </c>
    </row>
    <row r="3823" spans="1:4" x14ac:dyDescent="0.35">
      <c r="A3823" s="1">
        <v>1991</v>
      </c>
      <c r="B3823" t="s">
        <v>184</v>
      </c>
      <c r="C3823" t="s">
        <v>185</v>
      </c>
      <c r="D3823">
        <v>367625</v>
      </c>
    </row>
    <row r="3824" spans="1:4" x14ac:dyDescent="0.35">
      <c r="A3824" s="1">
        <v>1991</v>
      </c>
      <c r="B3824" t="s">
        <v>98</v>
      </c>
      <c r="C3824" t="s">
        <v>99</v>
      </c>
      <c r="D3824">
        <v>960320</v>
      </c>
    </row>
    <row r="3825" spans="1:4" x14ac:dyDescent="0.35">
      <c r="A3825" s="1">
        <v>1991</v>
      </c>
      <c r="B3825" t="s">
        <v>100</v>
      </c>
      <c r="C3825" t="s">
        <v>101</v>
      </c>
      <c r="D3825">
        <v>675110</v>
      </c>
    </row>
    <row r="3826" spans="1:4" x14ac:dyDescent="0.35">
      <c r="A3826" s="1">
        <v>1991</v>
      </c>
      <c r="B3826" t="s">
        <v>26</v>
      </c>
      <c r="C3826" t="s">
        <v>27</v>
      </c>
      <c r="D3826">
        <v>1517429</v>
      </c>
    </row>
    <row r="3827" spans="1:4" x14ac:dyDescent="0.35">
      <c r="A3827" s="1">
        <v>1991</v>
      </c>
      <c r="B3827" t="s">
        <v>40</v>
      </c>
      <c r="C3827" t="s">
        <v>41</v>
      </c>
      <c r="D3827">
        <v>228928</v>
      </c>
    </row>
    <row r="3828" spans="1:4" x14ac:dyDescent="0.35">
      <c r="A3828" s="1">
        <v>1991</v>
      </c>
      <c r="B3828" t="s">
        <v>42</v>
      </c>
      <c r="C3828" t="s">
        <v>43</v>
      </c>
      <c r="D3828">
        <v>558411</v>
      </c>
    </row>
    <row r="3829" spans="1:4" x14ac:dyDescent="0.35">
      <c r="A3829" s="1">
        <v>1991</v>
      </c>
      <c r="B3829" t="s">
        <v>196</v>
      </c>
      <c r="C3829" t="s">
        <v>197</v>
      </c>
      <c r="D3829">
        <v>514610</v>
      </c>
    </row>
    <row r="3830" spans="1:4" x14ac:dyDescent="0.35">
      <c r="A3830" s="1">
        <v>1991</v>
      </c>
      <c r="B3830" t="s">
        <v>28</v>
      </c>
      <c r="C3830" t="s">
        <v>29</v>
      </c>
      <c r="D3830">
        <v>351656</v>
      </c>
    </row>
    <row r="3831" spans="1:4" x14ac:dyDescent="0.35">
      <c r="A3831" s="1">
        <v>1991</v>
      </c>
      <c r="B3831" t="s">
        <v>30</v>
      </c>
      <c r="C3831" t="s">
        <v>31</v>
      </c>
      <c r="D3831">
        <v>577834</v>
      </c>
    </row>
    <row r="3832" spans="1:4" x14ac:dyDescent="0.35">
      <c r="A3832" s="1">
        <v>1991</v>
      </c>
      <c r="B3832" t="s">
        <v>114</v>
      </c>
      <c r="C3832" t="s">
        <v>115</v>
      </c>
      <c r="D3832">
        <v>2145912</v>
      </c>
    </row>
    <row r="3833" spans="1:4" x14ac:dyDescent="0.35">
      <c r="A3833" s="1">
        <v>1991</v>
      </c>
      <c r="B3833" t="s">
        <v>138</v>
      </c>
      <c r="C3833" t="s">
        <v>139</v>
      </c>
      <c r="D3833">
        <v>1227019</v>
      </c>
    </row>
    <row r="3834" spans="1:4" x14ac:dyDescent="0.35">
      <c r="A3834" s="1">
        <v>1991</v>
      </c>
      <c r="B3834" t="s">
        <v>116</v>
      </c>
      <c r="C3834" t="s">
        <v>117</v>
      </c>
      <c r="D3834">
        <v>1095235</v>
      </c>
    </row>
    <row r="3835" spans="1:4" x14ac:dyDescent="0.35">
      <c r="A3835" s="1">
        <v>1991</v>
      </c>
      <c r="B3835" t="s">
        <v>118</v>
      </c>
      <c r="C3835" t="s">
        <v>119</v>
      </c>
      <c r="D3835">
        <v>1314925</v>
      </c>
    </row>
    <row r="3836" spans="1:4" x14ac:dyDescent="0.35">
      <c r="A3836" s="1">
        <v>1991</v>
      </c>
      <c r="B3836" t="s">
        <v>158</v>
      </c>
      <c r="C3836" t="s">
        <v>159</v>
      </c>
      <c r="D3836">
        <v>345801</v>
      </c>
    </row>
    <row r="3837" spans="1:4" x14ac:dyDescent="0.35">
      <c r="A3837" s="1">
        <v>1991</v>
      </c>
      <c r="B3837" t="s">
        <v>112</v>
      </c>
      <c r="C3837" t="s">
        <v>113</v>
      </c>
      <c r="D3837">
        <v>548127</v>
      </c>
    </row>
    <row r="3838" spans="1:4" x14ac:dyDescent="0.35">
      <c r="A3838" s="1">
        <v>1991</v>
      </c>
      <c r="B3838" t="s">
        <v>186</v>
      </c>
      <c r="C3838" t="s">
        <v>187</v>
      </c>
      <c r="D3838">
        <v>342545</v>
      </c>
    </row>
    <row r="3839" spans="1:4" x14ac:dyDescent="0.35">
      <c r="A3839" s="1">
        <v>1991</v>
      </c>
      <c r="B3839" t="s">
        <v>188</v>
      </c>
      <c r="C3839" t="s">
        <v>189</v>
      </c>
      <c r="D3839">
        <v>201613</v>
      </c>
    </row>
    <row r="3840" spans="1:4" x14ac:dyDescent="0.35">
      <c r="A3840" s="1">
        <v>1991</v>
      </c>
      <c r="B3840" t="s">
        <v>208</v>
      </c>
      <c r="C3840" t="s">
        <v>209</v>
      </c>
      <c r="D3840">
        <v>825813</v>
      </c>
    </row>
    <row r="3841" spans="1:4" x14ac:dyDescent="0.35">
      <c r="A3841" s="1">
        <v>1991</v>
      </c>
      <c r="B3841" t="s">
        <v>210</v>
      </c>
      <c r="C3841" t="s">
        <v>211</v>
      </c>
      <c r="D3841">
        <v>472251</v>
      </c>
    </row>
    <row r="3842" spans="1:4" x14ac:dyDescent="0.35">
      <c r="A3842" s="1">
        <v>1991</v>
      </c>
      <c r="B3842" t="s">
        <v>198</v>
      </c>
      <c r="C3842" t="s">
        <v>199</v>
      </c>
      <c r="D3842">
        <v>512749</v>
      </c>
    </row>
    <row r="3843" spans="1:4" x14ac:dyDescent="0.35">
      <c r="A3843" s="1">
        <v>1991</v>
      </c>
      <c r="B3843" t="s">
        <v>160</v>
      </c>
      <c r="C3843" t="s">
        <v>161</v>
      </c>
      <c r="D3843">
        <v>381861</v>
      </c>
    </row>
    <row r="3844" spans="1:4" x14ac:dyDescent="0.35">
      <c r="A3844" s="1">
        <v>1991</v>
      </c>
      <c r="B3844" t="s">
        <v>162</v>
      </c>
      <c r="C3844" t="s">
        <v>163</v>
      </c>
      <c r="D3844">
        <v>353818</v>
      </c>
    </row>
    <row r="3845" spans="1:4" x14ac:dyDescent="0.35">
      <c r="A3845" s="1">
        <v>1991</v>
      </c>
      <c r="B3845" t="s">
        <v>102</v>
      </c>
      <c r="C3845" t="s">
        <v>103</v>
      </c>
      <c r="D3845">
        <v>385065</v>
      </c>
    </row>
    <row r="3846" spans="1:4" x14ac:dyDescent="0.35">
      <c r="A3846" s="1">
        <v>1991</v>
      </c>
      <c r="B3846" t="s">
        <v>44</v>
      </c>
      <c r="C3846" t="s">
        <v>45</v>
      </c>
      <c r="D3846">
        <v>324623</v>
      </c>
    </row>
    <row r="3847" spans="1:4" x14ac:dyDescent="0.35">
      <c r="A3847" s="1">
        <v>1991</v>
      </c>
      <c r="B3847" t="s">
        <v>46</v>
      </c>
      <c r="C3847" t="s">
        <v>221</v>
      </c>
      <c r="D3847">
        <v>134439</v>
      </c>
    </row>
    <row r="3848" spans="1:4" x14ac:dyDescent="0.35">
      <c r="A3848" s="1">
        <v>1991</v>
      </c>
      <c r="B3848" t="s">
        <v>120</v>
      </c>
      <c r="C3848" t="s">
        <v>121</v>
      </c>
      <c r="D3848">
        <v>1093658</v>
      </c>
    </row>
    <row r="3849" spans="1:4" x14ac:dyDescent="0.35">
      <c r="A3849" s="1">
        <v>1991</v>
      </c>
      <c r="B3849" t="s">
        <v>122</v>
      </c>
      <c r="C3849" t="s">
        <v>222</v>
      </c>
      <c r="D3849">
        <v>1392369</v>
      </c>
    </row>
    <row r="3850" spans="1:4" x14ac:dyDescent="0.35">
      <c r="A3850" s="1">
        <v>1991</v>
      </c>
      <c r="B3850" t="s">
        <v>124</v>
      </c>
      <c r="C3850" t="s">
        <v>125</v>
      </c>
      <c r="D3850">
        <v>1380953</v>
      </c>
    </row>
    <row r="3851" spans="1:4" x14ac:dyDescent="0.35">
      <c r="A3851" s="1">
        <v>1991</v>
      </c>
      <c r="B3851" t="s">
        <v>126</v>
      </c>
      <c r="C3851" t="s">
        <v>127</v>
      </c>
      <c r="D3851">
        <v>1215154</v>
      </c>
    </row>
    <row r="3852" spans="1:4" x14ac:dyDescent="0.35">
      <c r="A3852" s="1">
        <v>1991</v>
      </c>
      <c r="B3852" t="s">
        <v>128</v>
      </c>
      <c r="C3852" t="s">
        <v>129</v>
      </c>
      <c r="D3852">
        <v>1057350</v>
      </c>
    </row>
    <row r="3853" spans="1:4" x14ac:dyDescent="0.35">
      <c r="A3853" s="1">
        <v>1991</v>
      </c>
      <c r="B3853" t="s">
        <v>257</v>
      </c>
      <c r="D3853">
        <v>56840661</v>
      </c>
    </row>
    <row r="3854" spans="1:4" x14ac:dyDescent="0.35">
      <c r="A3854" s="1">
        <v>1991</v>
      </c>
      <c r="B3854">
        <v>971</v>
      </c>
      <c r="C3854" t="s">
        <v>73</v>
      </c>
      <c r="D3854">
        <v>354536</v>
      </c>
    </row>
    <row r="3855" spans="1:4" x14ac:dyDescent="0.35">
      <c r="A3855" s="1">
        <v>1991</v>
      </c>
      <c r="B3855">
        <v>972</v>
      </c>
      <c r="C3855" t="s">
        <v>75</v>
      </c>
      <c r="D3855">
        <v>359774</v>
      </c>
    </row>
    <row r="3856" spans="1:4" x14ac:dyDescent="0.35">
      <c r="A3856" s="1">
        <v>1991</v>
      </c>
      <c r="B3856">
        <v>973</v>
      </c>
      <c r="C3856" t="s">
        <v>77</v>
      </c>
      <c r="D3856">
        <v>117327</v>
      </c>
    </row>
    <row r="3857" spans="1:4" x14ac:dyDescent="0.35">
      <c r="A3857" s="1">
        <v>1991</v>
      </c>
      <c r="B3857">
        <v>974</v>
      </c>
      <c r="C3857" t="s">
        <v>79</v>
      </c>
      <c r="D3857">
        <v>607837</v>
      </c>
    </row>
    <row r="3858" spans="1:4" x14ac:dyDescent="0.35">
      <c r="A3858" s="1">
        <v>1991</v>
      </c>
      <c r="B3858" t="s">
        <v>226</v>
      </c>
      <c r="D3858">
        <v>1439474</v>
      </c>
    </row>
    <row r="3859" spans="1:4" x14ac:dyDescent="0.35">
      <c r="A3859" s="1">
        <v>1991</v>
      </c>
      <c r="B3859" t="s">
        <v>227</v>
      </c>
      <c r="D3859">
        <v>58280135</v>
      </c>
    </row>
    <row r="3860" spans="1:4" x14ac:dyDescent="0.35">
      <c r="A3860" s="1">
        <v>1991</v>
      </c>
    </row>
    <row r="3861" spans="1:4" x14ac:dyDescent="0.35">
      <c r="A3861" s="1">
        <v>1991</v>
      </c>
      <c r="B3861" t="s">
        <v>240</v>
      </c>
    </row>
    <row r="3862" spans="1:4" x14ac:dyDescent="0.35">
      <c r="A3862" s="1">
        <v>1990</v>
      </c>
      <c r="B3862" t="s">
        <v>251</v>
      </c>
    </row>
    <row r="3863" spans="1:4" x14ac:dyDescent="0.35">
      <c r="A3863" s="1">
        <v>1990</v>
      </c>
      <c r="B3863" t="s">
        <v>274</v>
      </c>
    </row>
    <row r="3864" spans="1:4" x14ac:dyDescent="0.35">
      <c r="A3864" s="1">
        <v>1990</v>
      </c>
    </row>
    <row r="3865" spans="1:4" x14ac:dyDescent="0.35">
      <c r="A3865" s="1">
        <v>1990</v>
      </c>
      <c r="B3865" t="s">
        <v>231</v>
      </c>
    </row>
    <row r="3866" spans="1:4" x14ac:dyDescent="0.35">
      <c r="A3866" s="1">
        <v>1990</v>
      </c>
      <c r="D3866" t="s">
        <v>232</v>
      </c>
    </row>
    <row r="3867" spans="1:4" x14ac:dyDescent="0.35">
      <c r="A3867" s="1">
        <v>1990</v>
      </c>
      <c r="B3867" t="s">
        <v>5</v>
      </c>
      <c r="C3867" t="s">
        <v>6</v>
      </c>
      <c r="D3867">
        <v>470651</v>
      </c>
    </row>
    <row r="3868" spans="1:4" x14ac:dyDescent="0.35">
      <c r="A3868" s="1">
        <v>1990</v>
      </c>
      <c r="B3868" t="s">
        <v>104</v>
      </c>
      <c r="C3868" t="s">
        <v>105</v>
      </c>
      <c r="D3868">
        <v>536896</v>
      </c>
    </row>
    <row r="3869" spans="1:4" x14ac:dyDescent="0.35">
      <c r="A3869" s="1">
        <v>1990</v>
      </c>
      <c r="B3869" t="s">
        <v>10</v>
      </c>
      <c r="C3869" t="s">
        <v>11</v>
      </c>
      <c r="D3869">
        <v>357952</v>
      </c>
    </row>
    <row r="3870" spans="1:4" x14ac:dyDescent="0.35">
      <c r="A3870" s="1">
        <v>1990</v>
      </c>
      <c r="B3870" t="s">
        <v>200</v>
      </c>
      <c r="C3870" t="s">
        <v>201</v>
      </c>
      <c r="D3870">
        <v>130911</v>
      </c>
    </row>
    <row r="3871" spans="1:4" x14ac:dyDescent="0.35">
      <c r="A3871" s="1">
        <v>1990</v>
      </c>
      <c r="B3871" t="s">
        <v>202</v>
      </c>
      <c r="C3871" t="s">
        <v>203</v>
      </c>
      <c r="D3871">
        <v>113265</v>
      </c>
    </row>
    <row r="3872" spans="1:4" x14ac:dyDescent="0.35">
      <c r="A3872" s="1">
        <v>1990</v>
      </c>
      <c r="B3872" t="s">
        <v>204</v>
      </c>
      <c r="C3872" t="s">
        <v>205</v>
      </c>
      <c r="D3872">
        <v>972380</v>
      </c>
    </row>
    <row r="3873" spans="1:4" x14ac:dyDescent="0.35">
      <c r="A3873" s="1">
        <v>1990</v>
      </c>
      <c r="B3873" t="s">
        <v>12</v>
      </c>
      <c r="C3873" t="s">
        <v>13</v>
      </c>
      <c r="D3873">
        <v>277651</v>
      </c>
    </row>
    <row r="3874" spans="1:4" x14ac:dyDescent="0.35">
      <c r="A3874" s="1">
        <v>1990</v>
      </c>
      <c r="B3874" t="s">
        <v>84</v>
      </c>
      <c r="C3874" t="s">
        <v>85</v>
      </c>
      <c r="D3874">
        <v>296150</v>
      </c>
    </row>
    <row r="3875" spans="1:4" x14ac:dyDescent="0.35">
      <c r="A3875" s="1">
        <v>1990</v>
      </c>
      <c r="B3875" t="s">
        <v>164</v>
      </c>
      <c r="C3875" t="s">
        <v>165</v>
      </c>
      <c r="D3875">
        <v>136681</v>
      </c>
    </row>
    <row r="3876" spans="1:4" x14ac:dyDescent="0.35">
      <c r="A3876" s="1">
        <v>1990</v>
      </c>
      <c r="B3876" t="s">
        <v>86</v>
      </c>
      <c r="C3876" t="s">
        <v>87</v>
      </c>
      <c r="D3876">
        <v>289138</v>
      </c>
    </row>
    <row r="3877" spans="1:4" x14ac:dyDescent="0.35">
      <c r="A3877" s="1">
        <v>1990</v>
      </c>
      <c r="B3877" t="s">
        <v>166</v>
      </c>
      <c r="C3877" t="s">
        <v>167</v>
      </c>
      <c r="D3877">
        <v>298917</v>
      </c>
    </row>
    <row r="3878" spans="1:4" x14ac:dyDescent="0.35">
      <c r="A3878" s="1">
        <v>1990</v>
      </c>
      <c r="B3878" t="s">
        <v>168</v>
      </c>
      <c r="C3878" t="s">
        <v>169</v>
      </c>
      <c r="D3878">
        <v>270408</v>
      </c>
    </row>
    <row r="3879" spans="1:4" x14ac:dyDescent="0.35">
      <c r="A3879" s="1">
        <v>1990</v>
      </c>
      <c r="B3879" t="s">
        <v>206</v>
      </c>
      <c r="C3879" t="s">
        <v>207</v>
      </c>
      <c r="D3879">
        <v>1758064</v>
      </c>
    </row>
    <row r="3880" spans="1:4" x14ac:dyDescent="0.35">
      <c r="A3880" s="1">
        <v>1990</v>
      </c>
      <c r="B3880" t="s">
        <v>130</v>
      </c>
      <c r="C3880" t="s">
        <v>131</v>
      </c>
      <c r="D3880">
        <v>618117</v>
      </c>
    </row>
    <row r="3881" spans="1:4" x14ac:dyDescent="0.35">
      <c r="A3881" s="1">
        <v>1990</v>
      </c>
      <c r="B3881" t="s">
        <v>14</v>
      </c>
      <c r="C3881" t="s">
        <v>15</v>
      </c>
      <c r="D3881">
        <v>158840</v>
      </c>
    </row>
    <row r="3882" spans="1:4" x14ac:dyDescent="0.35">
      <c r="A3882" s="1">
        <v>1990</v>
      </c>
      <c r="B3882" t="s">
        <v>140</v>
      </c>
      <c r="C3882" t="s">
        <v>141</v>
      </c>
      <c r="D3882">
        <v>342041</v>
      </c>
    </row>
    <row r="3883" spans="1:4" x14ac:dyDescent="0.35">
      <c r="A3883" s="1">
        <v>1990</v>
      </c>
      <c r="B3883" t="s">
        <v>142</v>
      </c>
      <c r="C3883" t="s">
        <v>143</v>
      </c>
      <c r="D3883">
        <v>527186</v>
      </c>
    </row>
    <row r="3884" spans="1:4" x14ac:dyDescent="0.35">
      <c r="A3884" s="1">
        <v>1990</v>
      </c>
      <c r="B3884" t="s">
        <v>56</v>
      </c>
      <c r="C3884" t="s">
        <v>57</v>
      </c>
      <c r="D3884">
        <v>321487</v>
      </c>
    </row>
    <row r="3885" spans="1:4" x14ac:dyDescent="0.35">
      <c r="A3885" s="1">
        <v>1990</v>
      </c>
      <c r="B3885" t="s">
        <v>144</v>
      </c>
      <c r="C3885" t="s">
        <v>145</v>
      </c>
      <c r="D3885">
        <v>238051</v>
      </c>
    </row>
    <row r="3886" spans="1:4" x14ac:dyDescent="0.35">
      <c r="A3886" s="1">
        <v>1990</v>
      </c>
      <c r="B3886" t="s">
        <v>68</v>
      </c>
      <c r="C3886" t="s">
        <v>69</v>
      </c>
      <c r="D3886">
        <v>118452</v>
      </c>
    </row>
    <row r="3887" spans="1:4" x14ac:dyDescent="0.35">
      <c r="A3887" s="1">
        <v>1990</v>
      </c>
      <c r="B3887" t="s">
        <v>70</v>
      </c>
      <c r="C3887" t="s">
        <v>71</v>
      </c>
      <c r="D3887">
        <v>131193</v>
      </c>
    </row>
    <row r="3888" spans="1:4" x14ac:dyDescent="0.35">
      <c r="A3888" s="1">
        <v>1990</v>
      </c>
      <c r="B3888" t="s">
        <v>32</v>
      </c>
      <c r="C3888" t="s">
        <v>219</v>
      </c>
      <c r="D3888">
        <v>493471</v>
      </c>
    </row>
    <row r="3889" spans="1:4" x14ac:dyDescent="0.35">
      <c r="A3889" s="1">
        <v>1990</v>
      </c>
      <c r="B3889" t="s">
        <v>48</v>
      </c>
      <c r="C3889" t="s">
        <v>220</v>
      </c>
      <c r="D3889">
        <v>538443</v>
      </c>
    </row>
    <row r="3890" spans="1:4" x14ac:dyDescent="0.35">
      <c r="A3890" s="1">
        <v>1990</v>
      </c>
      <c r="B3890" t="s">
        <v>146</v>
      </c>
      <c r="C3890" t="s">
        <v>147</v>
      </c>
      <c r="D3890">
        <v>131585</v>
      </c>
    </row>
    <row r="3891" spans="1:4" x14ac:dyDescent="0.35">
      <c r="A3891" s="1">
        <v>1990</v>
      </c>
      <c r="B3891" t="s">
        <v>148</v>
      </c>
      <c r="C3891" t="s">
        <v>149</v>
      </c>
      <c r="D3891">
        <v>386690</v>
      </c>
    </row>
    <row r="3892" spans="1:4" x14ac:dyDescent="0.35">
      <c r="A3892" s="1">
        <v>1990</v>
      </c>
      <c r="B3892" t="s">
        <v>34</v>
      </c>
      <c r="C3892" t="s">
        <v>35</v>
      </c>
      <c r="D3892">
        <v>484264</v>
      </c>
    </row>
    <row r="3893" spans="1:4" x14ac:dyDescent="0.35">
      <c r="A3893" s="1">
        <v>1990</v>
      </c>
      <c r="B3893" t="s">
        <v>16</v>
      </c>
      <c r="C3893" t="s">
        <v>17</v>
      </c>
      <c r="D3893">
        <v>413829</v>
      </c>
    </row>
    <row r="3894" spans="1:4" x14ac:dyDescent="0.35">
      <c r="A3894" s="1">
        <v>1990</v>
      </c>
      <c r="B3894" t="s">
        <v>132</v>
      </c>
      <c r="C3894" t="s">
        <v>133</v>
      </c>
      <c r="D3894">
        <v>513465</v>
      </c>
    </row>
    <row r="3895" spans="1:4" x14ac:dyDescent="0.35">
      <c r="A3895" s="1">
        <v>1990</v>
      </c>
      <c r="B3895" t="s">
        <v>58</v>
      </c>
      <c r="C3895" t="s">
        <v>59</v>
      </c>
      <c r="D3895">
        <v>395683</v>
      </c>
    </row>
    <row r="3896" spans="1:4" x14ac:dyDescent="0.35">
      <c r="A3896" s="1">
        <v>1990</v>
      </c>
      <c r="B3896" t="s">
        <v>50</v>
      </c>
      <c r="C3896" t="s">
        <v>51</v>
      </c>
      <c r="D3896">
        <v>838366</v>
      </c>
    </row>
    <row r="3897" spans="1:4" x14ac:dyDescent="0.35">
      <c r="A3897" s="1">
        <v>1990</v>
      </c>
      <c r="B3897" t="s">
        <v>170</v>
      </c>
      <c r="C3897" t="s">
        <v>171</v>
      </c>
      <c r="D3897">
        <v>584982</v>
      </c>
    </row>
    <row r="3898" spans="1:4" x14ac:dyDescent="0.35">
      <c r="A3898" s="1">
        <v>1990</v>
      </c>
      <c r="B3898" t="s">
        <v>172</v>
      </c>
      <c r="C3898" t="s">
        <v>173</v>
      </c>
      <c r="D3898">
        <v>925116</v>
      </c>
    </row>
    <row r="3899" spans="1:4" x14ac:dyDescent="0.35">
      <c r="A3899" s="1">
        <v>1990</v>
      </c>
      <c r="B3899" t="s">
        <v>174</v>
      </c>
      <c r="C3899" t="s">
        <v>175</v>
      </c>
      <c r="D3899">
        <v>174746</v>
      </c>
    </row>
    <row r="3900" spans="1:4" x14ac:dyDescent="0.35">
      <c r="A3900" s="1">
        <v>1990</v>
      </c>
      <c r="B3900" t="s">
        <v>150</v>
      </c>
      <c r="C3900" t="s">
        <v>151</v>
      </c>
      <c r="D3900">
        <v>1213540</v>
      </c>
    </row>
    <row r="3901" spans="1:4" x14ac:dyDescent="0.35">
      <c r="A3901" s="1">
        <v>1990</v>
      </c>
      <c r="B3901" t="s">
        <v>176</v>
      </c>
      <c r="C3901" t="s">
        <v>177</v>
      </c>
      <c r="D3901">
        <v>794642</v>
      </c>
    </row>
    <row r="3902" spans="1:4" x14ac:dyDescent="0.35">
      <c r="A3902" s="1">
        <v>1990</v>
      </c>
      <c r="B3902" t="s">
        <v>52</v>
      </c>
      <c r="C3902" t="s">
        <v>53</v>
      </c>
      <c r="D3902">
        <v>797785</v>
      </c>
    </row>
    <row r="3903" spans="1:4" x14ac:dyDescent="0.35">
      <c r="A3903" s="1">
        <v>1990</v>
      </c>
      <c r="B3903" t="s">
        <v>60</v>
      </c>
      <c r="C3903" t="s">
        <v>61</v>
      </c>
      <c r="D3903">
        <v>237609</v>
      </c>
    </row>
    <row r="3904" spans="1:4" x14ac:dyDescent="0.35">
      <c r="A3904" s="1">
        <v>1990</v>
      </c>
      <c r="B3904" t="s">
        <v>62</v>
      </c>
      <c r="C3904" t="s">
        <v>63</v>
      </c>
      <c r="D3904">
        <v>529150</v>
      </c>
    </row>
    <row r="3905" spans="1:4" x14ac:dyDescent="0.35">
      <c r="A3905" s="1">
        <v>1990</v>
      </c>
      <c r="B3905" t="s">
        <v>18</v>
      </c>
      <c r="C3905" t="s">
        <v>19</v>
      </c>
      <c r="D3905">
        <v>1015238</v>
      </c>
    </row>
    <row r="3906" spans="1:4" x14ac:dyDescent="0.35">
      <c r="A3906" s="1">
        <v>1990</v>
      </c>
      <c r="B3906" t="s">
        <v>36</v>
      </c>
      <c r="C3906" t="s">
        <v>37</v>
      </c>
      <c r="D3906">
        <v>248707</v>
      </c>
    </row>
    <row r="3907" spans="1:4" x14ac:dyDescent="0.35">
      <c r="A3907" s="1">
        <v>1990</v>
      </c>
      <c r="B3907" t="s">
        <v>152</v>
      </c>
      <c r="C3907" t="s">
        <v>153</v>
      </c>
      <c r="D3907">
        <v>311507</v>
      </c>
    </row>
    <row r="3908" spans="1:4" x14ac:dyDescent="0.35">
      <c r="A3908" s="1">
        <v>1990</v>
      </c>
      <c r="B3908" t="s">
        <v>64</v>
      </c>
      <c r="C3908" t="s">
        <v>65</v>
      </c>
      <c r="D3908">
        <v>305869</v>
      </c>
    </row>
    <row r="3909" spans="1:4" x14ac:dyDescent="0.35">
      <c r="A3909" s="1">
        <v>1990</v>
      </c>
      <c r="B3909" t="s">
        <v>20</v>
      </c>
      <c r="C3909" t="s">
        <v>21</v>
      </c>
      <c r="D3909">
        <v>746101</v>
      </c>
    </row>
    <row r="3910" spans="1:4" x14ac:dyDescent="0.35">
      <c r="A3910" s="1">
        <v>1990</v>
      </c>
      <c r="B3910" t="s">
        <v>22</v>
      </c>
      <c r="C3910" t="s">
        <v>23</v>
      </c>
      <c r="D3910">
        <v>206658</v>
      </c>
    </row>
    <row r="3911" spans="1:4" x14ac:dyDescent="0.35">
      <c r="A3911" s="1">
        <v>1990</v>
      </c>
      <c r="B3911" t="s">
        <v>190</v>
      </c>
      <c r="C3911" t="s">
        <v>191</v>
      </c>
      <c r="D3911">
        <v>1050539</v>
      </c>
    </row>
    <row r="3912" spans="1:4" x14ac:dyDescent="0.35">
      <c r="A3912" s="1">
        <v>1990</v>
      </c>
      <c r="B3912" t="s">
        <v>66</v>
      </c>
      <c r="C3912" t="s">
        <v>67</v>
      </c>
      <c r="D3912">
        <v>580010</v>
      </c>
    </row>
    <row r="3913" spans="1:4" x14ac:dyDescent="0.35">
      <c r="A3913" s="1">
        <v>1990</v>
      </c>
      <c r="B3913" t="s">
        <v>178</v>
      </c>
      <c r="C3913" t="s">
        <v>179</v>
      </c>
      <c r="D3913">
        <v>155970</v>
      </c>
    </row>
    <row r="3914" spans="1:4" x14ac:dyDescent="0.35">
      <c r="A3914" s="1">
        <v>1990</v>
      </c>
      <c r="B3914" t="s">
        <v>154</v>
      </c>
      <c r="C3914" t="s">
        <v>155</v>
      </c>
      <c r="D3914">
        <v>305797</v>
      </c>
    </row>
    <row r="3915" spans="1:4" x14ac:dyDescent="0.35">
      <c r="A3915" s="1">
        <v>1990</v>
      </c>
      <c r="B3915" t="s">
        <v>180</v>
      </c>
      <c r="C3915" t="s">
        <v>181</v>
      </c>
      <c r="D3915">
        <v>72863</v>
      </c>
    </row>
    <row r="3916" spans="1:4" x14ac:dyDescent="0.35">
      <c r="A3916" s="1">
        <v>1990</v>
      </c>
      <c r="B3916" t="s">
        <v>192</v>
      </c>
      <c r="C3916" t="s">
        <v>193</v>
      </c>
      <c r="D3916">
        <v>704668</v>
      </c>
    </row>
    <row r="3917" spans="1:4" x14ac:dyDescent="0.35">
      <c r="A3917" s="1">
        <v>1990</v>
      </c>
      <c r="B3917" t="s">
        <v>134</v>
      </c>
      <c r="C3917" t="s">
        <v>135</v>
      </c>
      <c r="D3917">
        <v>479579</v>
      </c>
    </row>
    <row r="3918" spans="1:4" x14ac:dyDescent="0.35">
      <c r="A3918" s="1">
        <v>1990</v>
      </c>
      <c r="B3918" t="s">
        <v>88</v>
      </c>
      <c r="C3918" t="s">
        <v>89</v>
      </c>
      <c r="D3918">
        <v>557636</v>
      </c>
    </row>
    <row r="3919" spans="1:4" x14ac:dyDescent="0.35">
      <c r="A3919" s="1">
        <v>1990</v>
      </c>
      <c r="B3919" t="s">
        <v>90</v>
      </c>
      <c r="C3919" t="s">
        <v>91</v>
      </c>
      <c r="D3919">
        <v>204039</v>
      </c>
    </row>
    <row r="3920" spans="1:4" x14ac:dyDescent="0.35">
      <c r="A3920" s="1">
        <v>1990</v>
      </c>
      <c r="B3920" t="s">
        <v>194</v>
      </c>
      <c r="C3920" t="s">
        <v>195</v>
      </c>
      <c r="D3920">
        <v>277748</v>
      </c>
    </row>
    <row r="3921" spans="1:4" x14ac:dyDescent="0.35">
      <c r="A3921" s="1">
        <v>1990</v>
      </c>
      <c r="B3921" t="s">
        <v>92</v>
      </c>
      <c r="C3921" t="s">
        <v>93</v>
      </c>
      <c r="D3921">
        <v>711367</v>
      </c>
    </row>
    <row r="3922" spans="1:4" x14ac:dyDescent="0.35">
      <c r="A3922" s="1">
        <v>1990</v>
      </c>
      <c r="B3922" t="s">
        <v>94</v>
      </c>
      <c r="C3922" t="s">
        <v>95</v>
      </c>
      <c r="D3922">
        <v>196282</v>
      </c>
    </row>
    <row r="3923" spans="1:4" x14ac:dyDescent="0.35">
      <c r="A3923" s="1">
        <v>1990</v>
      </c>
      <c r="B3923" t="s">
        <v>54</v>
      </c>
      <c r="C3923" t="s">
        <v>55</v>
      </c>
      <c r="D3923">
        <v>619723</v>
      </c>
    </row>
    <row r="3924" spans="1:4" x14ac:dyDescent="0.35">
      <c r="A3924" s="1">
        <v>1990</v>
      </c>
      <c r="B3924" t="s">
        <v>96</v>
      </c>
      <c r="C3924" t="s">
        <v>97</v>
      </c>
      <c r="D3924">
        <v>1010514</v>
      </c>
    </row>
    <row r="3925" spans="1:4" x14ac:dyDescent="0.35">
      <c r="A3925" s="1">
        <v>1990</v>
      </c>
      <c r="B3925" t="s">
        <v>38</v>
      </c>
      <c r="C3925" t="s">
        <v>39</v>
      </c>
      <c r="D3925">
        <v>233450</v>
      </c>
    </row>
    <row r="3926" spans="1:4" x14ac:dyDescent="0.35">
      <c r="A3926" s="1">
        <v>1990</v>
      </c>
      <c r="B3926" t="s">
        <v>106</v>
      </c>
      <c r="C3926" t="s">
        <v>107</v>
      </c>
      <c r="D3926">
        <v>2529495</v>
      </c>
    </row>
    <row r="3927" spans="1:4" x14ac:dyDescent="0.35">
      <c r="A3927" s="1">
        <v>1990</v>
      </c>
      <c r="B3927" t="s">
        <v>108</v>
      </c>
      <c r="C3927" t="s">
        <v>109</v>
      </c>
      <c r="D3927">
        <v>724587</v>
      </c>
    </row>
    <row r="3928" spans="1:4" x14ac:dyDescent="0.35">
      <c r="A3928" s="1">
        <v>1990</v>
      </c>
      <c r="B3928" t="s">
        <v>136</v>
      </c>
      <c r="C3928" t="s">
        <v>137</v>
      </c>
      <c r="D3928">
        <v>293194</v>
      </c>
    </row>
    <row r="3929" spans="1:4" x14ac:dyDescent="0.35">
      <c r="A3929" s="1">
        <v>1990</v>
      </c>
      <c r="B3929" t="s">
        <v>110</v>
      </c>
      <c r="C3929" t="s">
        <v>111</v>
      </c>
      <c r="D3929">
        <v>1432208</v>
      </c>
    </row>
    <row r="3930" spans="1:4" x14ac:dyDescent="0.35">
      <c r="A3930" s="1">
        <v>1990</v>
      </c>
      <c r="B3930" t="s">
        <v>24</v>
      </c>
      <c r="C3930" t="s">
        <v>25</v>
      </c>
      <c r="D3930">
        <v>598311</v>
      </c>
    </row>
    <row r="3931" spans="1:4" x14ac:dyDescent="0.35">
      <c r="A3931" s="1">
        <v>1990</v>
      </c>
      <c r="B3931" t="s">
        <v>156</v>
      </c>
      <c r="C3931" t="s">
        <v>157</v>
      </c>
      <c r="D3931">
        <v>578076</v>
      </c>
    </row>
    <row r="3932" spans="1:4" x14ac:dyDescent="0.35">
      <c r="A3932" s="1">
        <v>1990</v>
      </c>
      <c r="B3932" t="s">
        <v>182</v>
      </c>
      <c r="C3932" t="s">
        <v>183</v>
      </c>
      <c r="D3932">
        <v>224919</v>
      </c>
    </row>
    <row r="3933" spans="1:4" x14ac:dyDescent="0.35">
      <c r="A3933" s="1">
        <v>1990</v>
      </c>
      <c r="B3933" t="s">
        <v>184</v>
      </c>
      <c r="C3933" t="s">
        <v>185</v>
      </c>
      <c r="D3933">
        <v>363764</v>
      </c>
    </row>
    <row r="3934" spans="1:4" x14ac:dyDescent="0.35">
      <c r="A3934" s="1">
        <v>1990</v>
      </c>
      <c r="B3934" t="s">
        <v>98</v>
      </c>
      <c r="C3934" t="s">
        <v>99</v>
      </c>
      <c r="D3934">
        <v>952158</v>
      </c>
    </row>
    <row r="3935" spans="1:4" x14ac:dyDescent="0.35">
      <c r="A3935" s="1">
        <v>1990</v>
      </c>
      <c r="B3935" t="s">
        <v>100</v>
      </c>
      <c r="C3935" t="s">
        <v>101</v>
      </c>
      <c r="D3935">
        <v>670652</v>
      </c>
    </row>
    <row r="3936" spans="1:4" x14ac:dyDescent="0.35">
      <c r="A3936" s="1">
        <v>1990</v>
      </c>
      <c r="B3936" t="s">
        <v>26</v>
      </c>
      <c r="C3936" t="s">
        <v>27</v>
      </c>
      <c r="D3936">
        <v>1507113</v>
      </c>
    </row>
    <row r="3937" spans="1:4" x14ac:dyDescent="0.35">
      <c r="A3937" s="1">
        <v>1990</v>
      </c>
      <c r="B3937" t="s">
        <v>40</v>
      </c>
      <c r="C3937" t="s">
        <v>41</v>
      </c>
      <c r="D3937">
        <v>229478</v>
      </c>
    </row>
    <row r="3938" spans="1:4" x14ac:dyDescent="0.35">
      <c r="A3938" s="1">
        <v>1990</v>
      </c>
      <c r="B3938" t="s">
        <v>42</v>
      </c>
      <c r="C3938" t="s">
        <v>43</v>
      </c>
      <c r="D3938">
        <v>559360</v>
      </c>
    </row>
    <row r="3939" spans="1:4" x14ac:dyDescent="0.35">
      <c r="A3939" s="1">
        <v>1990</v>
      </c>
      <c r="B3939" t="s">
        <v>196</v>
      </c>
      <c r="C3939" t="s">
        <v>197</v>
      </c>
      <c r="D3939">
        <v>513280</v>
      </c>
    </row>
    <row r="3940" spans="1:4" x14ac:dyDescent="0.35">
      <c r="A3940" s="1">
        <v>1990</v>
      </c>
      <c r="B3940" t="s">
        <v>28</v>
      </c>
      <c r="C3940" t="s">
        <v>29</v>
      </c>
      <c r="D3940">
        <v>348089</v>
      </c>
    </row>
    <row r="3941" spans="1:4" x14ac:dyDescent="0.35">
      <c r="A3941" s="1">
        <v>1990</v>
      </c>
      <c r="B3941" t="s">
        <v>30</v>
      </c>
      <c r="C3941" t="s">
        <v>31</v>
      </c>
      <c r="D3941">
        <v>567735</v>
      </c>
    </row>
    <row r="3942" spans="1:4" x14ac:dyDescent="0.35">
      <c r="A3942" s="1">
        <v>1990</v>
      </c>
      <c r="B3942" t="s">
        <v>114</v>
      </c>
      <c r="C3942" t="s">
        <v>115</v>
      </c>
      <c r="D3942">
        <v>2150147</v>
      </c>
    </row>
    <row r="3943" spans="1:4" x14ac:dyDescent="0.35">
      <c r="A3943" s="1">
        <v>1990</v>
      </c>
      <c r="B3943" t="s">
        <v>138</v>
      </c>
      <c r="C3943" t="s">
        <v>139</v>
      </c>
      <c r="D3943">
        <v>1222504</v>
      </c>
    </row>
    <row r="3944" spans="1:4" x14ac:dyDescent="0.35">
      <c r="A3944" s="1">
        <v>1990</v>
      </c>
      <c r="B3944" t="s">
        <v>116</v>
      </c>
      <c r="C3944" t="s">
        <v>117</v>
      </c>
      <c r="D3944">
        <v>1077206</v>
      </c>
    </row>
    <row r="3945" spans="1:4" x14ac:dyDescent="0.35">
      <c r="A3945" s="1">
        <v>1990</v>
      </c>
      <c r="B3945" t="s">
        <v>118</v>
      </c>
      <c r="C3945" t="s">
        <v>119</v>
      </c>
      <c r="D3945">
        <v>1305076</v>
      </c>
    </row>
    <row r="3946" spans="1:4" x14ac:dyDescent="0.35">
      <c r="A3946" s="1">
        <v>1990</v>
      </c>
      <c r="B3946" t="s">
        <v>158</v>
      </c>
      <c r="C3946" t="s">
        <v>159</v>
      </c>
      <c r="D3946">
        <v>346027</v>
      </c>
    </row>
    <row r="3947" spans="1:4" x14ac:dyDescent="0.35">
      <c r="A3947" s="1">
        <v>1990</v>
      </c>
      <c r="B3947" t="s">
        <v>112</v>
      </c>
      <c r="C3947" t="s">
        <v>113</v>
      </c>
      <c r="D3947">
        <v>547485</v>
      </c>
    </row>
    <row r="3948" spans="1:4" x14ac:dyDescent="0.35">
      <c r="A3948" s="1">
        <v>1990</v>
      </c>
      <c r="B3948" t="s">
        <v>186</v>
      </c>
      <c r="C3948" t="s">
        <v>187</v>
      </c>
      <c r="D3948">
        <v>342946</v>
      </c>
    </row>
    <row r="3949" spans="1:4" x14ac:dyDescent="0.35">
      <c r="A3949" s="1">
        <v>1990</v>
      </c>
      <c r="B3949" t="s">
        <v>188</v>
      </c>
      <c r="C3949" t="s">
        <v>189</v>
      </c>
      <c r="D3949">
        <v>200295</v>
      </c>
    </row>
    <row r="3950" spans="1:4" x14ac:dyDescent="0.35">
      <c r="A3950" s="1">
        <v>1990</v>
      </c>
      <c r="B3950" t="s">
        <v>208</v>
      </c>
      <c r="C3950" t="s">
        <v>209</v>
      </c>
      <c r="D3950">
        <v>815714</v>
      </c>
    </row>
    <row r="3951" spans="1:4" x14ac:dyDescent="0.35">
      <c r="A3951" s="1">
        <v>1990</v>
      </c>
      <c r="B3951" t="s">
        <v>210</v>
      </c>
      <c r="C3951" t="s">
        <v>211</v>
      </c>
      <c r="D3951">
        <v>466910</v>
      </c>
    </row>
    <row r="3952" spans="1:4" x14ac:dyDescent="0.35">
      <c r="A3952" s="1">
        <v>1990</v>
      </c>
      <c r="B3952" t="s">
        <v>198</v>
      </c>
      <c r="C3952" t="s">
        <v>199</v>
      </c>
      <c r="D3952">
        <v>508962</v>
      </c>
    </row>
    <row r="3953" spans="1:4" x14ac:dyDescent="0.35">
      <c r="A3953" s="1">
        <v>1990</v>
      </c>
      <c r="B3953" t="s">
        <v>160</v>
      </c>
      <c r="C3953" t="s">
        <v>161</v>
      </c>
      <c r="D3953">
        <v>379963</v>
      </c>
    </row>
    <row r="3954" spans="1:4" x14ac:dyDescent="0.35">
      <c r="A3954" s="1">
        <v>1990</v>
      </c>
      <c r="B3954" t="s">
        <v>162</v>
      </c>
      <c r="C3954" t="s">
        <v>163</v>
      </c>
      <c r="D3954">
        <v>353824</v>
      </c>
    </row>
    <row r="3955" spans="1:4" x14ac:dyDescent="0.35">
      <c r="A3955" s="1">
        <v>1990</v>
      </c>
      <c r="B3955" t="s">
        <v>102</v>
      </c>
      <c r="C3955" t="s">
        <v>103</v>
      </c>
      <c r="D3955">
        <v>386128</v>
      </c>
    </row>
    <row r="3956" spans="1:4" x14ac:dyDescent="0.35">
      <c r="A3956" s="1">
        <v>1990</v>
      </c>
      <c r="B3956" t="s">
        <v>44</v>
      </c>
      <c r="C3956" t="s">
        <v>45</v>
      </c>
      <c r="D3956">
        <v>323118</v>
      </c>
    </row>
    <row r="3957" spans="1:4" x14ac:dyDescent="0.35">
      <c r="A3957" s="1">
        <v>1990</v>
      </c>
      <c r="B3957" t="s">
        <v>46</v>
      </c>
      <c r="C3957" t="s">
        <v>221</v>
      </c>
      <c r="D3957">
        <v>133978</v>
      </c>
    </row>
    <row r="3958" spans="1:4" x14ac:dyDescent="0.35">
      <c r="A3958" s="1">
        <v>1990</v>
      </c>
      <c r="B3958" t="s">
        <v>120</v>
      </c>
      <c r="C3958" t="s">
        <v>121</v>
      </c>
      <c r="D3958">
        <v>1083245</v>
      </c>
    </row>
    <row r="3959" spans="1:4" x14ac:dyDescent="0.35">
      <c r="A3959" s="1">
        <v>1990</v>
      </c>
      <c r="B3959" t="s">
        <v>122</v>
      </c>
      <c r="C3959" t="s">
        <v>222</v>
      </c>
      <c r="D3959">
        <v>1389416</v>
      </c>
    </row>
    <row r="3960" spans="1:4" x14ac:dyDescent="0.35">
      <c r="A3960" s="1">
        <v>1990</v>
      </c>
      <c r="B3960" t="s">
        <v>124</v>
      </c>
      <c r="C3960" t="s">
        <v>125</v>
      </c>
      <c r="D3960">
        <v>1378576</v>
      </c>
    </row>
    <row r="3961" spans="1:4" x14ac:dyDescent="0.35">
      <c r="A3961" s="1">
        <v>1990</v>
      </c>
      <c r="B3961" t="s">
        <v>126</v>
      </c>
      <c r="C3961" t="s">
        <v>127</v>
      </c>
      <c r="D3961">
        <v>1213446</v>
      </c>
    </row>
    <row r="3962" spans="1:4" x14ac:dyDescent="0.35">
      <c r="A3962" s="1">
        <v>1990</v>
      </c>
      <c r="B3962" t="s">
        <v>128</v>
      </c>
      <c r="C3962" t="s">
        <v>129</v>
      </c>
      <c r="D3962">
        <v>1047553</v>
      </c>
    </row>
    <row r="3963" spans="1:4" x14ac:dyDescent="0.35">
      <c r="A3963" s="1">
        <v>1990</v>
      </c>
      <c r="B3963" t="s">
        <v>257</v>
      </c>
      <c r="D3963">
        <v>56577000</v>
      </c>
    </row>
    <row r="3964" spans="1:4" x14ac:dyDescent="0.35">
      <c r="A3964" s="1">
        <v>1990</v>
      </c>
      <c r="B3964">
        <v>971</v>
      </c>
      <c r="C3964" t="s">
        <v>73</v>
      </c>
      <c r="D3964">
        <v>351844</v>
      </c>
    </row>
    <row r="3965" spans="1:4" x14ac:dyDescent="0.35">
      <c r="A3965" s="1">
        <v>1990</v>
      </c>
      <c r="B3965">
        <v>972</v>
      </c>
      <c r="C3965" t="s">
        <v>75</v>
      </c>
      <c r="D3965">
        <v>358406</v>
      </c>
    </row>
    <row r="3966" spans="1:4" x14ac:dyDescent="0.35">
      <c r="A3966" s="1">
        <v>1990</v>
      </c>
      <c r="B3966">
        <v>973</v>
      </c>
      <c r="C3966" t="s">
        <v>77</v>
      </c>
      <c r="D3966">
        <v>113351</v>
      </c>
    </row>
    <row r="3967" spans="1:4" x14ac:dyDescent="0.35">
      <c r="A3967" s="1">
        <v>1990</v>
      </c>
      <c r="B3967">
        <v>974</v>
      </c>
      <c r="C3967" t="s">
        <v>275</v>
      </c>
      <c r="D3967">
        <v>597828</v>
      </c>
    </row>
    <row r="3968" spans="1:4" x14ac:dyDescent="0.35">
      <c r="A3968" s="1">
        <v>1990</v>
      </c>
      <c r="B3968" t="s">
        <v>226</v>
      </c>
      <c r="D3968">
        <v>1421429</v>
      </c>
    </row>
    <row r="3969" spans="1:4" x14ac:dyDescent="0.35">
      <c r="A3969" s="1">
        <v>1990</v>
      </c>
      <c r="B3969" t="s">
        <v>227</v>
      </c>
      <c r="D3969">
        <v>57998429</v>
      </c>
    </row>
    <row r="3970" spans="1:4" x14ac:dyDescent="0.35">
      <c r="A3970" s="1">
        <v>1990</v>
      </c>
    </row>
    <row r="3971" spans="1:4" x14ac:dyDescent="0.35">
      <c r="A3971" s="1">
        <v>1990</v>
      </c>
      <c r="B3971" t="s">
        <v>240</v>
      </c>
    </row>
    <row r="3972" spans="1:4" x14ac:dyDescent="0.35">
      <c r="A3972" s="1">
        <v>1990</v>
      </c>
      <c r="B3972" t="s">
        <v>276</v>
      </c>
    </row>
    <row r="3973" spans="1:4" x14ac:dyDescent="0.35">
      <c r="A3973" s="1">
        <v>1989</v>
      </c>
      <c r="B3973" t="s">
        <v>251</v>
      </c>
    </row>
    <row r="3974" spans="1:4" x14ac:dyDescent="0.35">
      <c r="A3974" s="1">
        <v>1989</v>
      </c>
      <c r="B3974" t="s">
        <v>277</v>
      </c>
    </row>
    <row r="3975" spans="1:4" x14ac:dyDescent="0.35">
      <c r="A3975" s="1">
        <v>1989</v>
      </c>
    </row>
    <row r="3976" spans="1:4" x14ac:dyDescent="0.35">
      <c r="A3976" s="1">
        <v>1989</v>
      </c>
      <c r="B3976" t="s">
        <v>231</v>
      </c>
    </row>
    <row r="3977" spans="1:4" x14ac:dyDescent="0.35">
      <c r="A3977" s="1">
        <v>1989</v>
      </c>
      <c r="D3977" t="s">
        <v>232</v>
      </c>
    </row>
    <row r="3978" spans="1:4" x14ac:dyDescent="0.35">
      <c r="A3978" s="1">
        <v>1989</v>
      </c>
      <c r="B3978" t="s">
        <v>5</v>
      </c>
      <c r="C3978" t="s">
        <v>6</v>
      </c>
      <c r="D3978">
        <v>462787</v>
      </c>
    </row>
    <row r="3979" spans="1:4" x14ac:dyDescent="0.35">
      <c r="A3979" s="1">
        <v>1989</v>
      </c>
      <c r="B3979" t="s">
        <v>104</v>
      </c>
      <c r="C3979" t="s">
        <v>105</v>
      </c>
      <c r="D3979">
        <v>537196</v>
      </c>
    </row>
    <row r="3980" spans="1:4" x14ac:dyDescent="0.35">
      <c r="A3980" s="1">
        <v>1989</v>
      </c>
      <c r="B3980" t="s">
        <v>10</v>
      </c>
      <c r="C3980" t="s">
        <v>11</v>
      </c>
      <c r="D3980">
        <v>359683</v>
      </c>
    </row>
    <row r="3981" spans="1:4" x14ac:dyDescent="0.35">
      <c r="A3981" s="1">
        <v>1989</v>
      </c>
      <c r="B3981" t="s">
        <v>200</v>
      </c>
      <c r="C3981" t="s">
        <v>201</v>
      </c>
      <c r="D3981">
        <v>129159</v>
      </c>
    </row>
    <row r="3982" spans="1:4" x14ac:dyDescent="0.35">
      <c r="A3982" s="1">
        <v>1989</v>
      </c>
      <c r="B3982" t="s">
        <v>202</v>
      </c>
      <c r="C3982" t="s">
        <v>203</v>
      </c>
      <c r="D3982">
        <v>112138</v>
      </c>
    </row>
    <row r="3983" spans="1:4" x14ac:dyDescent="0.35">
      <c r="A3983" s="1">
        <v>1989</v>
      </c>
      <c r="B3983" t="s">
        <v>204</v>
      </c>
      <c r="C3983" t="s">
        <v>205</v>
      </c>
      <c r="D3983">
        <v>958441</v>
      </c>
    </row>
    <row r="3984" spans="1:4" x14ac:dyDescent="0.35">
      <c r="A3984" s="1">
        <v>1989</v>
      </c>
      <c r="B3984" t="s">
        <v>12</v>
      </c>
      <c r="C3984" t="s">
        <v>13</v>
      </c>
      <c r="D3984">
        <v>276660</v>
      </c>
    </row>
    <row r="3985" spans="1:4" x14ac:dyDescent="0.35">
      <c r="A3985" s="1">
        <v>1989</v>
      </c>
      <c r="B3985" t="s">
        <v>84</v>
      </c>
      <c r="C3985" t="s">
        <v>85</v>
      </c>
      <c r="D3985">
        <v>297758</v>
      </c>
    </row>
    <row r="3986" spans="1:4" x14ac:dyDescent="0.35">
      <c r="A3986" s="1">
        <v>1989</v>
      </c>
      <c r="B3986" t="s">
        <v>164</v>
      </c>
      <c r="C3986" t="s">
        <v>165</v>
      </c>
      <c r="D3986">
        <v>136459</v>
      </c>
    </row>
    <row r="3987" spans="1:4" x14ac:dyDescent="0.35">
      <c r="A3987" s="1">
        <v>1989</v>
      </c>
      <c r="B3987" t="s">
        <v>86</v>
      </c>
      <c r="C3987" t="s">
        <v>87</v>
      </c>
      <c r="D3987">
        <v>289404</v>
      </c>
    </row>
    <row r="3988" spans="1:4" x14ac:dyDescent="0.35">
      <c r="A3988" s="1">
        <v>1989</v>
      </c>
      <c r="B3988" t="s">
        <v>166</v>
      </c>
      <c r="C3988" t="s">
        <v>167</v>
      </c>
      <c r="D3988">
        <v>295915</v>
      </c>
    </row>
    <row r="3989" spans="1:4" x14ac:dyDescent="0.35">
      <c r="A3989" s="1">
        <v>1989</v>
      </c>
      <c r="B3989" t="s">
        <v>168</v>
      </c>
      <c r="C3989" t="s">
        <v>169</v>
      </c>
      <c r="D3989">
        <v>271586</v>
      </c>
    </row>
    <row r="3990" spans="1:4" x14ac:dyDescent="0.35">
      <c r="A3990" s="1">
        <v>1989</v>
      </c>
      <c r="B3990" t="s">
        <v>206</v>
      </c>
      <c r="C3990" t="s">
        <v>207</v>
      </c>
      <c r="D3990">
        <v>1755288</v>
      </c>
    </row>
    <row r="3991" spans="1:4" x14ac:dyDescent="0.35">
      <c r="A3991" s="1">
        <v>1989</v>
      </c>
      <c r="B3991" t="s">
        <v>130</v>
      </c>
      <c r="C3991" t="s">
        <v>131</v>
      </c>
      <c r="D3991">
        <v>614915</v>
      </c>
    </row>
    <row r="3992" spans="1:4" x14ac:dyDescent="0.35">
      <c r="A3992" s="1">
        <v>1989</v>
      </c>
      <c r="B3992" t="s">
        <v>14</v>
      </c>
      <c r="C3992" t="s">
        <v>15</v>
      </c>
      <c r="D3992">
        <v>159458</v>
      </c>
    </row>
    <row r="3993" spans="1:4" x14ac:dyDescent="0.35">
      <c r="A3993" s="1">
        <v>1989</v>
      </c>
      <c r="B3993" t="s">
        <v>140</v>
      </c>
      <c r="C3993" t="s">
        <v>141</v>
      </c>
      <c r="D3993">
        <v>342160</v>
      </c>
    </row>
    <row r="3994" spans="1:4" x14ac:dyDescent="0.35">
      <c r="A3994" s="1">
        <v>1989</v>
      </c>
      <c r="B3994" t="s">
        <v>142</v>
      </c>
      <c r="C3994" t="s">
        <v>143</v>
      </c>
      <c r="D3994">
        <v>525448</v>
      </c>
    </row>
    <row r="3995" spans="1:4" x14ac:dyDescent="0.35">
      <c r="A3995" s="1">
        <v>1989</v>
      </c>
      <c r="B3995" t="s">
        <v>56</v>
      </c>
      <c r="C3995" t="s">
        <v>57</v>
      </c>
      <c r="D3995">
        <v>321479</v>
      </c>
    </row>
    <row r="3996" spans="1:4" x14ac:dyDescent="0.35">
      <c r="A3996" s="1">
        <v>1989</v>
      </c>
      <c r="B3996" t="s">
        <v>144</v>
      </c>
      <c r="C3996" t="s">
        <v>145</v>
      </c>
      <c r="D3996">
        <v>238587</v>
      </c>
    </row>
    <row r="3997" spans="1:4" x14ac:dyDescent="0.35">
      <c r="A3997" s="1">
        <v>1989</v>
      </c>
      <c r="B3997" t="s">
        <v>68</v>
      </c>
      <c r="C3997" t="s">
        <v>69</v>
      </c>
      <c r="D3997">
        <v>116750</v>
      </c>
    </row>
    <row r="3998" spans="1:4" x14ac:dyDescent="0.35">
      <c r="A3998" s="1">
        <v>1989</v>
      </c>
      <c r="B3998" t="s">
        <v>70</v>
      </c>
      <c r="C3998" t="s">
        <v>71</v>
      </c>
      <c r="D3998">
        <v>131604</v>
      </c>
    </row>
    <row r="3999" spans="1:4" x14ac:dyDescent="0.35">
      <c r="A3999" s="1">
        <v>1989</v>
      </c>
      <c r="B3999" t="s">
        <v>32</v>
      </c>
      <c r="C3999" t="s">
        <v>219</v>
      </c>
      <c r="D3999">
        <v>491437</v>
      </c>
    </row>
    <row r="4000" spans="1:4" x14ac:dyDescent="0.35">
      <c r="A4000" s="1">
        <v>1989</v>
      </c>
      <c r="B4000" t="s">
        <v>48</v>
      </c>
      <c r="C4000" t="s">
        <v>220</v>
      </c>
      <c r="D4000">
        <v>538787</v>
      </c>
    </row>
    <row r="4001" spans="1:4" x14ac:dyDescent="0.35">
      <c r="A4001" s="1">
        <v>1989</v>
      </c>
      <c r="B4001" t="s">
        <v>146</v>
      </c>
      <c r="C4001" t="s">
        <v>147</v>
      </c>
      <c r="D4001">
        <v>132654</v>
      </c>
    </row>
    <row r="4002" spans="1:4" x14ac:dyDescent="0.35">
      <c r="A4002" s="1">
        <v>1989</v>
      </c>
      <c r="B4002" t="s">
        <v>148</v>
      </c>
      <c r="C4002" t="s">
        <v>149</v>
      </c>
      <c r="D4002">
        <v>385329</v>
      </c>
    </row>
    <row r="4003" spans="1:4" x14ac:dyDescent="0.35">
      <c r="A4003" s="1">
        <v>1989</v>
      </c>
      <c r="B4003" t="s">
        <v>34</v>
      </c>
      <c r="C4003" t="s">
        <v>35</v>
      </c>
      <c r="D4003">
        <v>484695</v>
      </c>
    </row>
    <row r="4004" spans="1:4" x14ac:dyDescent="0.35">
      <c r="A4004" s="1">
        <v>1989</v>
      </c>
      <c r="B4004" t="s">
        <v>16</v>
      </c>
      <c r="C4004" t="s">
        <v>17</v>
      </c>
      <c r="D4004">
        <v>411076</v>
      </c>
    </row>
    <row r="4005" spans="1:4" x14ac:dyDescent="0.35">
      <c r="A4005" s="1">
        <v>1989</v>
      </c>
      <c r="B4005" t="s">
        <v>132</v>
      </c>
      <c r="C4005" t="s">
        <v>133</v>
      </c>
      <c r="D4005">
        <v>506378</v>
      </c>
    </row>
    <row r="4006" spans="1:4" x14ac:dyDescent="0.35">
      <c r="A4006" s="1">
        <v>1989</v>
      </c>
      <c r="B4006" t="s">
        <v>58</v>
      </c>
      <c r="C4006" t="s">
        <v>59</v>
      </c>
      <c r="D4006">
        <v>391358</v>
      </c>
    </row>
    <row r="4007" spans="1:4" x14ac:dyDescent="0.35">
      <c r="A4007" s="1">
        <v>1989</v>
      </c>
      <c r="B4007" t="s">
        <v>50</v>
      </c>
      <c r="C4007" t="s">
        <v>51</v>
      </c>
      <c r="D4007">
        <v>836889</v>
      </c>
    </row>
    <row r="4008" spans="1:4" x14ac:dyDescent="0.35">
      <c r="A4008" s="1">
        <v>1989</v>
      </c>
      <c r="B4008" t="s">
        <v>170</v>
      </c>
      <c r="C4008" t="s">
        <v>171</v>
      </c>
      <c r="D4008">
        <v>576753</v>
      </c>
    </row>
    <row r="4009" spans="1:4" x14ac:dyDescent="0.35">
      <c r="A4009" s="1">
        <v>1989</v>
      </c>
      <c r="B4009" t="s">
        <v>172</v>
      </c>
      <c r="C4009" t="s">
        <v>173</v>
      </c>
      <c r="D4009">
        <v>910492</v>
      </c>
    </row>
    <row r="4010" spans="1:4" x14ac:dyDescent="0.35">
      <c r="A4010" s="1">
        <v>1989</v>
      </c>
      <c r="B4010" t="s">
        <v>174</v>
      </c>
      <c r="C4010" t="s">
        <v>175</v>
      </c>
      <c r="D4010">
        <v>174508</v>
      </c>
    </row>
    <row r="4011" spans="1:4" x14ac:dyDescent="0.35">
      <c r="A4011" s="1">
        <v>1989</v>
      </c>
      <c r="B4011" t="s">
        <v>150</v>
      </c>
      <c r="C4011" t="s">
        <v>151</v>
      </c>
      <c r="D4011">
        <v>1201218</v>
      </c>
    </row>
    <row r="4012" spans="1:4" x14ac:dyDescent="0.35">
      <c r="A4012" s="1">
        <v>1989</v>
      </c>
      <c r="B4012" t="s">
        <v>176</v>
      </c>
      <c r="C4012" t="s">
        <v>177</v>
      </c>
      <c r="D4012">
        <v>780752</v>
      </c>
    </row>
    <row r="4013" spans="1:4" x14ac:dyDescent="0.35">
      <c r="A4013" s="1">
        <v>1989</v>
      </c>
      <c r="B4013" t="s">
        <v>52</v>
      </c>
      <c r="C4013" t="s">
        <v>53</v>
      </c>
      <c r="D4013">
        <v>791255</v>
      </c>
    </row>
    <row r="4014" spans="1:4" x14ac:dyDescent="0.35">
      <c r="A4014" s="1">
        <v>1989</v>
      </c>
      <c r="B4014" t="s">
        <v>60</v>
      </c>
      <c r="C4014" t="s">
        <v>61</v>
      </c>
      <c r="D4014">
        <v>238590</v>
      </c>
    </row>
    <row r="4015" spans="1:4" x14ac:dyDescent="0.35">
      <c r="A4015" s="1">
        <v>1989</v>
      </c>
      <c r="B4015" t="s">
        <v>62</v>
      </c>
      <c r="C4015" t="s">
        <v>63</v>
      </c>
      <c r="D4015">
        <v>526280</v>
      </c>
    </row>
    <row r="4016" spans="1:4" x14ac:dyDescent="0.35">
      <c r="A4016" s="1">
        <v>1989</v>
      </c>
      <c r="B4016" t="s">
        <v>18</v>
      </c>
      <c r="C4016" t="s">
        <v>19</v>
      </c>
      <c r="D4016">
        <v>1001823</v>
      </c>
    </row>
    <row r="4017" spans="1:4" x14ac:dyDescent="0.35">
      <c r="A4017" s="1">
        <v>1989</v>
      </c>
      <c r="B4017" t="s">
        <v>36</v>
      </c>
      <c r="C4017" t="s">
        <v>37</v>
      </c>
      <c r="D4017">
        <v>248002</v>
      </c>
    </row>
    <row r="4018" spans="1:4" x14ac:dyDescent="0.35">
      <c r="A4018" s="1">
        <v>1989</v>
      </c>
      <c r="B4018" t="s">
        <v>152</v>
      </c>
      <c r="C4018" t="s">
        <v>153</v>
      </c>
      <c r="D4018">
        <v>309431</v>
      </c>
    </row>
    <row r="4019" spans="1:4" x14ac:dyDescent="0.35">
      <c r="A4019" s="1">
        <v>1989</v>
      </c>
      <c r="B4019" t="s">
        <v>64</v>
      </c>
      <c r="C4019" t="s">
        <v>65</v>
      </c>
      <c r="D4019">
        <v>304735</v>
      </c>
    </row>
    <row r="4020" spans="1:4" x14ac:dyDescent="0.35">
      <c r="A4020" s="1">
        <v>1989</v>
      </c>
      <c r="B4020" t="s">
        <v>20</v>
      </c>
      <c r="C4020" t="s">
        <v>21</v>
      </c>
      <c r="D4020">
        <v>744176</v>
      </c>
    </row>
    <row r="4021" spans="1:4" x14ac:dyDescent="0.35">
      <c r="A4021" s="1">
        <v>1989</v>
      </c>
      <c r="B4021" t="s">
        <v>22</v>
      </c>
      <c r="C4021" t="s">
        <v>23</v>
      </c>
      <c r="D4021">
        <v>206648</v>
      </c>
    </row>
    <row r="4022" spans="1:4" x14ac:dyDescent="0.35">
      <c r="A4022" s="1">
        <v>1989</v>
      </c>
      <c r="B4022" t="s">
        <v>190</v>
      </c>
      <c r="C4022" t="s">
        <v>191</v>
      </c>
      <c r="D4022">
        <v>1044750</v>
      </c>
    </row>
    <row r="4023" spans="1:4" x14ac:dyDescent="0.35">
      <c r="A4023" s="1">
        <v>1989</v>
      </c>
      <c r="B4023" t="s">
        <v>66</v>
      </c>
      <c r="C4023" t="s">
        <v>67</v>
      </c>
      <c r="D4023">
        <v>574008</v>
      </c>
    </row>
    <row r="4024" spans="1:4" x14ac:dyDescent="0.35">
      <c r="A4024" s="1">
        <v>1989</v>
      </c>
      <c r="B4024" t="s">
        <v>178</v>
      </c>
      <c r="C4024" t="s">
        <v>179</v>
      </c>
      <c r="D4024">
        <v>155606</v>
      </c>
    </row>
    <row r="4025" spans="1:4" x14ac:dyDescent="0.35">
      <c r="A4025" s="1">
        <v>1989</v>
      </c>
      <c r="B4025" t="s">
        <v>154</v>
      </c>
      <c r="C4025" t="s">
        <v>155</v>
      </c>
      <c r="D4025">
        <v>305022</v>
      </c>
    </row>
    <row r="4026" spans="1:4" x14ac:dyDescent="0.35">
      <c r="A4026" s="1">
        <v>1989</v>
      </c>
      <c r="B4026" t="s">
        <v>180</v>
      </c>
      <c r="C4026" t="s">
        <v>181</v>
      </c>
      <c r="D4026">
        <v>73167</v>
      </c>
    </row>
    <row r="4027" spans="1:4" x14ac:dyDescent="0.35">
      <c r="A4027" s="1">
        <v>1989</v>
      </c>
      <c r="B4027" t="s">
        <v>192</v>
      </c>
      <c r="C4027" t="s">
        <v>193</v>
      </c>
      <c r="D4027">
        <v>702281</v>
      </c>
    </row>
    <row r="4028" spans="1:4" x14ac:dyDescent="0.35">
      <c r="A4028" s="1">
        <v>1989</v>
      </c>
      <c r="B4028" t="s">
        <v>134</v>
      </c>
      <c r="C4028" t="s">
        <v>135</v>
      </c>
      <c r="D4028">
        <v>478065</v>
      </c>
    </row>
    <row r="4029" spans="1:4" x14ac:dyDescent="0.35">
      <c r="A4029" s="1">
        <v>1989</v>
      </c>
      <c r="B4029" t="s">
        <v>88</v>
      </c>
      <c r="C4029" t="s">
        <v>89</v>
      </c>
      <c r="D4029">
        <v>556536</v>
      </c>
    </row>
    <row r="4030" spans="1:4" x14ac:dyDescent="0.35">
      <c r="A4030" s="1">
        <v>1989</v>
      </c>
      <c r="B4030" t="s">
        <v>90</v>
      </c>
      <c r="C4030" t="s">
        <v>91</v>
      </c>
      <c r="D4030">
        <v>205311</v>
      </c>
    </row>
    <row r="4031" spans="1:4" x14ac:dyDescent="0.35">
      <c r="A4031" s="1">
        <v>1989</v>
      </c>
      <c r="B4031" t="s">
        <v>194</v>
      </c>
      <c r="C4031" t="s">
        <v>195</v>
      </c>
      <c r="D4031">
        <v>277323</v>
      </c>
    </row>
    <row r="4032" spans="1:4" x14ac:dyDescent="0.35">
      <c r="A4032" s="1">
        <v>1989</v>
      </c>
      <c r="B4032" t="s">
        <v>92</v>
      </c>
      <c r="C4032" t="s">
        <v>93</v>
      </c>
      <c r="D4032">
        <v>713281</v>
      </c>
    </row>
    <row r="4033" spans="1:4" x14ac:dyDescent="0.35">
      <c r="A4033" s="1">
        <v>1989</v>
      </c>
      <c r="B4033" t="s">
        <v>94</v>
      </c>
      <c r="C4033" t="s">
        <v>95</v>
      </c>
      <c r="D4033">
        <v>197165</v>
      </c>
    </row>
    <row r="4034" spans="1:4" x14ac:dyDescent="0.35">
      <c r="A4034" s="1">
        <v>1989</v>
      </c>
      <c r="B4034" t="s">
        <v>54</v>
      </c>
      <c r="C4034" t="s">
        <v>55</v>
      </c>
      <c r="D4034">
        <v>615950</v>
      </c>
    </row>
    <row r="4035" spans="1:4" x14ac:dyDescent="0.35">
      <c r="A4035" s="1">
        <v>1989</v>
      </c>
      <c r="B4035" t="s">
        <v>96</v>
      </c>
      <c r="C4035" t="s">
        <v>97</v>
      </c>
      <c r="D4035">
        <v>1011886</v>
      </c>
    </row>
    <row r="4036" spans="1:4" x14ac:dyDescent="0.35">
      <c r="A4036" s="1">
        <v>1989</v>
      </c>
      <c r="B4036" t="s">
        <v>38</v>
      </c>
      <c r="C4036" t="s">
        <v>39</v>
      </c>
      <c r="D4036">
        <v>234316</v>
      </c>
    </row>
    <row r="4037" spans="1:4" x14ac:dyDescent="0.35">
      <c r="A4037" s="1">
        <v>1989</v>
      </c>
      <c r="B4037" t="s">
        <v>106</v>
      </c>
      <c r="C4037" t="s">
        <v>107</v>
      </c>
      <c r="D4037">
        <v>2523977</v>
      </c>
    </row>
    <row r="4038" spans="1:4" x14ac:dyDescent="0.35">
      <c r="A4038" s="1">
        <v>1989</v>
      </c>
      <c r="B4038" t="s">
        <v>108</v>
      </c>
      <c r="C4038" t="s">
        <v>109</v>
      </c>
      <c r="D4038">
        <v>715839</v>
      </c>
    </row>
    <row r="4039" spans="1:4" x14ac:dyDescent="0.35">
      <c r="A4039" s="1">
        <v>1989</v>
      </c>
      <c r="B4039" t="s">
        <v>136</v>
      </c>
      <c r="C4039" t="s">
        <v>137</v>
      </c>
      <c r="D4039">
        <v>293942</v>
      </c>
    </row>
    <row r="4040" spans="1:4" x14ac:dyDescent="0.35">
      <c r="A4040" s="1">
        <v>1989</v>
      </c>
      <c r="B4040" t="s">
        <v>110</v>
      </c>
      <c r="C4040" t="s">
        <v>111</v>
      </c>
      <c r="D4040">
        <v>1426330</v>
      </c>
    </row>
    <row r="4041" spans="1:4" x14ac:dyDescent="0.35">
      <c r="A4041" s="1">
        <v>1989</v>
      </c>
      <c r="B4041" t="s">
        <v>24</v>
      </c>
      <c r="C4041" t="s">
        <v>25</v>
      </c>
      <c r="D4041">
        <v>598330</v>
      </c>
    </row>
    <row r="4042" spans="1:4" x14ac:dyDescent="0.35">
      <c r="A4042" s="1">
        <v>1989</v>
      </c>
      <c r="B4042" t="s">
        <v>156</v>
      </c>
      <c r="C4042" t="s">
        <v>157</v>
      </c>
      <c r="D4042">
        <v>575389</v>
      </c>
    </row>
    <row r="4043" spans="1:4" x14ac:dyDescent="0.35">
      <c r="A4043" s="1">
        <v>1989</v>
      </c>
      <c r="B4043" t="s">
        <v>182</v>
      </c>
      <c r="C4043" t="s">
        <v>183</v>
      </c>
      <c r="D4043">
        <v>225386</v>
      </c>
    </row>
    <row r="4044" spans="1:4" x14ac:dyDescent="0.35">
      <c r="A4044" s="1">
        <v>1989</v>
      </c>
      <c r="B4044" t="s">
        <v>184</v>
      </c>
      <c r="C4044" t="s">
        <v>185</v>
      </c>
      <c r="D4044">
        <v>359462</v>
      </c>
    </row>
    <row r="4045" spans="1:4" x14ac:dyDescent="0.35">
      <c r="A4045" s="1">
        <v>1989</v>
      </c>
      <c r="B4045" t="s">
        <v>98</v>
      </c>
      <c r="C4045" t="s">
        <v>99</v>
      </c>
      <c r="D4045">
        <v>947414</v>
      </c>
    </row>
    <row r="4046" spans="1:4" x14ac:dyDescent="0.35">
      <c r="A4046" s="1">
        <v>1989</v>
      </c>
      <c r="B4046" t="s">
        <v>100</v>
      </c>
      <c r="C4046" t="s">
        <v>101</v>
      </c>
      <c r="D4046">
        <v>668461</v>
      </c>
    </row>
    <row r="4047" spans="1:4" x14ac:dyDescent="0.35">
      <c r="A4047" s="1">
        <v>1989</v>
      </c>
      <c r="B4047" t="s">
        <v>26</v>
      </c>
      <c r="C4047" t="s">
        <v>27</v>
      </c>
      <c r="D4047">
        <v>1493355</v>
      </c>
    </row>
    <row r="4048" spans="1:4" x14ac:dyDescent="0.35">
      <c r="A4048" s="1">
        <v>1989</v>
      </c>
      <c r="B4048" t="s">
        <v>40</v>
      </c>
      <c r="C4048" t="s">
        <v>41</v>
      </c>
      <c r="D4048">
        <v>230208</v>
      </c>
    </row>
    <row r="4049" spans="1:4" x14ac:dyDescent="0.35">
      <c r="A4049" s="1">
        <v>1989</v>
      </c>
      <c r="B4049" t="s">
        <v>42</v>
      </c>
      <c r="C4049" t="s">
        <v>43</v>
      </c>
      <c r="D4049">
        <v>561535</v>
      </c>
    </row>
    <row r="4050" spans="1:4" x14ac:dyDescent="0.35">
      <c r="A4050" s="1">
        <v>1989</v>
      </c>
      <c r="B4050" t="s">
        <v>196</v>
      </c>
      <c r="C4050" t="s">
        <v>197</v>
      </c>
      <c r="D4050">
        <v>512930</v>
      </c>
    </row>
    <row r="4051" spans="1:4" x14ac:dyDescent="0.35">
      <c r="A4051" s="1">
        <v>1989</v>
      </c>
      <c r="B4051" t="s">
        <v>28</v>
      </c>
      <c r="C4051" t="s">
        <v>29</v>
      </c>
      <c r="D4051">
        <v>348361</v>
      </c>
    </row>
    <row r="4052" spans="1:4" x14ac:dyDescent="0.35">
      <c r="A4052" s="1">
        <v>1989</v>
      </c>
      <c r="B4052" t="s">
        <v>30</v>
      </c>
      <c r="C4052" t="s">
        <v>31</v>
      </c>
      <c r="D4052">
        <v>548825</v>
      </c>
    </row>
    <row r="4053" spans="1:4" x14ac:dyDescent="0.35">
      <c r="A4053" s="1">
        <v>1989</v>
      </c>
      <c r="B4053" t="s">
        <v>114</v>
      </c>
      <c r="C4053" t="s">
        <v>115</v>
      </c>
      <c r="D4053">
        <v>2156455</v>
      </c>
    </row>
    <row r="4054" spans="1:4" x14ac:dyDescent="0.35">
      <c r="A4054" s="1">
        <v>1989</v>
      </c>
      <c r="B4054" t="s">
        <v>138</v>
      </c>
      <c r="C4054" t="s">
        <v>139</v>
      </c>
      <c r="D4054">
        <v>1220644</v>
      </c>
    </row>
    <row r="4055" spans="1:4" x14ac:dyDescent="0.35">
      <c r="A4055" s="1">
        <v>1989</v>
      </c>
      <c r="B4055" t="s">
        <v>116</v>
      </c>
      <c r="C4055" t="s">
        <v>117</v>
      </c>
      <c r="D4055">
        <v>1048283</v>
      </c>
    </row>
    <row r="4056" spans="1:4" x14ac:dyDescent="0.35">
      <c r="A4056" s="1">
        <v>1989</v>
      </c>
      <c r="B4056" t="s">
        <v>118</v>
      </c>
      <c r="C4056" t="s">
        <v>119</v>
      </c>
      <c r="D4056">
        <v>1290759</v>
      </c>
    </row>
    <row r="4057" spans="1:4" x14ac:dyDescent="0.35">
      <c r="A4057" s="1">
        <v>1989</v>
      </c>
      <c r="B4057" t="s">
        <v>158</v>
      </c>
      <c r="C4057" t="s">
        <v>159</v>
      </c>
      <c r="D4057">
        <v>345697</v>
      </c>
    </row>
    <row r="4058" spans="1:4" x14ac:dyDescent="0.35">
      <c r="A4058" s="1">
        <v>1989</v>
      </c>
      <c r="B4058" t="s">
        <v>112</v>
      </c>
      <c r="C4058" t="s">
        <v>113</v>
      </c>
      <c r="D4058">
        <v>547749</v>
      </c>
    </row>
    <row r="4059" spans="1:4" x14ac:dyDescent="0.35">
      <c r="A4059" s="1">
        <v>1989</v>
      </c>
      <c r="B4059" t="s">
        <v>186</v>
      </c>
      <c r="C4059" t="s">
        <v>187</v>
      </c>
      <c r="D4059">
        <v>342481</v>
      </c>
    </row>
    <row r="4060" spans="1:4" x14ac:dyDescent="0.35">
      <c r="A4060" s="1">
        <v>1989</v>
      </c>
      <c r="B4060" t="s">
        <v>188</v>
      </c>
      <c r="C4060" t="s">
        <v>189</v>
      </c>
      <c r="D4060">
        <v>198815</v>
      </c>
    </row>
    <row r="4061" spans="1:4" x14ac:dyDescent="0.35">
      <c r="A4061" s="1">
        <v>1989</v>
      </c>
      <c r="B4061" t="s">
        <v>208</v>
      </c>
      <c r="C4061" t="s">
        <v>209</v>
      </c>
      <c r="D4061">
        <v>799602</v>
      </c>
    </row>
    <row r="4062" spans="1:4" x14ac:dyDescent="0.35">
      <c r="A4062" s="1">
        <v>1989</v>
      </c>
      <c r="B4062" t="s">
        <v>210</v>
      </c>
      <c r="C4062" t="s">
        <v>211</v>
      </c>
      <c r="D4062">
        <v>461001</v>
      </c>
    </row>
    <row r="4063" spans="1:4" x14ac:dyDescent="0.35">
      <c r="A4063" s="1">
        <v>1989</v>
      </c>
      <c r="B4063" t="s">
        <v>198</v>
      </c>
      <c r="C4063" t="s">
        <v>199</v>
      </c>
      <c r="D4063">
        <v>505801</v>
      </c>
    </row>
    <row r="4064" spans="1:4" x14ac:dyDescent="0.35">
      <c r="A4064" s="1">
        <v>1989</v>
      </c>
      <c r="B4064" t="s">
        <v>160</v>
      </c>
      <c r="C4064" t="s">
        <v>161</v>
      </c>
      <c r="D4064">
        <v>379140</v>
      </c>
    </row>
    <row r="4065" spans="1:4" x14ac:dyDescent="0.35">
      <c r="A4065" s="1">
        <v>1989</v>
      </c>
      <c r="B4065" t="s">
        <v>162</v>
      </c>
      <c r="C4065" t="s">
        <v>163</v>
      </c>
      <c r="D4065">
        <v>354197</v>
      </c>
    </row>
    <row r="4066" spans="1:4" x14ac:dyDescent="0.35">
      <c r="A4066" s="1">
        <v>1989</v>
      </c>
      <c r="B4066" t="s">
        <v>102</v>
      </c>
      <c r="C4066" t="s">
        <v>103</v>
      </c>
      <c r="D4066">
        <v>388056</v>
      </c>
    </row>
    <row r="4067" spans="1:4" x14ac:dyDescent="0.35">
      <c r="A4067" s="1">
        <v>1989</v>
      </c>
      <c r="B4067" t="s">
        <v>44</v>
      </c>
      <c r="C4067" t="s">
        <v>45</v>
      </c>
      <c r="D4067">
        <v>321368</v>
      </c>
    </row>
    <row r="4068" spans="1:4" x14ac:dyDescent="0.35">
      <c r="A4068" s="1">
        <v>1989</v>
      </c>
      <c r="B4068" t="s">
        <v>46</v>
      </c>
      <c r="C4068" t="s">
        <v>221</v>
      </c>
      <c r="D4068">
        <v>133958</v>
      </c>
    </row>
    <row r="4069" spans="1:4" x14ac:dyDescent="0.35">
      <c r="A4069" s="1">
        <v>1989</v>
      </c>
      <c r="B4069" t="s">
        <v>120</v>
      </c>
      <c r="C4069" t="s">
        <v>121</v>
      </c>
      <c r="D4069">
        <v>1069797</v>
      </c>
    </row>
    <row r="4070" spans="1:4" x14ac:dyDescent="0.35">
      <c r="A4070" s="1">
        <v>1989</v>
      </c>
      <c r="B4070" t="s">
        <v>122</v>
      </c>
      <c r="C4070" t="s">
        <v>222</v>
      </c>
      <c r="D4070">
        <v>1390977</v>
      </c>
    </row>
    <row r="4071" spans="1:4" x14ac:dyDescent="0.35">
      <c r="A4071" s="1">
        <v>1989</v>
      </c>
      <c r="B4071" t="s">
        <v>124</v>
      </c>
      <c r="C4071" t="s">
        <v>125</v>
      </c>
      <c r="D4071">
        <v>1372768</v>
      </c>
    </row>
    <row r="4072" spans="1:4" x14ac:dyDescent="0.35">
      <c r="A4072" s="1">
        <v>1989</v>
      </c>
      <c r="B4072" t="s">
        <v>126</v>
      </c>
      <c r="C4072" t="s">
        <v>127</v>
      </c>
      <c r="D4072">
        <v>1211985</v>
      </c>
    </row>
    <row r="4073" spans="1:4" x14ac:dyDescent="0.35">
      <c r="A4073" s="1">
        <v>1989</v>
      </c>
      <c r="B4073" t="s">
        <v>128</v>
      </c>
      <c r="C4073" t="s">
        <v>129</v>
      </c>
      <c r="D4073">
        <v>1029725</v>
      </c>
    </row>
    <row r="4074" spans="1:4" x14ac:dyDescent="0.35">
      <c r="A4074" s="1">
        <v>1989</v>
      </c>
      <c r="B4074" t="s">
        <v>257</v>
      </c>
      <c r="D4074">
        <v>56269810</v>
      </c>
    </row>
    <row r="4075" spans="1:4" x14ac:dyDescent="0.35">
      <c r="A4075" s="1">
        <v>1989</v>
      </c>
    </row>
    <row r="4076" spans="1:4" x14ac:dyDescent="0.35">
      <c r="A4076" s="1">
        <v>1989</v>
      </c>
      <c r="B4076" t="s">
        <v>240</v>
      </c>
    </row>
    <row r="4077" spans="1:4" x14ac:dyDescent="0.35">
      <c r="A4077" s="1">
        <v>1989</v>
      </c>
      <c r="B4077" t="s">
        <v>278</v>
      </c>
    </row>
    <row r="4078" spans="1:4" x14ac:dyDescent="0.35">
      <c r="A4078" s="1">
        <v>1988</v>
      </c>
      <c r="B4078" t="s">
        <v>251</v>
      </c>
    </row>
    <row r="4079" spans="1:4" x14ac:dyDescent="0.35">
      <c r="A4079" s="1">
        <v>1988</v>
      </c>
      <c r="B4079" t="s">
        <v>279</v>
      </c>
    </row>
    <row r="4080" spans="1:4" x14ac:dyDescent="0.35">
      <c r="A4080" s="1">
        <v>1988</v>
      </c>
    </row>
    <row r="4081" spans="1:4" x14ac:dyDescent="0.35">
      <c r="A4081" s="1">
        <v>1988</v>
      </c>
      <c r="B4081" t="s">
        <v>231</v>
      </c>
    </row>
    <row r="4082" spans="1:4" x14ac:dyDescent="0.35">
      <c r="A4082" s="1">
        <v>1988</v>
      </c>
      <c r="D4082" t="s">
        <v>232</v>
      </c>
    </row>
    <row r="4083" spans="1:4" x14ac:dyDescent="0.35">
      <c r="A4083" s="1">
        <v>1988</v>
      </c>
      <c r="B4083" t="s">
        <v>5</v>
      </c>
      <c r="C4083" t="s">
        <v>6</v>
      </c>
      <c r="D4083">
        <v>456284</v>
      </c>
    </row>
    <row r="4084" spans="1:4" x14ac:dyDescent="0.35">
      <c r="A4084" s="1">
        <v>1988</v>
      </c>
      <c r="B4084" t="s">
        <v>104</v>
      </c>
      <c r="C4084" t="s">
        <v>105</v>
      </c>
      <c r="D4084">
        <v>536875</v>
      </c>
    </row>
    <row r="4085" spans="1:4" x14ac:dyDescent="0.35">
      <c r="A4085" s="1">
        <v>1988</v>
      </c>
      <c r="B4085" t="s">
        <v>10</v>
      </c>
      <c r="C4085" t="s">
        <v>11</v>
      </c>
      <c r="D4085">
        <v>361105</v>
      </c>
    </row>
    <row r="4086" spans="1:4" x14ac:dyDescent="0.35">
      <c r="A4086" s="1">
        <v>1988</v>
      </c>
      <c r="B4086" t="s">
        <v>200</v>
      </c>
      <c r="C4086" t="s">
        <v>201</v>
      </c>
      <c r="D4086">
        <v>127578</v>
      </c>
    </row>
    <row r="4087" spans="1:4" x14ac:dyDescent="0.35">
      <c r="A4087" s="1">
        <v>1988</v>
      </c>
      <c r="B4087" t="s">
        <v>202</v>
      </c>
      <c r="C4087" t="s">
        <v>203</v>
      </c>
      <c r="D4087">
        <v>111120</v>
      </c>
    </row>
    <row r="4088" spans="1:4" x14ac:dyDescent="0.35">
      <c r="A4088" s="1">
        <v>1988</v>
      </c>
      <c r="B4088" t="s">
        <v>204</v>
      </c>
      <c r="C4088" t="s">
        <v>205</v>
      </c>
      <c r="D4088">
        <v>946852</v>
      </c>
    </row>
    <row r="4089" spans="1:4" x14ac:dyDescent="0.35">
      <c r="A4089" s="1">
        <v>1988</v>
      </c>
      <c r="B4089" t="s">
        <v>12</v>
      </c>
      <c r="C4089" t="s">
        <v>13</v>
      </c>
      <c r="D4089">
        <v>276328</v>
      </c>
    </row>
    <row r="4090" spans="1:4" x14ac:dyDescent="0.35">
      <c r="A4090" s="1">
        <v>1988</v>
      </c>
      <c r="B4090" t="s">
        <v>84</v>
      </c>
      <c r="C4090" t="s">
        <v>85</v>
      </c>
      <c r="D4090">
        <v>298494</v>
      </c>
    </row>
    <row r="4091" spans="1:4" x14ac:dyDescent="0.35">
      <c r="A4091" s="1">
        <v>1988</v>
      </c>
      <c r="B4091" t="s">
        <v>164</v>
      </c>
      <c r="C4091" t="s">
        <v>165</v>
      </c>
      <c r="D4091">
        <v>136254</v>
      </c>
    </row>
    <row r="4092" spans="1:4" x14ac:dyDescent="0.35">
      <c r="A4092" s="1">
        <v>1988</v>
      </c>
      <c r="B4092" t="s">
        <v>86</v>
      </c>
      <c r="C4092" t="s">
        <v>87</v>
      </c>
      <c r="D4092">
        <v>289369</v>
      </c>
    </row>
    <row r="4093" spans="1:4" x14ac:dyDescent="0.35">
      <c r="A4093" s="1">
        <v>1988</v>
      </c>
      <c r="B4093" t="s">
        <v>166</v>
      </c>
      <c r="C4093" t="s">
        <v>167</v>
      </c>
      <c r="D4093">
        <v>293526</v>
      </c>
    </row>
    <row r="4094" spans="1:4" x14ac:dyDescent="0.35">
      <c r="A4094" s="1">
        <v>1988</v>
      </c>
      <c r="B4094" t="s">
        <v>168</v>
      </c>
      <c r="C4094" t="s">
        <v>169</v>
      </c>
      <c r="D4094">
        <v>272600</v>
      </c>
    </row>
    <row r="4095" spans="1:4" x14ac:dyDescent="0.35">
      <c r="A4095" s="1">
        <v>1988</v>
      </c>
      <c r="B4095" t="s">
        <v>206</v>
      </c>
      <c r="C4095" t="s">
        <v>207</v>
      </c>
      <c r="D4095">
        <v>1750767</v>
      </c>
    </row>
    <row r="4096" spans="1:4" x14ac:dyDescent="0.35">
      <c r="A4096" s="1">
        <v>1988</v>
      </c>
      <c r="B4096" t="s">
        <v>130</v>
      </c>
      <c r="C4096" t="s">
        <v>131</v>
      </c>
      <c r="D4096">
        <v>611434</v>
      </c>
    </row>
    <row r="4097" spans="1:4" x14ac:dyDescent="0.35">
      <c r="A4097" s="1">
        <v>1988</v>
      </c>
      <c r="B4097" t="s">
        <v>14</v>
      </c>
      <c r="C4097" t="s">
        <v>15</v>
      </c>
      <c r="D4097">
        <v>160064</v>
      </c>
    </row>
    <row r="4098" spans="1:4" x14ac:dyDescent="0.35">
      <c r="A4098" s="1">
        <v>1988</v>
      </c>
      <c r="B4098" t="s">
        <v>140</v>
      </c>
      <c r="C4098" t="s">
        <v>141</v>
      </c>
      <c r="D4098">
        <v>342096</v>
      </c>
    </row>
    <row r="4099" spans="1:4" x14ac:dyDescent="0.35">
      <c r="A4099" s="1">
        <v>1988</v>
      </c>
      <c r="B4099" t="s">
        <v>142</v>
      </c>
      <c r="C4099" t="s">
        <v>143</v>
      </c>
      <c r="D4099">
        <v>523761</v>
      </c>
    </row>
    <row r="4100" spans="1:4" x14ac:dyDescent="0.35">
      <c r="A4100" s="1">
        <v>1988</v>
      </c>
      <c r="B4100" t="s">
        <v>56</v>
      </c>
      <c r="C4100" t="s">
        <v>57</v>
      </c>
      <c r="D4100">
        <v>321137</v>
      </c>
    </row>
    <row r="4101" spans="1:4" x14ac:dyDescent="0.35">
      <c r="A4101" s="1">
        <v>1988</v>
      </c>
      <c r="B4101" t="s">
        <v>144</v>
      </c>
      <c r="C4101" t="s">
        <v>145</v>
      </c>
      <c r="D4101">
        <v>239070</v>
      </c>
    </row>
    <row r="4102" spans="1:4" x14ac:dyDescent="0.35">
      <c r="A4102" s="1">
        <v>1988</v>
      </c>
      <c r="B4102" t="s">
        <v>68</v>
      </c>
      <c r="C4102" t="s">
        <v>69</v>
      </c>
      <c r="D4102">
        <v>115580</v>
      </c>
    </row>
    <row r="4103" spans="1:4" x14ac:dyDescent="0.35">
      <c r="A4103" s="1">
        <v>1988</v>
      </c>
      <c r="B4103" t="s">
        <v>70</v>
      </c>
      <c r="C4103" t="s">
        <v>71</v>
      </c>
      <c r="D4103">
        <v>131595</v>
      </c>
    </row>
    <row r="4104" spans="1:4" x14ac:dyDescent="0.35">
      <c r="A4104" s="1">
        <v>1988</v>
      </c>
      <c r="B4104" t="s">
        <v>32</v>
      </c>
      <c r="C4104" t="s">
        <v>219</v>
      </c>
      <c r="D4104">
        <v>489028</v>
      </c>
    </row>
    <row r="4105" spans="1:4" x14ac:dyDescent="0.35">
      <c r="A4105" s="1">
        <v>1988</v>
      </c>
      <c r="B4105" t="s">
        <v>48</v>
      </c>
      <c r="C4105" t="s">
        <v>220</v>
      </c>
      <c r="D4105">
        <v>538626</v>
      </c>
    </row>
    <row r="4106" spans="1:4" x14ac:dyDescent="0.35">
      <c r="A4106" s="1">
        <v>1988</v>
      </c>
      <c r="B4106" t="s">
        <v>146</v>
      </c>
      <c r="C4106" t="s">
        <v>147</v>
      </c>
      <c r="D4106">
        <v>133680</v>
      </c>
    </row>
    <row r="4107" spans="1:4" x14ac:dyDescent="0.35">
      <c r="A4107" s="1">
        <v>1988</v>
      </c>
      <c r="B4107" t="s">
        <v>148</v>
      </c>
      <c r="C4107" t="s">
        <v>149</v>
      </c>
      <c r="D4107">
        <v>384158</v>
      </c>
    </row>
    <row r="4108" spans="1:4" x14ac:dyDescent="0.35">
      <c r="A4108" s="1">
        <v>1988</v>
      </c>
      <c r="B4108" t="s">
        <v>34</v>
      </c>
      <c r="C4108" t="s">
        <v>35</v>
      </c>
      <c r="D4108">
        <v>484068</v>
      </c>
    </row>
    <row r="4109" spans="1:4" x14ac:dyDescent="0.35">
      <c r="A4109" s="1">
        <v>1988</v>
      </c>
      <c r="B4109" t="s">
        <v>16</v>
      </c>
      <c r="C4109" t="s">
        <v>17</v>
      </c>
      <c r="D4109">
        <v>409383</v>
      </c>
    </row>
    <row r="4110" spans="1:4" x14ac:dyDescent="0.35">
      <c r="A4110" s="1">
        <v>1988</v>
      </c>
      <c r="B4110" t="s">
        <v>132</v>
      </c>
      <c r="C4110" t="s">
        <v>133</v>
      </c>
      <c r="D4110">
        <v>499720</v>
      </c>
    </row>
    <row r="4111" spans="1:4" x14ac:dyDescent="0.35">
      <c r="A4111" s="1">
        <v>1988</v>
      </c>
      <c r="B4111" t="s">
        <v>58</v>
      </c>
      <c r="C4111" t="s">
        <v>59</v>
      </c>
      <c r="D4111">
        <v>387184</v>
      </c>
    </row>
    <row r="4112" spans="1:4" x14ac:dyDescent="0.35">
      <c r="A4112" s="1">
        <v>1988</v>
      </c>
      <c r="B4112" t="s">
        <v>50</v>
      </c>
      <c r="C4112" t="s">
        <v>51</v>
      </c>
      <c r="D4112">
        <v>835457</v>
      </c>
    </row>
    <row r="4113" spans="1:4" x14ac:dyDescent="0.35">
      <c r="A4113" s="1">
        <v>1988</v>
      </c>
      <c r="B4113" t="s">
        <v>170</v>
      </c>
      <c r="C4113" t="s">
        <v>171</v>
      </c>
      <c r="D4113">
        <v>569667</v>
      </c>
    </row>
    <row r="4114" spans="1:4" x14ac:dyDescent="0.35">
      <c r="A4114" s="1">
        <v>1988</v>
      </c>
      <c r="B4114" t="s">
        <v>172</v>
      </c>
      <c r="C4114" t="s">
        <v>173</v>
      </c>
      <c r="D4114">
        <v>897127</v>
      </c>
    </row>
    <row r="4115" spans="1:4" x14ac:dyDescent="0.35">
      <c r="A4115" s="1">
        <v>1988</v>
      </c>
      <c r="B4115" t="s">
        <v>174</v>
      </c>
      <c r="C4115" t="s">
        <v>175</v>
      </c>
      <c r="D4115">
        <v>174461</v>
      </c>
    </row>
    <row r="4116" spans="1:4" x14ac:dyDescent="0.35">
      <c r="A4116" s="1">
        <v>1988</v>
      </c>
      <c r="B4116" t="s">
        <v>150</v>
      </c>
      <c r="C4116" t="s">
        <v>151</v>
      </c>
      <c r="D4116">
        <v>1190415</v>
      </c>
    </row>
    <row r="4117" spans="1:4" x14ac:dyDescent="0.35">
      <c r="A4117" s="1">
        <v>1988</v>
      </c>
      <c r="B4117" t="s">
        <v>176</v>
      </c>
      <c r="C4117" t="s">
        <v>177</v>
      </c>
      <c r="D4117">
        <v>769016</v>
      </c>
    </row>
    <row r="4118" spans="1:4" x14ac:dyDescent="0.35">
      <c r="A4118" s="1">
        <v>1988</v>
      </c>
      <c r="B4118" t="s">
        <v>52</v>
      </c>
      <c r="C4118" t="s">
        <v>53</v>
      </c>
      <c r="D4118">
        <v>784750</v>
      </c>
    </row>
    <row r="4119" spans="1:4" x14ac:dyDescent="0.35">
      <c r="A4119" s="1">
        <v>1988</v>
      </c>
      <c r="B4119" t="s">
        <v>60</v>
      </c>
      <c r="C4119" t="s">
        <v>61</v>
      </c>
      <c r="D4119">
        <v>239136</v>
      </c>
    </row>
    <row r="4120" spans="1:4" x14ac:dyDescent="0.35">
      <c r="A4120" s="1">
        <v>1988</v>
      </c>
      <c r="B4120" t="s">
        <v>62</v>
      </c>
      <c r="C4120" t="s">
        <v>63</v>
      </c>
      <c r="D4120">
        <v>523265</v>
      </c>
    </row>
    <row r="4121" spans="1:4" x14ac:dyDescent="0.35">
      <c r="A4121" s="1">
        <v>1988</v>
      </c>
      <c r="B4121" t="s">
        <v>18</v>
      </c>
      <c r="C4121" t="s">
        <v>19</v>
      </c>
      <c r="D4121">
        <v>990457</v>
      </c>
    </row>
    <row r="4122" spans="1:4" x14ac:dyDescent="0.35">
      <c r="A4122" s="1">
        <v>1988</v>
      </c>
      <c r="B4122" t="s">
        <v>36</v>
      </c>
      <c r="C4122" t="s">
        <v>37</v>
      </c>
      <c r="D4122">
        <v>247321</v>
      </c>
    </row>
    <row r="4123" spans="1:4" x14ac:dyDescent="0.35">
      <c r="A4123" s="1">
        <v>1988</v>
      </c>
      <c r="B4123" t="s">
        <v>152</v>
      </c>
      <c r="C4123" t="s">
        <v>153</v>
      </c>
      <c r="D4123">
        <v>307498</v>
      </c>
    </row>
    <row r="4124" spans="1:4" x14ac:dyDescent="0.35">
      <c r="A4124" s="1">
        <v>1988</v>
      </c>
      <c r="B4124" t="s">
        <v>64</v>
      </c>
      <c r="C4124" t="s">
        <v>65</v>
      </c>
      <c r="D4124">
        <v>303408</v>
      </c>
    </row>
    <row r="4125" spans="1:4" x14ac:dyDescent="0.35">
      <c r="A4125" s="1">
        <v>1988</v>
      </c>
      <c r="B4125" t="s">
        <v>20</v>
      </c>
      <c r="C4125" t="s">
        <v>21</v>
      </c>
      <c r="D4125">
        <v>743439</v>
      </c>
    </row>
    <row r="4126" spans="1:4" x14ac:dyDescent="0.35">
      <c r="A4126" s="1">
        <v>1988</v>
      </c>
      <c r="B4126" t="s">
        <v>22</v>
      </c>
      <c r="C4126" t="s">
        <v>23</v>
      </c>
      <c r="D4126">
        <v>206651</v>
      </c>
    </row>
    <row r="4127" spans="1:4" x14ac:dyDescent="0.35">
      <c r="A4127" s="1">
        <v>1988</v>
      </c>
      <c r="B4127" t="s">
        <v>190</v>
      </c>
      <c r="C4127" t="s">
        <v>191</v>
      </c>
      <c r="D4127">
        <v>1037423</v>
      </c>
    </row>
    <row r="4128" spans="1:4" x14ac:dyDescent="0.35">
      <c r="A4128" s="1">
        <v>1988</v>
      </c>
      <c r="B4128" t="s">
        <v>66</v>
      </c>
      <c r="C4128" t="s">
        <v>67</v>
      </c>
      <c r="D4128">
        <v>568193</v>
      </c>
    </row>
    <row r="4129" spans="1:4" x14ac:dyDescent="0.35">
      <c r="A4129" s="1">
        <v>1988</v>
      </c>
      <c r="B4129" t="s">
        <v>178</v>
      </c>
      <c r="C4129" t="s">
        <v>179</v>
      </c>
      <c r="D4129">
        <v>155382</v>
      </c>
    </row>
    <row r="4130" spans="1:4" x14ac:dyDescent="0.35">
      <c r="A4130" s="1">
        <v>1988</v>
      </c>
      <c r="B4130" t="s">
        <v>154</v>
      </c>
      <c r="C4130" t="s">
        <v>155</v>
      </c>
      <c r="D4130">
        <v>304074</v>
      </c>
    </row>
    <row r="4131" spans="1:4" x14ac:dyDescent="0.35">
      <c r="A4131" s="1">
        <v>1988</v>
      </c>
      <c r="B4131" t="s">
        <v>180</v>
      </c>
      <c r="C4131" t="s">
        <v>181</v>
      </c>
      <c r="D4131">
        <v>73400</v>
      </c>
    </row>
    <row r="4132" spans="1:4" x14ac:dyDescent="0.35">
      <c r="A4132" s="1">
        <v>1988</v>
      </c>
      <c r="B4132" t="s">
        <v>192</v>
      </c>
      <c r="C4132" t="s">
        <v>193</v>
      </c>
      <c r="D4132">
        <v>698552</v>
      </c>
    </row>
    <row r="4133" spans="1:4" x14ac:dyDescent="0.35">
      <c r="A4133" s="1">
        <v>1988</v>
      </c>
      <c r="B4133" t="s">
        <v>134</v>
      </c>
      <c r="C4133" t="s">
        <v>135</v>
      </c>
      <c r="D4133">
        <v>476416</v>
      </c>
    </row>
    <row r="4134" spans="1:4" x14ac:dyDescent="0.35">
      <c r="A4134" s="1">
        <v>1988</v>
      </c>
      <c r="B4134" t="s">
        <v>88</v>
      </c>
      <c r="C4134" t="s">
        <v>89</v>
      </c>
      <c r="D4134">
        <v>555006</v>
      </c>
    </row>
    <row r="4135" spans="1:4" x14ac:dyDescent="0.35">
      <c r="A4135" s="1">
        <v>1988</v>
      </c>
      <c r="B4135" t="s">
        <v>90</v>
      </c>
      <c r="C4135" t="s">
        <v>91</v>
      </c>
      <c r="D4135">
        <v>206185</v>
      </c>
    </row>
    <row r="4136" spans="1:4" x14ac:dyDescent="0.35">
      <c r="A4136" s="1">
        <v>1988</v>
      </c>
      <c r="B4136" t="s">
        <v>194</v>
      </c>
      <c r="C4136" t="s">
        <v>195</v>
      </c>
      <c r="D4136">
        <v>276462</v>
      </c>
    </row>
    <row r="4137" spans="1:4" x14ac:dyDescent="0.35">
      <c r="A4137" s="1">
        <v>1988</v>
      </c>
      <c r="B4137" t="s">
        <v>92</v>
      </c>
      <c r="C4137" t="s">
        <v>93</v>
      </c>
      <c r="D4137">
        <v>713921</v>
      </c>
    </row>
    <row r="4138" spans="1:4" x14ac:dyDescent="0.35">
      <c r="A4138" s="1">
        <v>1988</v>
      </c>
      <c r="B4138" t="s">
        <v>94</v>
      </c>
      <c r="C4138" t="s">
        <v>95</v>
      </c>
      <c r="D4138">
        <v>197697</v>
      </c>
    </row>
    <row r="4139" spans="1:4" x14ac:dyDescent="0.35">
      <c r="A4139" s="1">
        <v>1988</v>
      </c>
      <c r="B4139" t="s">
        <v>54</v>
      </c>
      <c r="C4139" t="s">
        <v>55</v>
      </c>
      <c r="D4139">
        <v>612220</v>
      </c>
    </row>
    <row r="4140" spans="1:4" x14ac:dyDescent="0.35">
      <c r="A4140" s="1">
        <v>1988</v>
      </c>
      <c r="B4140" t="s">
        <v>96</v>
      </c>
      <c r="C4140" t="s">
        <v>97</v>
      </c>
      <c r="D4140">
        <v>1011679</v>
      </c>
    </row>
    <row r="4141" spans="1:4" x14ac:dyDescent="0.35">
      <c r="A4141" s="1">
        <v>1988</v>
      </c>
      <c r="B4141" t="s">
        <v>38</v>
      </c>
      <c r="C4141" t="s">
        <v>39</v>
      </c>
      <c r="D4141">
        <v>235142</v>
      </c>
    </row>
    <row r="4142" spans="1:4" x14ac:dyDescent="0.35">
      <c r="A4142" s="1">
        <v>1988</v>
      </c>
      <c r="B4142" t="s">
        <v>106</v>
      </c>
      <c r="C4142" t="s">
        <v>107</v>
      </c>
      <c r="D4142">
        <v>2517599</v>
      </c>
    </row>
    <row r="4143" spans="1:4" x14ac:dyDescent="0.35">
      <c r="A4143" s="1">
        <v>1988</v>
      </c>
      <c r="B4143" t="s">
        <v>108</v>
      </c>
      <c r="C4143" t="s">
        <v>109</v>
      </c>
      <c r="D4143">
        <v>707270</v>
      </c>
    </row>
    <row r="4144" spans="1:4" x14ac:dyDescent="0.35">
      <c r="A4144" s="1">
        <v>1988</v>
      </c>
      <c r="B4144" t="s">
        <v>136</v>
      </c>
      <c r="C4144" t="s">
        <v>137</v>
      </c>
      <c r="D4144">
        <v>294292</v>
      </c>
    </row>
    <row r="4145" spans="1:4" x14ac:dyDescent="0.35">
      <c r="A4145" s="1">
        <v>1988</v>
      </c>
      <c r="B4145" t="s">
        <v>110</v>
      </c>
      <c r="C4145" t="s">
        <v>111</v>
      </c>
      <c r="D4145">
        <v>1428136</v>
      </c>
    </row>
    <row r="4146" spans="1:4" x14ac:dyDescent="0.35">
      <c r="A4146" s="1">
        <v>1988</v>
      </c>
      <c r="B4146" t="s">
        <v>24</v>
      </c>
      <c r="C4146" t="s">
        <v>25</v>
      </c>
      <c r="D4146">
        <v>597976</v>
      </c>
    </row>
    <row r="4147" spans="1:4" x14ac:dyDescent="0.35">
      <c r="A4147" s="1">
        <v>1988</v>
      </c>
      <c r="B4147" t="s">
        <v>156</v>
      </c>
      <c r="C4147" t="s">
        <v>157</v>
      </c>
      <c r="D4147">
        <v>572463</v>
      </c>
    </row>
    <row r="4148" spans="1:4" x14ac:dyDescent="0.35">
      <c r="A4148" s="1">
        <v>1988</v>
      </c>
      <c r="B4148" t="s">
        <v>182</v>
      </c>
      <c r="C4148" t="s">
        <v>183</v>
      </c>
      <c r="D4148">
        <v>225767</v>
      </c>
    </row>
    <row r="4149" spans="1:4" x14ac:dyDescent="0.35">
      <c r="A4149" s="1">
        <v>1988</v>
      </c>
      <c r="B4149" t="s">
        <v>184</v>
      </c>
      <c r="C4149" t="s">
        <v>185</v>
      </c>
      <c r="D4149">
        <v>355729</v>
      </c>
    </row>
    <row r="4150" spans="1:4" x14ac:dyDescent="0.35">
      <c r="A4150" s="1">
        <v>1988</v>
      </c>
      <c r="B4150" t="s">
        <v>98</v>
      </c>
      <c r="C4150" t="s">
        <v>99</v>
      </c>
      <c r="D4150">
        <v>942115</v>
      </c>
    </row>
    <row r="4151" spans="1:4" x14ac:dyDescent="0.35">
      <c r="A4151" s="1">
        <v>1988</v>
      </c>
      <c r="B4151" t="s">
        <v>100</v>
      </c>
      <c r="C4151" t="s">
        <v>101</v>
      </c>
      <c r="D4151">
        <v>665491</v>
      </c>
    </row>
    <row r="4152" spans="1:4" x14ac:dyDescent="0.35">
      <c r="A4152" s="1">
        <v>1988</v>
      </c>
      <c r="B4152" t="s">
        <v>26</v>
      </c>
      <c r="C4152" t="s">
        <v>27</v>
      </c>
      <c r="D4152">
        <v>1481288</v>
      </c>
    </row>
    <row r="4153" spans="1:4" x14ac:dyDescent="0.35">
      <c r="A4153" s="1">
        <v>1988</v>
      </c>
      <c r="B4153" t="s">
        <v>40</v>
      </c>
      <c r="C4153" t="s">
        <v>41</v>
      </c>
      <c r="D4153">
        <v>230586</v>
      </c>
    </row>
    <row r="4154" spans="1:4" x14ac:dyDescent="0.35">
      <c r="A4154" s="1">
        <v>1988</v>
      </c>
      <c r="B4154" t="s">
        <v>42</v>
      </c>
      <c r="C4154" t="s">
        <v>43</v>
      </c>
      <c r="D4154">
        <v>563155</v>
      </c>
    </row>
    <row r="4155" spans="1:4" x14ac:dyDescent="0.35">
      <c r="A4155" s="1">
        <v>1988</v>
      </c>
      <c r="B4155" t="s">
        <v>196</v>
      </c>
      <c r="C4155" t="s">
        <v>197</v>
      </c>
      <c r="D4155">
        <v>511881</v>
      </c>
    </row>
    <row r="4156" spans="1:4" x14ac:dyDescent="0.35">
      <c r="A4156" s="1">
        <v>1988</v>
      </c>
      <c r="B4156" t="s">
        <v>28</v>
      </c>
      <c r="C4156" t="s">
        <v>29</v>
      </c>
      <c r="D4156">
        <v>338750</v>
      </c>
    </row>
    <row r="4157" spans="1:4" x14ac:dyDescent="0.35">
      <c r="A4157" s="1">
        <v>1988</v>
      </c>
      <c r="B4157" t="s">
        <v>30</v>
      </c>
      <c r="C4157" t="s">
        <v>31</v>
      </c>
      <c r="D4157">
        <v>541529</v>
      </c>
    </row>
    <row r="4158" spans="1:4" x14ac:dyDescent="0.35">
      <c r="A4158" s="1">
        <v>1988</v>
      </c>
      <c r="B4158" t="s">
        <v>114</v>
      </c>
      <c r="C4158" t="s">
        <v>115</v>
      </c>
      <c r="D4158">
        <v>2158732</v>
      </c>
    </row>
    <row r="4159" spans="1:4" x14ac:dyDescent="0.35">
      <c r="A4159" s="1">
        <v>1988</v>
      </c>
      <c r="B4159" t="s">
        <v>138</v>
      </c>
      <c r="C4159" t="s">
        <v>139</v>
      </c>
      <c r="D4159">
        <v>1217947</v>
      </c>
    </row>
    <row r="4160" spans="1:4" x14ac:dyDescent="0.35">
      <c r="A4160" s="1">
        <v>1988</v>
      </c>
      <c r="B4160" t="s">
        <v>116</v>
      </c>
      <c r="C4160" t="s">
        <v>117</v>
      </c>
      <c r="D4160">
        <v>1022662</v>
      </c>
    </row>
    <row r="4161" spans="1:4" x14ac:dyDescent="0.35">
      <c r="A4161" s="1">
        <v>1988</v>
      </c>
      <c r="B4161" t="s">
        <v>118</v>
      </c>
      <c r="C4161" t="s">
        <v>119</v>
      </c>
      <c r="D4161">
        <v>1276377</v>
      </c>
    </row>
    <row r="4162" spans="1:4" x14ac:dyDescent="0.35">
      <c r="A4162" s="1">
        <v>1988</v>
      </c>
      <c r="B4162" t="s">
        <v>158</v>
      </c>
      <c r="C4162" t="s">
        <v>159</v>
      </c>
      <c r="D4162">
        <v>345512</v>
      </c>
    </row>
    <row r="4163" spans="1:4" x14ac:dyDescent="0.35">
      <c r="A4163" s="1">
        <v>1988</v>
      </c>
      <c r="B4163" t="s">
        <v>112</v>
      </c>
      <c r="C4163" t="s">
        <v>113</v>
      </c>
      <c r="D4163">
        <v>547369</v>
      </c>
    </row>
    <row r="4164" spans="1:4" x14ac:dyDescent="0.35">
      <c r="A4164" s="1">
        <v>1988</v>
      </c>
      <c r="B4164" t="s">
        <v>186</v>
      </c>
      <c r="C4164" t="s">
        <v>187</v>
      </c>
      <c r="D4164">
        <v>341961</v>
      </c>
    </row>
    <row r="4165" spans="1:4" x14ac:dyDescent="0.35">
      <c r="A4165" s="1">
        <v>1988</v>
      </c>
      <c r="B4165" t="s">
        <v>188</v>
      </c>
      <c r="C4165" t="s">
        <v>189</v>
      </c>
      <c r="D4165">
        <v>197476</v>
      </c>
    </row>
    <row r="4166" spans="1:4" x14ac:dyDescent="0.35">
      <c r="A4166" s="1">
        <v>1988</v>
      </c>
      <c r="B4166" t="s">
        <v>208</v>
      </c>
      <c r="C4166" t="s">
        <v>209</v>
      </c>
      <c r="D4166">
        <v>785799</v>
      </c>
    </row>
    <row r="4167" spans="1:4" x14ac:dyDescent="0.35">
      <c r="A4167" s="1">
        <v>1988</v>
      </c>
      <c r="B4167" t="s">
        <v>210</v>
      </c>
      <c r="C4167" t="s">
        <v>211</v>
      </c>
      <c r="D4167">
        <v>455792</v>
      </c>
    </row>
    <row r="4168" spans="1:4" x14ac:dyDescent="0.35">
      <c r="A4168" s="1">
        <v>1988</v>
      </c>
      <c r="B4168" t="s">
        <v>198</v>
      </c>
      <c r="C4168" t="s">
        <v>199</v>
      </c>
      <c r="D4168">
        <v>502652</v>
      </c>
    </row>
    <row r="4169" spans="1:4" x14ac:dyDescent="0.35">
      <c r="A4169" s="1">
        <v>1988</v>
      </c>
      <c r="B4169" t="s">
        <v>160</v>
      </c>
      <c r="C4169" t="s">
        <v>161</v>
      </c>
      <c r="D4169">
        <v>378172</v>
      </c>
    </row>
    <row r="4170" spans="1:4" x14ac:dyDescent="0.35">
      <c r="A4170" s="1">
        <v>1988</v>
      </c>
      <c r="B4170" t="s">
        <v>162</v>
      </c>
      <c r="C4170" t="s">
        <v>163</v>
      </c>
      <c r="D4170">
        <v>354467</v>
      </c>
    </row>
    <row r="4171" spans="1:4" x14ac:dyDescent="0.35">
      <c r="A4171" s="1">
        <v>1988</v>
      </c>
      <c r="B4171" t="s">
        <v>102</v>
      </c>
      <c r="C4171" t="s">
        <v>103</v>
      </c>
      <c r="D4171">
        <v>389366</v>
      </c>
    </row>
    <row r="4172" spans="1:4" x14ac:dyDescent="0.35">
      <c r="A4172" s="1">
        <v>1988</v>
      </c>
      <c r="B4172" t="s">
        <v>44</v>
      </c>
      <c r="C4172" t="s">
        <v>45</v>
      </c>
      <c r="D4172">
        <v>319780</v>
      </c>
    </row>
    <row r="4173" spans="1:4" x14ac:dyDescent="0.35">
      <c r="A4173" s="1">
        <v>1988</v>
      </c>
      <c r="B4173" t="s">
        <v>46</v>
      </c>
      <c r="C4173" t="s">
        <v>221</v>
      </c>
      <c r="D4173">
        <v>133709</v>
      </c>
    </row>
    <row r="4174" spans="1:4" x14ac:dyDescent="0.35">
      <c r="A4174" s="1">
        <v>1988</v>
      </c>
      <c r="B4174" t="s">
        <v>120</v>
      </c>
      <c r="C4174" t="s">
        <v>121</v>
      </c>
      <c r="D4174">
        <v>1057092</v>
      </c>
    </row>
    <row r="4175" spans="1:4" x14ac:dyDescent="0.35">
      <c r="A4175" s="1">
        <v>1988</v>
      </c>
      <c r="B4175" t="s">
        <v>122</v>
      </c>
      <c r="C4175" t="s">
        <v>222</v>
      </c>
      <c r="D4175">
        <v>1389382</v>
      </c>
    </row>
    <row r="4176" spans="1:4" x14ac:dyDescent="0.35">
      <c r="A4176" s="1">
        <v>1988</v>
      </c>
      <c r="B4176" t="s">
        <v>124</v>
      </c>
      <c r="C4176" t="s">
        <v>125</v>
      </c>
      <c r="D4176">
        <v>1365372</v>
      </c>
    </row>
    <row r="4177" spans="1:4" x14ac:dyDescent="0.35">
      <c r="A4177" s="1">
        <v>1988</v>
      </c>
      <c r="B4177" t="s">
        <v>126</v>
      </c>
      <c r="C4177" t="s">
        <v>127</v>
      </c>
      <c r="D4177">
        <v>1208297</v>
      </c>
    </row>
    <row r="4178" spans="1:4" x14ac:dyDescent="0.35">
      <c r="A4178" s="1">
        <v>1988</v>
      </c>
      <c r="B4178" t="s">
        <v>128</v>
      </c>
      <c r="C4178" t="s">
        <v>129</v>
      </c>
      <c r="D4178">
        <v>1012643</v>
      </c>
    </row>
    <row r="4179" spans="1:4" x14ac:dyDescent="0.35">
      <c r="A4179" s="1">
        <v>1988</v>
      </c>
      <c r="B4179" t="s">
        <v>257</v>
      </c>
      <c r="D4179">
        <v>55966142</v>
      </c>
    </row>
    <row r="4180" spans="1:4" x14ac:dyDescent="0.35">
      <c r="A4180" s="1">
        <v>1988</v>
      </c>
    </row>
    <row r="4181" spans="1:4" x14ac:dyDescent="0.35">
      <c r="A4181" s="1">
        <v>1988</v>
      </c>
      <c r="B4181" t="s">
        <v>240</v>
      </c>
    </row>
    <row r="4182" spans="1:4" x14ac:dyDescent="0.35">
      <c r="A4182" s="1">
        <v>1988</v>
      </c>
      <c r="B4182" t="s">
        <v>278</v>
      </c>
    </row>
    <row r="4183" spans="1:4" x14ac:dyDescent="0.35">
      <c r="A4183" s="1">
        <v>1987</v>
      </c>
      <c r="B4183" t="s">
        <v>251</v>
      </c>
    </row>
    <row r="4184" spans="1:4" x14ac:dyDescent="0.35">
      <c r="A4184" s="1">
        <v>1987</v>
      </c>
      <c r="B4184" t="s">
        <v>280</v>
      </c>
    </row>
    <row r="4185" spans="1:4" x14ac:dyDescent="0.35">
      <c r="A4185" s="1">
        <v>1987</v>
      </c>
    </row>
    <row r="4186" spans="1:4" x14ac:dyDescent="0.35">
      <c r="A4186" s="1">
        <v>1987</v>
      </c>
      <c r="B4186" t="s">
        <v>231</v>
      </c>
    </row>
    <row r="4187" spans="1:4" x14ac:dyDescent="0.35">
      <c r="A4187" s="1">
        <v>1987</v>
      </c>
      <c r="D4187" t="s">
        <v>232</v>
      </c>
    </row>
    <row r="4188" spans="1:4" x14ac:dyDescent="0.35">
      <c r="A4188" s="1">
        <v>1987</v>
      </c>
      <c r="B4188" t="s">
        <v>5</v>
      </c>
      <c r="C4188" t="s">
        <v>6</v>
      </c>
      <c r="D4188">
        <v>449311</v>
      </c>
    </row>
    <row r="4189" spans="1:4" x14ac:dyDescent="0.35">
      <c r="A4189" s="1">
        <v>1987</v>
      </c>
      <c r="B4189" t="s">
        <v>104</v>
      </c>
      <c r="C4189" t="s">
        <v>105</v>
      </c>
      <c r="D4189">
        <v>536586</v>
      </c>
    </row>
    <row r="4190" spans="1:4" x14ac:dyDescent="0.35">
      <c r="A4190" s="1">
        <v>1987</v>
      </c>
      <c r="B4190" t="s">
        <v>10</v>
      </c>
      <c r="C4190" t="s">
        <v>11</v>
      </c>
      <c r="D4190">
        <v>364171</v>
      </c>
    </row>
    <row r="4191" spans="1:4" x14ac:dyDescent="0.35">
      <c r="A4191" s="1">
        <v>1987</v>
      </c>
      <c r="B4191" t="s">
        <v>200</v>
      </c>
      <c r="C4191" t="s">
        <v>201</v>
      </c>
      <c r="D4191">
        <v>127026</v>
      </c>
    </row>
    <row r="4192" spans="1:4" x14ac:dyDescent="0.35">
      <c r="A4192" s="1">
        <v>1987</v>
      </c>
      <c r="B4192" t="s">
        <v>202</v>
      </c>
      <c r="C4192" t="s">
        <v>203</v>
      </c>
      <c r="D4192">
        <v>110390</v>
      </c>
    </row>
    <row r="4193" spans="1:4" x14ac:dyDescent="0.35">
      <c r="A4193" s="1">
        <v>1987</v>
      </c>
      <c r="B4193" t="s">
        <v>204</v>
      </c>
      <c r="C4193" t="s">
        <v>205</v>
      </c>
      <c r="D4193">
        <v>935609</v>
      </c>
    </row>
    <row r="4194" spans="1:4" x14ac:dyDescent="0.35">
      <c r="A4194" s="1">
        <v>1987</v>
      </c>
      <c r="B4194" t="s">
        <v>12</v>
      </c>
      <c r="C4194" t="s">
        <v>13</v>
      </c>
      <c r="D4194">
        <v>275730</v>
      </c>
    </row>
    <row r="4195" spans="1:4" x14ac:dyDescent="0.35">
      <c r="A4195" s="1">
        <v>1987</v>
      </c>
      <c r="B4195" t="s">
        <v>84</v>
      </c>
      <c r="C4195" t="s">
        <v>85</v>
      </c>
      <c r="D4195">
        <v>299693</v>
      </c>
    </row>
    <row r="4196" spans="1:4" x14ac:dyDescent="0.35">
      <c r="A4196" s="1">
        <v>1987</v>
      </c>
      <c r="B4196" t="s">
        <v>164</v>
      </c>
      <c r="C4196" t="s">
        <v>165</v>
      </c>
      <c r="D4196">
        <v>136461</v>
      </c>
    </row>
    <row r="4197" spans="1:4" x14ac:dyDescent="0.35">
      <c r="A4197" s="1">
        <v>1987</v>
      </c>
      <c r="B4197" t="s">
        <v>86</v>
      </c>
      <c r="C4197" t="s">
        <v>87</v>
      </c>
      <c r="D4197">
        <v>290782</v>
      </c>
    </row>
    <row r="4198" spans="1:4" x14ac:dyDescent="0.35">
      <c r="A4198" s="1">
        <v>1987</v>
      </c>
      <c r="B4198" t="s">
        <v>166</v>
      </c>
      <c r="C4198" t="s">
        <v>167</v>
      </c>
      <c r="D4198">
        <v>289086</v>
      </c>
    </row>
    <row r="4199" spans="1:4" x14ac:dyDescent="0.35">
      <c r="A4199" s="1">
        <v>1987</v>
      </c>
      <c r="B4199" t="s">
        <v>168</v>
      </c>
      <c r="C4199" t="s">
        <v>169</v>
      </c>
      <c r="D4199">
        <v>273676</v>
      </c>
    </row>
    <row r="4200" spans="1:4" x14ac:dyDescent="0.35">
      <c r="A4200" s="1">
        <v>1987</v>
      </c>
      <c r="B4200" t="s">
        <v>206</v>
      </c>
      <c r="C4200" t="s">
        <v>207</v>
      </c>
      <c r="D4200">
        <v>1742242</v>
      </c>
    </row>
    <row r="4201" spans="1:4" x14ac:dyDescent="0.35">
      <c r="A4201" s="1">
        <v>1987</v>
      </c>
      <c r="B4201" t="s">
        <v>130</v>
      </c>
      <c r="C4201" t="s">
        <v>131</v>
      </c>
      <c r="D4201">
        <v>607836</v>
      </c>
    </row>
    <row r="4202" spans="1:4" x14ac:dyDescent="0.35">
      <c r="A4202" s="1">
        <v>1987</v>
      </c>
      <c r="B4202" t="s">
        <v>14</v>
      </c>
      <c r="C4202" t="s">
        <v>15</v>
      </c>
      <c r="D4202">
        <v>160388</v>
      </c>
    </row>
    <row r="4203" spans="1:4" x14ac:dyDescent="0.35">
      <c r="A4203" s="1">
        <v>1987</v>
      </c>
      <c r="B4203" t="s">
        <v>140</v>
      </c>
      <c r="C4203" t="s">
        <v>141</v>
      </c>
      <c r="D4203">
        <v>341088</v>
      </c>
    </row>
    <row r="4204" spans="1:4" x14ac:dyDescent="0.35">
      <c r="A4204" s="1">
        <v>1987</v>
      </c>
      <c r="B4204" t="s">
        <v>142</v>
      </c>
      <c r="C4204" t="s">
        <v>143</v>
      </c>
      <c r="D4204">
        <v>521210</v>
      </c>
    </row>
    <row r="4205" spans="1:4" x14ac:dyDescent="0.35">
      <c r="A4205" s="1">
        <v>1987</v>
      </c>
      <c r="B4205" t="s">
        <v>56</v>
      </c>
      <c r="C4205" t="s">
        <v>57</v>
      </c>
      <c r="D4205">
        <v>320962</v>
      </c>
    </row>
    <row r="4206" spans="1:4" x14ac:dyDescent="0.35">
      <c r="A4206" s="1">
        <v>1987</v>
      </c>
      <c r="B4206" t="s">
        <v>144</v>
      </c>
      <c r="C4206" t="s">
        <v>145</v>
      </c>
      <c r="D4206">
        <v>239962</v>
      </c>
    </row>
    <row r="4207" spans="1:4" x14ac:dyDescent="0.35">
      <c r="A4207" s="1">
        <v>1987</v>
      </c>
      <c r="B4207" t="s">
        <v>68</v>
      </c>
      <c r="C4207" t="s">
        <v>69</v>
      </c>
      <c r="D4207">
        <v>114302</v>
      </c>
    </row>
    <row r="4208" spans="1:4" x14ac:dyDescent="0.35">
      <c r="A4208" s="1">
        <v>1987</v>
      </c>
      <c r="B4208" t="s">
        <v>70</v>
      </c>
      <c r="C4208" t="s">
        <v>71</v>
      </c>
      <c r="D4208">
        <v>131611</v>
      </c>
    </row>
    <row r="4209" spans="1:4" x14ac:dyDescent="0.35">
      <c r="A4209" s="1">
        <v>1987</v>
      </c>
      <c r="B4209" t="s">
        <v>32</v>
      </c>
      <c r="C4209" t="s">
        <v>219</v>
      </c>
      <c r="D4209">
        <v>486814</v>
      </c>
    </row>
    <row r="4210" spans="1:4" x14ac:dyDescent="0.35">
      <c r="A4210" s="1">
        <v>1987</v>
      </c>
      <c r="B4210" t="s">
        <v>48</v>
      </c>
      <c r="C4210" t="s">
        <v>220</v>
      </c>
      <c r="D4210">
        <v>538447</v>
      </c>
    </row>
    <row r="4211" spans="1:4" x14ac:dyDescent="0.35">
      <c r="A4211" s="1">
        <v>1987</v>
      </c>
      <c r="B4211" t="s">
        <v>146</v>
      </c>
      <c r="C4211" t="s">
        <v>147</v>
      </c>
      <c r="D4211">
        <v>134970</v>
      </c>
    </row>
    <row r="4212" spans="1:4" x14ac:dyDescent="0.35">
      <c r="A4212" s="1">
        <v>1987</v>
      </c>
      <c r="B4212" t="s">
        <v>148</v>
      </c>
      <c r="C4212" t="s">
        <v>149</v>
      </c>
      <c r="D4212">
        <v>383648</v>
      </c>
    </row>
    <row r="4213" spans="1:4" x14ac:dyDescent="0.35">
      <c r="A4213" s="1">
        <v>1987</v>
      </c>
      <c r="B4213" t="s">
        <v>34</v>
      </c>
      <c r="C4213" t="s">
        <v>35</v>
      </c>
      <c r="D4213">
        <v>482361</v>
      </c>
    </row>
    <row r="4214" spans="1:4" x14ac:dyDescent="0.35">
      <c r="A4214" s="1">
        <v>1987</v>
      </c>
      <c r="B4214" t="s">
        <v>16</v>
      </c>
      <c r="C4214" t="s">
        <v>17</v>
      </c>
      <c r="D4214">
        <v>407067</v>
      </c>
    </row>
    <row r="4215" spans="1:4" x14ac:dyDescent="0.35">
      <c r="A4215" s="1">
        <v>1987</v>
      </c>
      <c r="B4215" t="s">
        <v>132</v>
      </c>
      <c r="C4215" t="s">
        <v>133</v>
      </c>
      <c r="D4215">
        <v>491095</v>
      </c>
    </row>
    <row r="4216" spans="1:4" x14ac:dyDescent="0.35">
      <c r="A4216" s="1">
        <v>1987</v>
      </c>
      <c r="B4216" t="s">
        <v>58</v>
      </c>
      <c r="C4216" t="s">
        <v>59</v>
      </c>
      <c r="D4216">
        <v>382737</v>
      </c>
    </row>
    <row r="4217" spans="1:4" x14ac:dyDescent="0.35">
      <c r="A4217" s="1">
        <v>1987</v>
      </c>
      <c r="B4217" t="s">
        <v>50</v>
      </c>
      <c r="C4217" t="s">
        <v>51</v>
      </c>
      <c r="D4217">
        <v>834191</v>
      </c>
    </row>
    <row r="4218" spans="1:4" x14ac:dyDescent="0.35">
      <c r="A4218" s="1">
        <v>1987</v>
      </c>
      <c r="B4218" t="s">
        <v>170</v>
      </c>
      <c r="C4218" t="s">
        <v>171</v>
      </c>
      <c r="D4218">
        <v>563279</v>
      </c>
    </row>
    <row r="4219" spans="1:4" x14ac:dyDescent="0.35">
      <c r="A4219" s="1">
        <v>1987</v>
      </c>
      <c r="B4219" t="s">
        <v>172</v>
      </c>
      <c r="C4219" t="s">
        <v>173</v>
      </c>
      <c r="D4219">
        <v>884781</v>
      </c>
    </row>
    <row r="4220" spans="1:4" x14ac:dyDescent="0.35">
      <c r="A4220" s="1">
        <v>1987</v>
      </c>
      <c r="B4220" t="s">
        <v>174</v>
      </c>
      <c r="C4220" t="s">
        <v>175</v>
      </c>
      <c r="D4220">
        <v>174611</v>
      </c>
    </row>
    <row r="4221" spans="1:4" x14ac:dyDescent="0.35">
      <c r="A4221" s="1">
        <v>1987</v>
      </c>
      <c r="B4221" t="s">
        <v>150</v>
      </c>
      <c r="C4221" t="s">
        <v>151</v>
      </c>
      <c r="D4221">
        <v>1180145</v>
      </c>
    </row>
    <row r="4222" spans="1:4" x14ac:dyDescent="0.35">
      <c r="A4222" s="1">
        <v>1987</v>
      </c>
      <c r="B4222" t="s">
        <v>176</v>
      </c>
      <c r="C4222" t="s">
        <v>177</v>
      </c>
      <c r="D4222">
        <v>762103</v>
      </c>
    </row>
    <row r="4223" spans="1:4" x14ac:dyDescent="0.35">
      <c r="A4223" s="1">
        <v>1987</v>
      </c>
      <c r="B4223" t="s">
        <v>52</v>
      </c>
      <c r="C4223" t="s">
        <v>53</v>
      </c>
      <c r="D4223">
        <v>778546</v>
      </c>
    </row>
    <row r="4224" spans="1:4" x14ac:dyDescent="0.35">
      <c r="A4224" s="1">
        <v>1987</v>
      </c>
      <c r="B4224" t="s">
        <v>60</v>
      </c>
      <c r="C4224" t="s">
        <v>61</v>
      </c>
      <c r="D4224">
        <v>239789</v>
      </c>
    </row>
    <row r="4225" spans="1:4" x14ac:dyDescent="0.35">
      <c r="A4225" s="1">
        <v>1987</v>
      </c>
      <c r="B4225" t="s">
        <v>62</v>
      </c>
      <c r="C4225" t="s">
        <v>63</v>
      </c>
      <c r="D4225">
        <v>522338</v>
      </c>
    </row>
    <row r="4226" spans="1:4" x14ac:dyDescent="0.35">
      <c r="A4226" s="1">
        <v>1987</v>
      </c>
      <c r="B4226" t="s">
        <v>18</v>
      </c>
      <c r="C4226" t="s">
        <v>19</v>
      </c>
      <c r="D4226">
        <v>980703</v>
      </c>
    </row>
    <row r="4227" spans="1:4" x14ac:dyDescent="0.35">
      <c r="A4227" s="1">
        <v>1987</v>
      </c>
      <c r="B4227" t="s">
        <v>36</v>
      </c>
      <c r="C4227" t="s">
        <v>37</v>
      </c>
      <c r="D4227">
        <v>247706</v>
      </c>
    </row>
    <row r="4228" spans="1:4" x14ac:dyDescent="0.35">
      <c r="A4228" s="1">
        <v>1987</v>
      </c>
      <c r="B4228" t="s">
        <v>152</v>
      </c>
      <c r="C4228" t="s">
        <v>153</v>
      </c>
      <c r="D4228">
        <v>306692</v>
      </c>
    </row>
    <row r="4229" spans="1:4" x14ac:dyDescent="0.35">
      <c r="A4229" s="1">
        <v>1987</v>
      </c>
      <c r="B4229" t="s">
        <v>64</v>
      </c>
      <c r="C4229" t="s">
        <v>65</v>
      </c>
      <c r="D4229">
        <v>302015</v>
      </c>
    </row>
    <row r="4230" spans="1:4" x14ac:dyDescent="0.35">
      <c r="A4230" s="1">
        <v>1987</v>
      </c>
      <c r="B4230" t="s">
        <v>20</v>
      </c>
      <c r="C4230" t="s">
        <v>21</v>
      </c>
      <c r="D4230">
        <v>742472</v>
      </c>
    </row>
    <row r="4231" spans="1:4" x14ac:dyDescent="0.35">
      <c r="A4231" s="1">
        <v>1987</v>
      </c>
      <c r="B4231" t="s">
        <v>22</v>
      </c>
      <c r="C4231" t="s">
        <v>23</v>
      </c>
      <c r="D4231">
        <v>206686</v>
      </c>
    </row>
    <row r="4232" spans="1:4" x14ac:dyDescent="0.35">
      <c r="A4232" s="1">
        <v>1987</v>
      </c>
      <c r="B4232" t="s">
        <v>190</v>
      </c>
      <c r="C4232" t="s">
        <v>191</v>
      </c>
      <c r="D4232">
        <v>1032981</v>
      </c>
    </row>
    <row r="4233" spans="1:4" x14ac:dyDescent="0.35">
      <c r="A4233" s="1">
        <v>1987</v>
      </c>
      <c r="B4233" t="s">
        <v>66</v>
      </c>
      <c r="C4233" t="s">
        <v>67</v>
      </c>
      <c r="D4233">
        <v>561791</v>
      </c>
    </row>
    <row r="4234" spans="1:4" x14ac:dyDescent="0.35">
      <c r="A4234" s="1">
        <v>1987</v>
      </c>
      <c r="B4234" t="s">
        <v>178</v>
      </c>
      <c r="C4234" t="s">
        <v>179</v>
      </c>
      <c r="D4234">
        <v>154777</v>
      </c>
    </row>
    <row r="4235" spans="1:4" x14ac:dyDescent="0.35">
      <c r="A4235" s="1">
        <v>1987</v>
      </c>
      <c r="B4235" t="s">
        <v>154</v>
      </c>
      <c r="C4235" t="s">
        <v>155</v>
      </c>
      <c r="D4235">
        <v>302448</v>
      </c>
    </row>
    <row r="4236" spans="1:4" x14ac:dyDescent="0.35">
      <c r="A4236" s="1">
        <v>1987</v>
      </c>
      <c r="B4236" t="s">
        <v>180</v>
      </c>
      <c r="C4236" t="s">
        <v>181</v>
      </c>
      <c r="D4236">
        <v>73381</v>
      </c>
    </row>
    <row r="4237" spans="1:4" x14ac:dyDescent="0.35">
      <c r="A4237" s="1">
        <v>1987</v>
      </c>
      <c r="B4237" t="s">
        <v>192</v>
      </c>
      <c r="C4237" t="s">
        <v>193</v>
      </c>
      <c r="D4237">
        <v>697236</v>
      </c>
    </row>
    <row r="4238" spans="1:4" x14ac:dyDescent="0.35">
      <c r="A4238" s="1">
        <v>1987</v>
      </c>
      <c r="B4238" t="s">
        <v>134</v>
      </c>
      <c r="C4238" t="s">
        <v>135</v>
      </c>
      <c r="D4238">
        <v>474010</v>
      </c>
    </row>
    <row r="4239" spans="1:4" x14ac:dyDescent="0.35">
      <c r="A4239" s="1">
        <v>1987</v>
      </c>
      <c r="B4239" t="s">
        <v>88</v>
      </c>
      <c r="C4239" t="s">
        <v>89</v>
      </c>
      <c r="D4239">
        <v>551681</v>
      </c>
    </row>
    <row r="4240" spans="1:4" x14ac:dyDescent="0.35">
      <c r="A4240" s="1">
        <v>1987</v>
      </c>
      <c r="B4240" t="s">
        <v>90</v>
      </c>
      <c r="C4240" t="s">
        <v>91</v>
      </c>
      <c r="D4240">
        <v>206751</v>
      </c>
    </row>
    <row r="4241" spans="1:4" x14ac:dyDescent="0.35">
      <c r="A4241" s="1">
        <v>1987</v>
      </c>
      <c r="B4241" t="s">
        <v>194</v>
      </c>
      <c r="C4241" t="s">
        <v>195</v>
      </c>
      <c r="D4241">
        <v>275463</v>
      </c>
    </row>
    <row r="4242" spans="1:4" x14ac:dyDescent="0.35">
      <c r="A4242" s="1">
        <v>1987</v>
      </c>
      <c r="B4242" t="s">
        <v>92</v>
      </c>
      <c r="C4242" t="s">
        <v>93</v>
      </c>
      <c r="D4242">
        <v>716406</v>
      </c>
    </row>
    <row r="4243" spans="1:4" x14ac:dyDescent="0.35">
      <c r="A4243" s="1">
        <v>1987</v>
      </c>
      <c r="B4243" t="s">
        <v>94</v>
      </c>
      <c r="C4243" t="s">
        <v>95</v>
      </c>
      <c r="D4243">
        <v>198736</v>
      </c>
    </row>
    <row r="4244" spans="1:4" x14ac:dyDescent="0.35">
      <c r="A4244" s="1">
        <v>1987</v>
      </c>
      <c r="B4244" t="s">
        <v>54</v>
      </c>
      <c r="C4244" t="s">
        <v>55</v>
      </c>
      <c r="D4244">
        <v>608445</v>
      </c>
    </row>
    <row r="4245" spans="1:4" x14ac:dyDescent="0.35">
      <c r="A4245" s="1">
        <v>1987</v>
      </c>
      <c r="B4245" t="s">
        <v>96</v>
      </c>
      <c r="C4245" t="s">
        <v>97</v>
      </c>
      <c r="D4245">
        <v>1015900</v>
      </c>
    </row>
    <row r="4246" spans="1:4" x14ac:dyDescent="0.35">
      <c r="A4246" s="1">
        <v>1987</v>
      </c>
      <c r="B4246" t="s">
        <v>38</v>
      </c>
      <c r="C4246" t="s">
        <v>39</v>
      </c>
      <c r="D4246">
        <v>235903</v>
      </c>
    </row>
    <row r="4247" spans="1:4" x14ac:dyDescent="0.35">
      <c r="A4247" s="1">
        <v>1987</v>
      </c>
      <c r="B4247" t="s">
        <v>106</v>
      </c>
      <c r="C4247" t="s">
        <v>107</v>
      </c>
      <c r="D4247">
        <v>2519805</v>
      </c>
    </row>
    <row r="4248" spans="1:4" x14ac:dyDescent="0.35">
      <c r="A4248" s="1">
        <v>1987</v>
      </c>
      <c r="B4248" t="s">
        <v>108</v>
      </c>
      <c r="C4248" t="s">
        <v>109</v>
      </c>
      <c r="D4248">
        <v>699556</v>
      </c>
    </row>
    <row r="4249" spans="1:4" x14ac:dyDescent="0.35">
      <c r="A4249" s="1">
        <v>1987</v>
      </c>
      <c r="B4249" t="s">
        <v>136</v>
      </c>
      <c r="C4249" t="s">
        <v>137</v>
      </c>
      <c r="D4249">
        <v>295183</v>
      </c>
    </row>
    <row r="4250" spans="1:4" x14ac:dyDescent="0.35">
      <c r="A4250" s="1">
        <v>1987</v>
      </c>
      <c r="B4250" t="s">
        <v>110</v>
      </c>
      <c r="C4250" t="s">
        <v>111</v>
      </c>
      <c r="D4250">
        <v>1428420</v>
      </c>
    </row>
    <row r="4251" spans="1:4" x14ac:dyDescent="0.35">
      <c r="A4251" s="1">
        <v>1987</v>
      </c>
      <c r="B4251" t="s">
        <v>24</v>
      </c>
      <c r="C4251" t="s">
        <v>25</v>
      </c>
      <c r="D4251">
        <v>595956</v>
      </c>
    </row>
    <row r="4252" spans="1:4" x14ac:dyDescent="0.35">
      <c r="A4252" s="1">
        <v>1987</v>
      </c>
      <c r="B4252" t="s">
        <v>156</v>
      </c>
      <c r="C4252" t="s">
        <v>157</v>
      </c>
      <c r="D4252">
        <v>568659</v>
      </c>
    </row>
    <row r="4253" spans="1:4" x14ac:dyDescent="0.35">
      <c r="A4253" s="1">
        <v>1987</v>
      </c>
      <c r="B4253" t="s">
        <v>182</v>
      </c>
      <c r="C4253" t="s">
        <v>183</v>
      </c>
      <c r="D4253">
        <v>227033</v>
      </c>
    </row>
    <row r="4254" spans="1:4" x14ac:dyDescent="0.35">
      <c r="A4254" s="1">
        <v>1987</v>
      </c>
      <c r="B4254" t="s">
        <v>184</v>
      </c>
      <c r="C4254" t="s">
        <v>185</v>
      </c>
      <c r="D4254">
        <v>350322</v>
      </c>
    </row>
    <row r="4255" spans="1:4" x14ac:dyDescent="0.35">
      <c r="A4255" s="1">
        <v>1987</v>
      </c>
      <c r="B4255" t="s">
        <v>98</v>
      </c>
      <c r="C4255" t="s">
        <v>99</v>
      </c>
      <c r="D4255">
        <v>938529</v>
      </c>
    </row>
    <row r="4256" spans="1:4" x14ac:dyDescent="0.35">
      <c r="A4256" s="1">
        <v>1987</v>
      </c>
      <c r="B4256" t="s">
        <v>100</v>
      </c>
      <c r="C4256" t="s">
        <v>101</v>
      </c>
      <c r="D4256">
        <v>661566</v>
      </c>
    </row>
    <row r="4257" spans="1:4" x14ac:dyDescent="0.35">
      <c r="A4257" s="1">
        <v>1987</v>
      </c>
      <c r="B4257" t="s">
        <v>26</v>
      </c>
      <c r="C4257" t="s">
        <v>27</v>
      </c>
      <c r="D4257">
        <v>1470757</v>
      </c>
    </row>
    <row r="4258" spans="1:4" x14ac:dyDescent="0.35">
      <c r="A4258" s="1">
        <v>1987</v>
      </c>
      <c r="B4258" t="s">
        <v>40</v>
      </c>
      <c r="C4258" t="s">
        <v>41</v>
      </c>
      <c r="D4258">
        <v>231388</v>
      </c>
    </row>
    <row r="4259" spans="1:4" x14ac:dyDescent="0.35">
      <c r="A4259" s="1">
        <v>1987</v>
      </c>
      <c r="B4259" t="s">
        <v>42</v>
      </c>
      <c r="C4259" t="s">
        <v>43</v>
      </c>
      <c r="D4259">
        <v>563586</v>
      </c>
    </row>
    <row r="4260" spans="1:4" x14ac:dyDescent="0.35">
      <c r="A4260" s="1">
        <v>1987</v>
      </c>
      <c r="B4260" t="s">
        <v>196</v>
      </c>
      <c r="C4260" t="s">
        <v>197</v>
      </c>
      <c r="D4260">
        <v>512862</v>
      </c>
    </row>
    <row r="4261" spans="1:4" x14ac:dyDescent="0.35">
      <c r="A4261" s="1">
        <v>1987</v>
      </c>
      <c r="B4261" t="s">
        <v>28</v>
      </c>
      <c r="C4261" t="s">
        <v>29</v>
      </c>
      <c r="D4261">
        <v>333396</v>
      </c>
    </row>
    <row r="4262" spans="1:4" x14ac:dyDescent="0.35">
      <c r="A4262" s="1">
        <v>1987</v>
      </c>
      <c r="B4262" t="s">
        <v>30</v>
      </c>
      <c r="C4262" t="s">
        <v>31</v>
      </c>
      <c r="D4262">
        <v>533309</v>
      </c>
    </row>
    <row r="4263" spans="1:4" x14ac:dyDescent="0.35">
      <c r="A4263" s="1">
        <v>1987</v>
      </c>
      <c r="B4263" t="s">
        <v>114</v>
      </c>
      <c r="C4263" t="s">
        <v>115</v>
      </c>
      <c r="D4263">
        <v>2164159</v>
      </c>
    </row>
    <row r="4264" spans="1:4" x14ac:dyDescent="0.35">
      <c r="A4264" s="1">
        <v>1987</v>
      </c>
      <c r="B4264" t="s">
        <v>138</v>
      </c>
      <c r="C4264" t="s">
        <v>139</v>
      </c>
      <c r="D4264">
        <v>1214632</v>
      </c>
    </row>
    <row r="4265" spans="1:4" x14ac:dyDescent="0.35">
      <c r="A4265" s="1">
        <v>1987</v>
      </c>
      <c r="B4265" t="s">
        <v>116</v>
      </c>
      <c r="C4265" t="s">
        <v>117</v>
      </c>
      <c r="D4265">
        <v>993406</v>
      </c>
    </row>
    <row r="4266" spans="1:4" x14ac:dyDescent="0.35">
      <c r="A4266" s="1">
        <v>1987</v>
      </c>
      <c r="B4266" t="s">
        <v>118</v>
      </c>
      <c r="C4266" t="s">
        <v>119</v>
      </c>
      <c r="D4266">
        <v>1261251</v>
      </c>
    </row>
    <row r="4267" spans="1:4" x14ac:dyDescent="0.35">
      <c r="A4267" s="1">
        <v>1987</v>
      </c>
      <c r="B4267" t="s">
        <v>158</v>
      </c>
      <c r="C4267" t="s">
        <v>159</v>
      </c>
      <c r="D4267">
        <v>344196</v>
      </c>
    </row>
    <row r="4268" spans="1:4" x14ac:dyDescent="0.35">
      <c r="A4268" s="1">
        <v>1987</v>
      </c>
      <c r="B4268" t="s">
        <v>112</v>
      </c>
      <c r="C4268" t="s">
        <v>113</v>
      </c>
      <c r="D4268">
        <v>547058</v>
      </c>
    </row>
    <row r="4269" spans="1:4" x14ac:dyDescent="0.35">
      <c r="A4269" s="1">
        <v>1987</v>
      </c>
      <c r="B4269" t="s">
        <v>186</v>
      </c>
      <c r="C4269" t="s">
        <v>187</v>
      </c>
      <c r="D4269">
        <v>341867</v>
      </c>
    </row>
    <row r="4270" spans="1:4" x14ac:dyDescent="0.35">
      <c r="A4270" s="1">
        <v>1987</v>
      </c>
      <c r="B4270" t="s">
        <v>188</v>
      </c>
      <c r="C4270" t="s">
        <v>189</v>
      </c>
      <c r="D4270">
        <v>196128</v>
      </c>
    </row>
    <row r="4271" spans="1:4" x14ac:dyDescent="0.35">
      <c r="A4271" s="1">
        <v>1987</v>
      </c>
      <c r="B4271" t="s">
        <v>208</v>
      </c>
      <c r="C4271" t="s">
        <v>209</v>
      </c>
      <c r="D4271">
        <v>771200</v>
      </c>
    </row>
    <row r="4272" spans="1:4" x14ac:dyDescent="0.35">
      <c r="A4272" s="1">
        <v>1987</v>
      </c>
      <c r="B4272" t="s">
        <v>210</v>
      </c>
      <c r="C4272" t="s">
        <v>211</v>
      </c>
      <c r="D4272">
        <v>451367</v>
      </c>
    </row>
    <row r="4273" spans="1:4" x14ac:dyDescent="0.35">
      <c r="A4273" s="1">
        <v>1987</v>
      </c>
      <c r="B4273" t="s">
        <v>198</v>
      </c>
      <c r="C4273" t="s">
        <v>199</v>
      </c>
      <c r="D4273">
        <v>501189</v>
      </c>
    </row>
    <row r="4274" spans="1:4" x14ac:dyDescent="0.35">
      <c r="A4274" s="1">
        <v>1987</v>
      </c>
      <c r="B4274" t="s">
        <v>160</v>
      </c>
      <c r="C4274" t="s">
        <v>161</v>
      </c>
      <c r="D4274">
        <v>376706</v>
      </c>
    </row>
    <row r="4275" spans="1:4" x14ac:dyDescent="0.35">
      <c r="A4275" s="1">
        <v>1987</v>
      </c>
      <c r="B4275" t="s">
        <v>162</v>
      </c>
      <c r="C4275" t="s">
        <v>163</v>
      </c>
      <c r="D4275">
        <v>355932</v>
      </c>
    </row>
    <row r="4276" spans="1:4" x14ac:dyDescent="0.35">
      <c r="A4276" s="1">
        <v>1987</v>
      </c>
      <c r="B4276" t="s">
        <v>102</v>
      </c>
      <c r="C4276" t="s">
        <v>103</v>
      </c>
      <c r="D4276">
        <v>389432</v>
      </c>
    </row>
    <row r="4277" spans="1:4" x14ac:dyDescent="0.35">
      <c r="A4277" s="1">
        <v>1987</v>
      </c>
      <c r="B4277" t="s">
        <v>44</v>
      </c>
      <c r="C4277" t="s">
        <v>45</v>
      </c>
      <c r="D4277">
        <v>318711</v>
      </c>
    </row>
    <row r="4278" spans="1:4" x14ac:dyDescent="0.35">
      <c r="A4278" s="1">
        <v>1987</v>
      </c>
      <c r="B4278" t="s">
        <v>46</v>
      </c>
      <c r="C4278" t="s">
        <v>221</v>
      </c>
      <c r="D4278">
        <v>132799</v>
      </c>
    </row>
    <row r="4279" spans="1:4" x14ac:dyDescent="0.35">
      <c r="A4279" s="1">
        <v>1987</v>
      </c>
      <c r="B4279" t="s">
        <v>120</v>
      </c>
      <c r="C4279" t="s">
        <v>121</v>
      </c>
      <c r="D4279">
        <v>1038400</v>
      </c>
    </row>
    <row r="4280" spans="1:4" x14ac:dyDescent="0.35">
      <c r="A4280" s="1">
        <v>1987</v>
      </c>
      <c r="B4280" t="s">
        <v>122</v>
      </c>
      <c r="C4280" t="s">
        <v>222</v>
      </c>
      <c r="D4280">
        <v>1388479</v>
      </c>
    </row>
    <row r="4281" spans="1:4" x14ac:dyDescent="0.35">
      <c r="A4281" s="1">
        <v>1987</v>
      </c>
      <c r="B4281" t="s">
        <v>124</v>
      </c>
      <c r="C4281" t="s">
        <v>125</v>
      </c>
      <c r="D4281">
        <v>1360152</v>
      </c>
    </row>
    <row r="4282" spans="1:4" x14ac:dyDescent="0.35">
      <c r="A4282" s="1">
        <v>1987</v>
      </c>
      <c r="B4282" t="s">
        <v>126</v>
      </c>
      <c r="C4282" t="s">
        <v>127</v>
      </c>
      <c r="D4282">
        <v>1203734</v>
      </c>
    </row>
    <row r="4283" spans="1:4" x14ac:dyDescent="0.35">
      <c r="A4283" s="1">
        <v>1987</v>
      </c>
      <c r="B4283" t="s">
        <v>128</v>
      </c>
      <c r="C4283" t="s">
        <v>129</v>
      </c>
      <c r="D4283">
        <v>993428</v>
      </c>
    </row>
    <row r="4284" spans="1:4" x14ac:dyDescent="0.35">
      <c r="A4284" s="1">
        <v>1987</v>
      </c>
      <c r="B4284" t="s">
        <v>257</v>
      </c>
      <c r="D4284">
        <v>55681780</v>
      </c>
    </row>
    <row r="4285" spans="1:4" x14ac:dyDescent="0.35">
      <c r="A4285" s="1">
        <v>1987</v>
      </c>
    </row>
    <row r="4286" spans="1:4" x14ac:dyDescent="0.35">
      <c r="A4286" s="1">
        <v>1987</v>
      </c>
      <c r="B4286" t="s">
        <v>240</v>
      </c>
    </row>
    <row r="4287" spans="1:4" x14ac:dyDescent="0.35">
      <c r="A4287" s="1">
        <v>1987</v>
      </c>
      <c r="B4287" t="s">
        <v>278</v>
      </c>
    </row>
    <row r="4288" spans="1:4" x14ac:dyDescent="0.35">
      <c r="A4288" s="1">
        <v>1986</v>
      </c>
      <c r="B4288" t="s">
        <v>251</v>
      </c>
    </row>
    <row r="4289" spans="1:4" x14ac:dyDescent="0.35">
      <c r="A4289" s="1">
        <v>1986</v>
      </c>
      <c r="B4289" t="s">
        <v>281</v>
      </c>
    </row>
    <row r="4290" spans="1:4" x14ac:dyDescent="0.35">
      <c r="A4290" s="1">
        <v>1986</v>
      </c>
    </row>
    <row r="4291" spans="1:4" x14ac:dyDescent="0.35">
      <c r="A4291" s="1">
        <v>1986</v>
      </c>
      <c r="B4291" t="s">
        <v>231</v>
      </c>
    </row>
    <row r="4292" spans="1:4" x14ac:dyDescent="0.35">
      <c r="A4292" s="1">
        <v>1986</v>
      </c>
      <c r="D4292" t="s">
        <v>232</v>
      </c>
    </row>
    <row r="4293" spans="1:4" x14ac:dyDescent="0.35">
      <c r="A4293" s="1">
        <v>1986</v>
      </c>
      <c r="B4293" t="s">
        <v>5</v>
      </c>
      <c r="C4293" t="s">
        <v>6</v>
      </c>
      <c r="D4293">
        <v>442444</v>
      </c>
    </row>
    <row r="4294" spans="1:4" x14ac:dyDescent="0.35">
      <c r="A4294" s="1">
        <v>1986</v>
      </c>
      <c r="B4294" t="s">
        <v>104</v>
      </c>
      <c r="C4294" t="s">
        <v>105</v>
      </c>
      <c r="D4294">
        <v>536341</v>
      </c>
    </row>
    <row r="4295" spans="1:4" x14ac:dyDescent="0.35">
      <c r="A4295" s="1">
        <v>1986</v>
      </c>
      <c r="B4295" t="s">
        <v>10</v>
      </c>
      <c r="C4295" t="s">
        <v>11</v>
      </c>
      <c r="D4295">
        <v>365782</v>
      </c>
    </row>
    <row r="4296" spans="1:4" x14ac:dyDescent="0.35">
      <c r="A4296" s="1">
        <v>1986</v>
      </c>
      <c r="B4296" t="s">
        <v>200</v>
      </c>
      <c r="C4296" t="s">
        <v>201</v>
      </c>
      <c r="D4296">
        <v>125268</v>
      </c>
    </row>
    <row r="4297" spans="1:4" x14ac:dyDescent="0.35">
      <c r="A4297" s="1">
        <v>1986</v>
      </c>
      <c r="B4297" t="s">
        <v>202</v>
      </c>
      <c r="C4297" t="s">
        <v>203</v>
      </c>
      <c r="D4297">
        <v>109332</v>
      </c>
    </row>
    <row r="4298" spans="1:4" x14ac:dyDescent="0.35">
      <c r="A4298" s="1">
        <v>1986</v>
      </c>
      <c r="B4298" t="s">
        <v>204</v>
      </c>
      <c r="C4298" t="s">
        <v>205</v>
      </c>
      <c r="D4298">
        <v>922321</v>
      </c>
    </row>
    <row r="4299" spans="1:4" x14ac:dyDescent="0.35">
      <c r="A4299" s="1">
        <v>1986</v>
      </c>
      <c r="B4299" t="s">
        <v>12</v>
      </c>
      <c r="C4299" t="s">
        <v>13</v>
      </c>
      <c r="D4299">
        <v>274306</v>
      </c>
    </row>
    <row r="4300" spans="1:4" x14ac:dyDescent="0.35">
      <c r="A4300" s="1">
        <v>1986</v>
      </c>
      <c r="B4300" t="s">
        <v>84</v>
      </c>
      <c r="C4300" t="s">
        <v>85</v>
      </c>
      <c r="D4300">
        <v>300957</v>
      </c>
    </row>
    <row r="4301" spans="1:4" x14ac:dyDescent="0.35">
      <c r="A4301" s="1">
        <v>1986</v>
      </c>
      <c r="B4301" t="s">
        <v>164</v>
      </c>
      <c r="C4301" t="s">
        <v>165</v>
      </c>
      <c r="D4301">
        <v>136676</v>
      </c>
    </row>
    <row r="4302" spans="1:4" x14ac:dyDescent="0.35">
      <c r="A4302" s="1">
        <v>1986</v>
      </c>
      <c r="B4302" t="s">
        <v>86</v>
      </c>
      <c r="C4302" t="s">
        <v>87</v>
      </c>
      <c r="D4302">
        <v>291046</v>
      </c>
    </row>
    <row r="4303" spans="1:4" x14ac:dyDescent="0.35">
      <c r="A4303" s="1">
        <v>1986</v>
      </c>
      <c r="B4303" t="s">
        <v>166</v>
      </c>
      <c r="C4303" t="s">
        <v>167</v>
      </c>
      <c r="D4303">
        <v>287597</v>
      </c>
    </row>
    <row r="4304" spans="1:4" x14ac:dyDescent="0.35">
      <c r="A4304" s="1">
        <v>1986</v>
      </c>
      <c r="B4304" t="s">
        <v>168</v>
      </c>
      <c r="C4304" t="s">
        <v>169</v>
      </c>
      <c r="D4304">
        <v>276212</v>
      </c>
    </row>
    <row r="4305" spans="1:4" x14ac:dyDescent="0.35">
      <c r="A4305" s="1">
        <v>1986</v>
      </c>
      <c r="B4305" t="s">
        <v>206</v>
      </c>
      <c r="C4305" t="s">
        <v>207</v>
      </c>
      <c r="D4305">
        <v>1737244</v>
      </c>
    </row>
    <row r="4306" spans="1:4" x14ac:dyDescent="0.35">
      <c r="A4306" s="1">
        <v>1986</v>
      </c>
      <c r="B4306" t="s">
        <v>130</v>
      </c>
      <c r="C4306" t="s">
        <v>131</v>
      </c>
      <c r="D4306">
        <v>605672</v>
      </c>
    </row>
    <row r="4307" spans="1:4" x14ac:dyDescent="0.35">
      <c r="A4307" s="1">
        <v>1986</v>
      </c>
      <c r="B4307" t="s">
        <v>14</v>
      </c>
      <c r="C4307" t="s">
        <v>15</v>
      </c>
      <c r="D4307">
        <v>160639</v>
      </c>
    </row>
    <row r="4308" spans="1:4" x14ac:dyDescent="0.35">
      <c r="A4308" s="1">
        <v>1986</v>
      </c>
      <c r="B4308" t="s">
        <v>140</v>
      </c>
      <c r="C4308" t="s">
        <v>141</v>
      </c>
      <c r="D4308">
        <v>340987</v>
      </c>
    </row>
    <row r="4309" spans="1:4" x14ac:dyDescent="0.35">
      <c r="A4309" s="1">
        <v>1986</v>
      </c>
      <c r="B4309" t="s">
        <v>142</v>
      </c>
      <c r="C4309" t="s">
        <v>143</v>
      </c>
      <c r="D4309">
        <v>519544</v>
      </c>
    </row>
    <row r="4310" spans="1:4" x14ac:dyDescent="0.35">
      <c r="A4310" s="1">
        <v>1986</v>
      </c>
      <c r="B4310" t="s">
        <v>56</v>
      </c>
      <c r="C4310" t="s">
        <v>57</v>
      </c>
      <c r="D4310">
        <v>321225</v>
      </c>
    </row>
    <row r="4311" spans="1:4" x14ac:dyDescent="0.35">
      <c r="A4311" s="1">
        <v>1986</v>
      </c>
      <c r="B4311" t="s">
        <v>144</v>
      </c>
      <c r="C4311" t="s">
        <v>145</v>
      </c>
      <c r="D4311">
        <v>240558</v>
      </c>
    </row>
    <row r="4312" spans="1:4" x14ac:dyDescent="0.35">
      <c r="A4312" s="1">
        <v>1986</v>
      </c>
      <c r="B4312" t="s">
        <v>68</v>
      </c>
      <c r="C4312" t="s">
        <v>69</v>
      </c>
      <c r="D4312">
        <v>113353</v>
      </c>
    </row>
    <row r="4313" spans="1:4" x14ac:dyDescent="0.35">
      <c r="A4313" s="1">
        <v>1986</v>
      </c>
      <c r="B4313" t="s">
        <v>70</v>
      </c>
      <c r="C4313" t="s">
        <v>71</v>
      </c>
      <c r="D4313">
        <v>132018</v>
      </c>
    </row>
    <row r="4314" spans="1:4" x14ac:dyDescent="0.35">
      <c r="A4314" s="1">
        <v>1986</v>
      </c>
      <c r="B4314" t="s">
        <v>32</v>
      </c>
      <c r="C4314" t="s">
        <v>219</v>
      </c>
      <c r="D4314">
        <v>483850</v>
      </c>
    </row>
    <row r="4315" spans="1:4" x14ac:dyDescent="0.35">
      <c r="A4315" s="1">
        <v>1986</v>
      </c>
      <c r="B4315" t="s">
        <v>48</v>
      </c>
      <c r="C4315" t="s">
        <v>220</v>
      </c>
      <c r="D4315">
        <v>538647</v>
      </c>
    </row>
    <row r="4316" spans="1:4" x14ac:dyDescent="0.35">
      <c r="A4316" s="1">
        <v>1986</v>
      </c>
      <c r="B4316" t="s">
        <v>146</v>
      </c>
      <c r="C4316" t="s">
        <v>147</v>
      </c>
      <c r="D4316">
        <v>135503</v>
      </c>
    </row>
    <row r="4317" spans="1:4" x14ac:dyDescent="0.35">
      <c r="A4317" s="1">
        <v>1986</v>
      </c>
      <c r="B4317" t="s">
        <v>148</v>
      </c>
      <c r="C4317" t="s">
        <v>149</v>
      </c>
      <c r="D4317">
        <v>383668</v>
      </c>
    </row>
    <row r="4318" spans="1:4" x14ac:dyDescent="0.35">
      <c r="A4318" s="1">
        <v>1986</v>
      </c>
      <c r="B4318" t="s">
        <v>34</v>
      </c>
      <c r="C4318" t="s">
        <v>35</v>
      </c>
      <c r="D4318">
        <v>482063</v>
      </c>
    </row>
    <row r="4319" spans="1:4" x14ac:dyDescent="0.35">
      <c r="A4319" s="1">
        <v>1986</v>
      </c>
      <c r="B4319" t="s">
        <v>16</v>
      </c>
      <c r="C4319" t="s">
        <v>17</v>
      </c>
      <c r="D4319">
        <v>403839</v>
      </c>
    </row>
    <row r="4320" spans="1:4" x14ac:dyDescent="0.35">
      <c r="A4320" s="1">
        <v>1986</v>
      </c>
      <c r="B4320" t="s">
        <v>132</v>
      </c>
      <c r="C4320" t="s">
        <v>133</v>
      </c>
      <c r="D4320">
        <v>487171</v>
      </c>
    </row>
    <row r="4321" spans="1:4" x14ac:dyDescent="0.35">
      <c r="A4321" s="1">
        <v>1986</v>
      </c>
      <c r="B4321" t="s">
        <v>58</v>
      </c>
      <c r="C4321" t="s">
        <v>59</v>
      </c>
      <c r="D4321">
        <v>379599</v>
      </c>
    </row>
    <row r="4322" spans="1:4" x14ac:dyDescent="0.35">
      <c r="A4322" s="1">
        <v>1986</v>
      </c>
      <c r="B4322" t="s">
        <v>50</v>
      </c>
      <c r="C4322" t="s">
        <v>51</v>
      </c>
      <c r="D4322">
        <v>833230</v>
      </c>
    </row>
    <row r="4323" spans="1:4" x14ac:dyDescent="0.35">
      <c r="A4323" s="1">
        <v>1986</v>
      </c>
      <c r="B4323" t="s">
        <v>170</v>
      </c>
      <c r="C4323" t="s">
        <v>171</v>
      </c>
      <c r="D4323">
        <v>555259</v>
      </c>
    </row>
    <row r="4324" spans="1:4" x14ac:dyDescent="0.35">
      <c r="A4324" s="1">
        <v>1986</v>
      </c>
      <c r="B4324" t="s">
        <v>172</v>
      </c>
      <c r="C4324" t="s">
        <v>173</v>
      </c>
      <c r="D4324">
        <v>872277</v>
      </c>
    </row>
    <row r="4325" spans="1:4" x14ac:dyDescent="0.35">
      <c r="A4325" s="1">
        <v>1986</v>
      </c>
      <c r="B4325" t="s">
        <v>174</v>
      </c>
      <c r="C4325" t="s">
        <v>175</v>
      </c>
      <c r="D4325">
        <v>174814</v>
      </c>
    </row>
    <row r="4326" spans="1:4" x14ac:dyDescent="0.35">
      <c r="A4326" s="1">
        <v>1986</v>
      </c>
      <c r="B4326" t="s">
        <v>150</v>
      </c>
      <c r="C4326" t="s">
        <v>151</v>
      </c>
      <c r="D4326">
        <v>1170733</v>
      </c>
    </row>
    <row r="4327" spans="1:4" x14ac:dyDescent="0.35">
      <c r="A4327" s="1">
        <v>1986</v>
      </c>
      <c r="B4327" t="s">
        <v>176</v>
      </c>
      <c r="C4327" t="s">
        <v>177</v>
      </c>
      <c r="D4327">
        <v>752727</v>
      </c>
    </row>
    <row r="4328" spans="1:4" x14ac:dyDescent="0.35">
      <c r="A4328" s="1">
        <v>1986</v>
      </c>
      <c r="B4328" t="s">
        <v>52</v>
      </c>
      <c r="C4328" t="s">
        <v>53</v>
      </c>
      <c r="D4328">
        <v>772420</v>
      </c>
    </row>
    <row r="4329" spans="1:4" x14ac:dyDescent="0.35">
      <c r="A4329" s="1">
        <v>1986</v>
      </c>
      <c r="B4329" t="s">
        <v>60</v>
      </c>
      <c r="C4329" t="s">
        <v>61</v>
      </c>
      <c r="D4329">
        <v>240989</v>
      </c>
    </row>
    <row r="4330" spans="1:4" x14ac:dyDescent="0.35">
      <c r="A4330" s="1">
        <v>1986</v>
      </c>
      <c r="B4330" t="s">
        <v>62</v>
      </c>
      <c r="C4330" t="s">
        <v>63</v>
      </c>
      <c r="D4330">
        <v>519485</v>
      </c>
    </row>
    <row r="4331" spans="1:4" x14ac:dyDescent="0.35">
      <c r="A4331" s="1">
        <v>1986</v>
      </c>
      <c r="B4331" t="s">
        <v>18</v>
      </c>
      <c r="C4331" t="s">
        <v>19</v>
      </c>
      <c r="D4331">
        <v>972424</v>
      </c>
    </row>
    <row r="4332" spans="1:4" x14ac:dyDescent="0.35">
      <c r="A4332" s="1">
        <v>1986</v>
      </c>
      <c r="B4332" t="s">
        <v>36</v>
      </c>
      <c r="C4332" t="s">
        <v>37</v>
      </c>
      <c r="D4332">
        <v>246362</v>
      </c>
    </row>
    <row r="4333" spans="1:4" x14ac:dyDescent="0.35">
      <c r="A4333" s="1">
        <v>1986</v>
      </c>
      <c r="B4333" t="s">
        <v>152</v>
      </c>
      <c r="C4333" t="s">
        <v>153</v>
      </c>
      <c r="D4333">
        <v>305739</v>
      </c>
    </row>
    <row r="4334" spans="1:4" x14ac:dyDescent="0.35">
      <c r="A4334" s="1">
        <v>1986</v>
      </c>
      <c r="B4334" t="s">
        <v>64</v>
      </c>
      <c r="C4334" t="s">
        <v>65</v>
      </c>
      <c r="D4334">
        <v>301398</v>
      </c>
    </row>
    <row r="4335" spans="1:4" x14ac:dyDescent="0.35">
      <c r="A4335" s="1">
        <v>1986</v>
      </c>
      <c r="B4335" t="s">
        <v>20</v>
      </c>
      <c r="C4335" t="s">
        <v>21</v>
      </c>
      <c r="D4335">
        <v>742368</v>
      </c>
    </row>
    <row r="4336" spans="1:4" x14ac:dyDescent="0.35">
      <c r="A4336" s="1">
        <v>1986</v>
      </c>
      <c r="B4336" t="s">
        <v>22</v>
      </c>
      <c r="C4336" t="s">
        <v>23</v>
      </c>
      <c r="D4336">
        <v>206953</v>
      </c>
    </row>
    <row r="4337" spans="1:4" x14ac:dyDescent="0.35">
      <c r="A4337" s="1">
        <v>1986</v>
      </c>
      <c r="B4337" t="s">
        <v>190</v>
      </c>
      <c r="C4337" t="s">
        <v>191</v>
      </c>
      <c r="D4337">
        <v>1023924</v>
      </c>
    </row>
    <row r="4338" spans="1:4" x14ac:dyDescent="0.35">
      <c r="A4338" s="1">
        <v>1986</v>
      </c>
      <c r="B4338" t="s">
        <v>66</v>
      </c>
      <c r="C4338" t="s">
        <v>67</v>
      </c>
      <c r="D4338">
        <v>557143</v>
      </c>
    </row>
    <row r="4339" spans="1:4" x14ac:dyDescent="0.35">
      <c r="A4339" s="1">
        <v>1986</v>
      </c>
      <c r="B4339" t="s">
        <v>178</v>
      </c>
      <c r="C4339" t="s">
        <v>179</v>
      </c>
      <c r="D4339">
        <v>155421</v>
      </c>
    </row>
    <row r="4340" spans="1:4" x14ac:dyDescent="0.35">
      <c r="A4340" s="1">
        <v>1986</v>
      </c>
      <c r="B4340" t="s">
        <v>154</v>
      </c>
      <c r="C4340" t="s">
        <v>155</v>
      </c>
      <c r="D4340">
        <v>302261</v>
      </c>
    </row>
    <row r="4341" spans="1:4" x14ac:dyDescent="0.35">
      <c r="A4341" s="1">
        <v>1986</v>
      </c>
      <c r="B4341" t="s">
        <v>180</v>
      </c>
      <c r="C4341" t="s">
        <v>181</v>
      </c>
      <c r="D4341">
        <v>73678</v>
      </c>
    </row>
    <row r="4342" spans="1:4" x14ac:dyDescent="0.35">
      <c r="A4342" s="1">
        <v>1986</v>
      </c>
      <c r="B4342" t="s">
        <v>192</v>
      </c>
      <c r="C4342" t="s">
        <v>193</v>
      </c>
      <c r="D4342">
        <v>693512</v>
      </c>
    </row>
    <row r="4343" spans="1:4" x14ac:dyDescent="0.35">
      <c r="A4343" s="1">
        <v>1986</v>
      </c>
      <c r="B4343" t="s">
        <v>134</v>
      </c>
      <c r="C4343" t="s">
        <v>135</v>
      </c>
      <c r="D4343">
        <v>473621</v>
      </c>
    </row>
    <row r="4344" spans="1:4" x14ac:dyDescent="0.35">
      <c r="A4344" s="1">
        <v>1986</v>
      </c>
      <c r="B4344" t="s">
        <v>88</v>
      </c>
      <c r="C4344" t="s">
        <v>89</v>
      </c>
      <c r="D4344">
        <v>550959</v>
      </c>
    </row>
    <row r="4345" spans="1:4" x14ac:dyDescent="0.35">
      <c r="A4345" s="1">
        <v>1986</v>
      </c>
      <c r="B4345" t="s">
        <v>90</v>
      </c>
      <c r="C4345" t="s">
        <v>91</v>
      </c>
      <c r="D4345">
        <v>208148</v>
      </c>
    </row>
    <row r="4346" spans="1:4" x14ac:dyDescent="0.35">
      <c r="A4346" s="1">
        <v>1986</v>
      </c>
      <c r="B4346" t="s">
        <v>194</v>
      </c>
      <c r="C4346" t="s">
        <v>195</v>
      </c>
      <c r="D4346">
        <v>275448</v>
      </c>
    </row>
    <row r="4347" spans="1:4" x14ac:dyDescent="0.35">
      <c r="A4347" s="1">
        <v>1986</v>
      </c>
      <c r="B4347" t="s">
        <v>92</v>
      </c>
      <c r="C4347" t="s">
        <v>93</v>
      </c>
      <c r="D4347">
        <v>718980</v>
      </c>
    </row>
    <row r="4348" spans="1:4" x14ac:dyDescent="0.35">
      <c r="A4348" s="1">
        <v>1986</v>
      </c>
      <c r="B4348" t="s">
        <v>94</v>
      </c>
      <c r="C4348" t="s">
        <v>95</v>
      </c>
      <c r="D4348">
        <v>200228</v>
      </c>
    </row>
    <row r="4349" spans="1:4" x14ac:dyDescent="0.35">
      <c r="A4349" s="1">
        <v>1986</v>
      </c>
      <c r="B4349" t="s">
        <v>54</v>
      </c>
      <c r="C4349" t="s">
        <v>55</v>
      </c>
      <c r="D4349">
        <v>604596</v>
      </c>
    </row>
    <row r="4350" spans="1:4" x14ac:dyDescent="0.35">
      <c r="A4350" s="1">
        <v>1986</v>
      </c>
      <c r="B4350" t="s">
        <v>96</v>
      </c>
      <c r="C4350" t="s">
        <v>97</v>
      </c>
      <c r="D4350">
        <v>1015328</v>
      </c>
    </row>
    <row r="4351" spans="1:4" x14ac:dyDescent="0.35">
      <c r="A4351" s="1">
        <v>1986</v>
      </c>
      <c r="B4351" t="s">
        <v>38</v>
      </c>
      <c r="C4351" t="s">
        <v>39</v>
      </c>
      <c r="D4351">
        <v>236618</v>
      </c>
    </row>
    <row r="4352" spans="1:4" x14ac:dyDescent="0.35">
      <c r="A4352" s="1">
        <v>1986</v>
      </c>
      <c r="B4352" t="s">
        <v>106</v>
      </c>
      <c r="C4352" t="s">
        <v>107</v>
      </c>
      <c r="D4352">
        <v>2515827</v>
      </c>
    </row>
    <row r="4353" spans="1:4" x14ac:dyDescent="0.35">
      <c r="A4353" s="1">
        <v>1986</v>
      </c>
      <c r="B4353" t="s">
        <v>108</v>
      </c>
      <c r="C4353" t="s">
        <v>109</v>
      </c>
      <c r="D4353">
        <v>692794</v>
      </c>
    </row>
    <row r="4354" spans="1:4" x14ac:dyDescent="0.35">
      <c r="A4354" s="1">
        <v>1986</v>
      </c>
      <c r="B4354" t="s">
        <v>136</v>
      </c>
      <c r="C4354" t="s">
        <v>137</v>
      </c>
      <c r="D4354">
        <v>296569</v>
      </c>
    </row>
    <row r="4355" spans="1:4" x14ac:dyDescent="0.35">
      <c r="A4355" s="1">
        <v>1986</v>
      </c>
      <c r="B4355" t="s">
        <v>110</v>
      </c>
      <c r="C4355" t="s">
        <v>111</v>
      </c>
      <c r="D4355">
        <v>1425311</v>
      </c>
    </row>
    <row r="4356" spans="1:4" x14ac:dyDescent="0.35">
      <c r="A4356" s="1">
        <v>1986</v>
      </c>
      <c r="B4356" t="s">
        <v>24</v>
      </c>
      <c r="C4356" t="s">
        <v>25</v>
      </c>
      <c r="D4356">
        <v>596707</v>
      </c>
    </row>
    <row r="4357" spans="1:4" x14ac:dyDescent="0.35">
      <c r="A4357" s="1">
        <v>1986</v>
      </c>
      <c r="B4357" t="s">
        <v>156</v>
      </c>
      <c r="C4357" t="s">
        <v>157</v>
      </c>
      <c r="D4357">
        <v>565568</v>
      </c>
    </row>
    <row r="4358" spans="1:4" x14ac:dyDescent="0.35">
      <c r="A4358" s="1">
        <v>1986</v>
      </c>
      <c r="B4358" t="s">
        <v>182</v>
      </c>
      <c r="C4358" t="s">
        <v>183</v>
      </c>
      <c r="D4358">
        <v>228664</v>
      </c>
    </row>
    <row r="4359" spans="1:4" x14ac:dyDescent="0.35">
      <c r="A4359" s="1">
        <v>1986</v>
      </c>
      <c r="B4359" t="s">
        <v>184</v>
      </c>
      <c r="C4359" t="s">
        <v>185</v>
      </c>
      <c r="D4359">
        <v>346069</v>
      </c>
    </row>
    <row r="4360" spans="1:4" x14ac:dyDescent="0.35">
      <c r="A4360" s="1">
        <v>1986</v>
      </c>
      <c r="B4360" t="s">
        <v>98</v>
      </c>
      <c r="C4360" t="s">
        <v>99</v>
      </c>
      <c r="D4360">
        <v>933806</v>
      </c>
    </row>
    <row r="4361" spans="1:4" x14ac:dyDescent="0.35">
      <c r="A4361" s="1">
        <v>1986</v>
      </c>
      <c r="B4361" t="s">
        <v>100</v>
      </c>
      <c r="C4361" t="s">
        <v>101</v>
      </c>
      <c r="D4361">
        <v>659116</v>
      </c>
    </row>
    <row r="4362" spans="1:4" x14ac:dyDescent="0.35">
      <c r="A4362" s="1">
        <v>1986</v>
      </c>
      <c r="B4362" t="s">
        <v>26</v>
      </c>
      <c r="C4362" t="s">
        <v>27</v>
      </c>
      <c r="D4362">
        <v>1463035</v>
      </c>
    </row>
    <row r="4363" spans="1:4" x14ac:dyDescent="0.35">
      <c r="A4363" s="1">
        <v>1986</v>
      </c>
      <c r="B4363" t="s">
        <v>40</v>
      </c>
      <c r="C4363" t="s">
        <v>41</v>
      </c>
      <c r="D4363">
        <v>232141</v>
      </c>
    </row>
    <row r="4364" spans="1:4" x14ac:dyDescent="0.35">
      <c r="A4364" s="1">
        <v>1986</v>
      </c>
      <c r="B4364" t="s">
        <v>42</v>
      </c>
      <c r="C4364" t="s">
        <v>43</v>
      </c>
      <c r="D4364">
        <v>565113</v>
      </c>
    </row>
    <row r="4365" spans="1:4" x14ac:dyDescent="0.35">
      <c r="A4365" s="1">
        <v>1986</v>
      </c>
      <c r="B4365" t="s">
        <v>196</v>
      </c>
      <c r="C4365" t="s">
        <v>197</v>
      </c>
      <c r="D4365">
        <v>510982</v>
      </c>
    </row>
    <row r="4366" spans="1:4" x14ac:dyDescent="0.35">
      <c r="A4366" s="1">
        <v>1986</v>
      </c>
      <c r="B4366" t="s">
        <v>28</v>
      </c>
      <c r="C4366" t="s">
        <v>29</v>
      </c>
      <c r="D4366">
        <v>330628</v>
      </c>
    </row>
    <row r="4367" spans="1:4" x14ac:dyDescent="0.35">
      <c r="A4367" s="1">
        <v>1986</v>
      </c>
      <c r="B4367" t="s">
        <v>30</v>
      </c>
      <c r="C4367" t="s">
        <v>31</v>
      </c>
      <c r="D4367">
        <v>527289</v>
      </c>
    </row>
    <row r="4368" spans="1:4" x14ac:dyDescent="0.35">
      <c r="A4368" s="1">
        <v>1986</v>
      </c>
      <c r="B4368" t="s">
        <v>114</v>
      </c>
      <c r="C4368" t="s">
        <v>115</v>
      </c>
      <c r="D4368">
        <v>2165394</v>
      </c>
    </row>
    <row r="4369" spans="1:4" x14ac:dyDescent="0.35">
      <c r="A4369" s="1">
        <v>1986</v>
      </c>
      <c r="B4369" t="s">
        <v>138</v>
      </c>
      <c r="C4369" t="s">
        <v>139</v>
      </c>
      <c r="D4369">
        <v>1209885</v>
      </c>
    </row>
    <row r="4370" spans="1:4" x14ac:dyDescent="0.35">
      <c r="A4370" s="1">
        <v>1986</v>
      </c>
      <c r="B4370" t="s">
        <v>116</v>
      </c>
      <c r="C4370" t="s">
        <v>117</v>
      </c>
      <c r="D4370">
        <v>968199</v>
      </c>
    </row>
    <row r="4371" spans="1:4" x14ac:dyDescent="0.35">
      <c r="A4371" s="1">
        <v>1986</v>
      </c>
      <c r="B4371" t="s">
        <v>118</v>
      </c>
      <c r="C4371" t="s">
        <v>119</v>
      </c>
      <c r="D4371">
        <v>1245377</v>
      </c>
    </row>
    <row r="4372" spans="1:4" x14ac:dyDescent="0.35">
      <c r="A4372" s="1">
        <v>1986</v>
      </c>
      <c r="B4372" t="s">
        <v>158</v>
      </c>
      <c r="C4372" t="s">
        <v>159</v>
      </c>
      <c r="D4372">
        <v>343997</v>
      </c>
    </row>
    <row r="4373" spans="1:4" x14ac:dyDescent="0.35">
      <c r="A4373" s="1">
        <v>1986</v>
      </c>
      <c r="B4373" t="s">
        <v>112</v>
      </c>
      <c r="C4373" t="s">
        <v>113</v>
      </c>
      <c r="D4373">
        <v>548156</v>
      </c>
    </row>
    <row r="4374" spans="1:4" x14ac:dyDescent="0.35">
      <c r="A4374" s="1">
        <v>1986</v>
      </c>
      <c r="B4374" t="s">
        <v>186</v>
      </c>
      <c r="C4374" t="s">
        <v>187</v>
      </c>
      <c r="D4374">
        <v>341195</v>
      </c>
    </row>
    <row r="4375" spans="1:4" x14ac:dyDescent="0.35">
      <c r="A4375" s="1">
        <v>1986</v>
      </c>
      <c r="B4375" t="s">
        <v>188</v>
      </c>
      <c r="C4375" t="s">
        <v>189</v>
      </c>
      <c r="D4375">
        <v>194896</v>
      </c>
    </row>
    <row r="4376" spans="1:4" x14ac:dyDescent="0.35">
      <c r="A4376" s="1">
        <v>1986</v>
      </c>
      <c r="B4376" t="s">
        <v>208</v>
      </c>
      <c r="C4376" t="s">
        <v>209</v>
      </c>
      <c r="D4376">
        <v>758209</v>
      </c>
    </row>
    <row r="4377" spans="1:4" x14ac:dyDescent="0.35">
      <c r="A4377" s="1">
        <v>1986</v>
      </c>
      <c r="B4377" t="s">
        <v>210</v>
      </c>
      <c r="C4377" t="s">
        <v>211</v>
      </c>
      <c r="D4377">
        <v>446293</v>
      </c>
    </row>
    <row r="4378" spans="1:4" x14ac:dyDescent="0.35">
      <c r="A4378" s="1">
        <v>1986</v>
      </c>
      <c r="B4378" t="s">
        <v>198</v>
      </c>
      <c r="C4378" t="s">
        <v>199</v>
      </c>
      <c r="D4378">
        <v>497810</v>
      </c>
    </row>
    <row r="4379" spans="1:4" x14ac:dyDescent="0.35">
      <c r="A4379" s="1">
        <v>1986</v>
      </c>
      <c r="B4379" t="s">
        <v>160</v>
      </c>
      <c r="C4379" t="s">
        <v>161</v>
      </c>
      <c r="D4379">
        <v>375761</v>
      </c>
    </row>
    <row r="4380" spans="1:4" x14ac:dyDescent="0.35">
      <c r="A4380" s="1">
        <v>1986</v>
      </c>
      <c r="B4380" t="s">
        <v>162</v>
      </c>
      <c r="C4380" t="s">
        <v>163</v>
      </c>
      <c r="D4380">
        <v>357177</v>
      </c>
    </row>
    <row r="4381" spans="1:4" x14ac:dyDescent="0.35">
      <c r="A4381" s="1">
        <v>1986</v>
      </c>
      <c r="B4381" t="s">
        <v>102</v>
      </c>
      <c r="C4381" t="s">
        <v>103</v>
      </c>
      <c r="D4381">
        <v>391589</v>
      </c>
    </row>
    <row r="4382" spans="1:4" x14ac:dyDescent="0.35">
      <c r="A4382" s="1">
        <v>1986</v>
      </c>
      <c r="B4382" t="s">
        <v>44</v>
      </c>
      <c r="C4382" t="s">
        <v>45</v>
      </c>
      <c r="D4382">
        <v>317118</v>
      </c>
    </row>
    <row r="4383" spans="1:4" x14ac:dyDescent="0.35">
      <c r="A4383" s="1">
        <v>1986</v>
      </c>
      <c r="B4383" t="s">
        <v>46</v>
      </c>
      <c r="C4383" t="s">
        <v>221</v>
      </c>
      <c r="D4383">
        <v>132938</v>
      </c>
    </row>
    <row r="4384" spans="1:4" x14ac:dyDescent="0.35">
      <c r="A4384" s="1">
        <v>1986</v>
      </c>
      <c r="B4384" t="s">
        <v>120</v>
      </c>
      <c r="C4384" t="s">
        <v>121</v>
      </c>
      <c r="D4384">
        <v>1026373</v>
      </c>
    </row>
    <row r="4385" spans="1:4" x14ac:dyDescent="0.35">
      <c r="A4385" s="1">
        <v>1986</v>
      </c>
      <c r="B4385" t="s">
        <v>122</v>
      </c>
      <c r="C4385" t="s">
        <v>222</v>
      </c>
      <c r="D4385">
        <v>1387341</v>
      </c>
    </row>
    <row r="4386" spans="1:4" x14ac:dyDescent="0.35">
      <c r="A4386" s="1">
        <v>1986</v>
      </c>
      <c r="B4386" t="s">
        <v>124</v>
      </c>
      <c r="C4386" t="s">
        <v>125</v>
      </c>
      <c r="D4386">
        <v>1347656</v>
      </c>
    </row>
    <row r="4387" spans="1:4" x14ac:dyDescent="0.35">
      <c r="A4387" s="1">
        <v>1986</v>
      </c>
      <c r="B4387" t="s">
        <v>126</v>
      </c>
      <c r="C4387" t="s">
        <v>127</v>
      </c>
      <c r="D4387">
        <v>1200734</v>
      </c>
    </row>
    <row r="4388" spans="1:4" x14ac:dyDescent="0.35">
      <c r="A4388" s="1">
        <v>1986</v>
      </c>
      <c r="B4388" t="s">
        <v>128</v>
      </c>
      <c r="C4388" t="s">
        <v>129</v>
      </c>
      <c r="D4388">
        <v>974616</v>
      </c>
    </row>
    <row r="4389" spans="1:4" x14ac:dyDescent="0.35">
      <c r="A4389" s="1">
        <v>1986</v>
      </c>
      <c r="B4389" t="s">
        <v>257</v>
      </c>
      <c r="D4389">
        <v>55411238</v>
      </c>
    </row>
    <row r="4390" spans="1:4" x14ac:dyDescent="0.35">
      <c r="A4390" s="1">
        <v>1986</v>
      </c>
    </row>
    <row r="4391" spans="1:4" x14ac:dyDescent="0.35">
      <c r="A4391" s="1">
        <v>1986</v>
      </c>
      <c r="B4391" t="s">
        <v>240</v>
      </c>
    </row>
    <row r="4392" spans="1:4" x14ac:dyDescent="0.35">
      <c r="A4392" s="1">
        <v>1986</v>
      </c>
      <c r="B4392" t="s">
        <v>278</v>
      </c>
    </row>
    <row r="4393" spans="1:4" x14ac:dyDescent="0.35">
      <c r="A4393" s="1">
        <v>1985</v>
      </c>
      <c r="B4393" t="s">
        <v>251</v>
      </c>
    </row>
    <row r="4394" spans="1:4" x14ac:dyDescent="0.35">
      <c r="A4394" s="1">
        <v>1985</v>
      </c>
      <c r="B4394" t="s">
        <v>282</v>
      </c>
    </row>
    <row r="4395" spans="1:4" x14ac:dyDescent="0.35">
      <c r="A4395" s="1">
        <v>1985</v>
      </c>
    </row>
    <row r="4396" spans="1:4" x14ac:dyDescent="0.35">
      <c r="A4396" s="1">
        <v>1985</v>
      </c>
      <c r="B4396" t="s">
        <v>231</v>
      </c>
    </row>
    <row r="4397" spans="1:4" x14ac:dyDescent="0.35">
      <c r="A4397" s="1">
        <v>1985</v>
      </c>
      <c r="D4397" t="s">
        <v>232</v>
      </c>
    </row>
    <row r="4398" spans="1:4" x14ac:dyDescent="0.35">
      <c r="A4398" s="1">
        <v>1985</v>
      </c>
      <c r="B4398" t="s">
        <v>5</v>
      </c>
      <c r="C4398" t="s">
        <v>6</v>
      </c>
      <c r="D4398">
        <v>435630</v>
      </c>
    </row>
    <row r="4399" spans="1:4" x14ac:dyDescent="0.35">
      <c r="A4399" s="1">
        <v>1985</v>
      </c>
      <c r="B4399" t="s">
        <v>104</v>
      </c>
      <c r="C4399" t="s">
        <v>105</v>
      </c>
      <c r="D4399">
        <v>534807</v>
      </c>
    </row>
    <row r="4400" spans="1:4" x14ac:dyDescent="0.35">
      <c r="A4400" s="1">
        <v>1985</v>
      </c>
      <c r="B4400" t="s">
        <v>10</v>
      </c>
      <c r="C4400" t="s">
        <v>11</v>
      </c>
      <c r="D4400">
        <v>367448</v>
      </c>
    </row>
    <row r="4401" spans="1:4" x14ac:dyDescent="0.35">
      <c r="A4401" s="1">
        <v>1985</v>
      </c>
      <c r="B4401" t="s">
        <v>200</v>
      </c>
      <c r="C4401" t="s">
        <v>201</v>
      </c>
      <c r="D4401">
        <v>123199</v>
      </c>
    </row>
    <row r="4402" spans="1:4" x14ac:dyDescent="0.35">
      <c r="A4402" s="1">
        <v>1985</v>
      </c>
      <c r="B4402" t="s">
        <v>202</v>
      </c>
      <c r="C4402" t="s">
        <v>203</v>
      </c>
      <c r="D4402">
        <v>107937</v>
      </c>
    </row>
    <row r="4403" spans="1:4" x14ac:dyDescent="0.35">
      <c r="A4403" s="1">
        <v>1985</v>
      </c>
      <c r="B4403" t="s">
        <v>204</v>
      </c>
      <c r="C4403" t="s">
        <v>205</v>
      </c>
      <c r="D4403">
        <v>908669</v>
      </c>
    </row>
    <row r="4404" spans="1:4" x14ac:dyDescent="0.35">
      <c r="A4404" s="1">
        <v>1985</v>
      </c>
      <c r="B4404" t="s">
        <v>12</v>
      </c>
      <c r="C4404" t="s">
        <v>13</v>
      </c>
      <c r="D4404">
        <v>273006</v>
      </c>
    </row>
    <row r="4405" spans="1:4" x14ac:dyDescent="0.35">
      <c r="A4405" s="1">
        <v>1985</v>
      </c>
      <c r="B4405" t="s">
        <v>84</v>
      </c>
      <c r="C4405" t="s">
        <v>85</v>
      </c>
      <c r="D4405">
        <v>301099</v>
      </c>
    </row>
    <row r="4406" spans="1:4" x14ac:dyDescent="0.35">
      <c r="A4406" s="1">
        <v>1985</v>
      </c>
      <c r="B4406" t="s">
        <v>164</v>
      </c>
      <c r="C4406" t="s">
        <v>165</v>
      </c>
      <c r="D4406">
        <v>136941</v>
      </c>
    </row>
    <row r="4407" spans="1:4" x14ac:dyDescent="0.35">
      <c r="A4407" s="1">
        <v>1985</v>
      </c>
      <c r="B4407" t="s">
        <v>86</v>
      </c>
      <c r="C4407" t="s">
        <v>87</v>
      </c>
      <c r="D4407">
        <v>290852</v>
      </c>
    </row>
    <row r="4408" spans="1:4" x14ac:dyDescent="0.35">
      <c r="A4408" s="1">
        <v>1985</v>
      </c>
      <c r="B4408" t="s">
        <v>166</v>
      </c>
      <c r="C4408" t="s">
        <v>167</v>
      </c>
      <c r="D4408">
        <v>286222</v>
      </c>
    </row>
    <row r="4409" spans="1:4" x14ac:dyDescent="0.35">
      <c r="A4409" s="1">
        <v>1985</v>
      </c>
      <c r="B4409" t="s">
        <v>168</v>
      </c>
      <c r="C4409" t="s">
        <v>169</v>
      </c>
      <c r="D4409">
        <v>277977</v>
      </c>
    </row>
    <row r="4410" spans="1:4" x14ac:dyDescent="0.35">
      <c r="A4410" s="1">
        <v>1985</v>
      </c>
      <c r="B4410" t="s">
        <v>206</v>
      </c>
      <c r="C4410" t="s">
        <v>207</v>
      </c>
      <c r="D4410">
        <v>1735763</v>
      </c>
    </row>
    <row r="4411" spans="1:4" x14ac:dyDescent="0.35">
      <c r="A4411" s="1">
        <v>1985</v>
      </c>
      <c r="B4411" t="s">
        <v>130</v>
      </c>
      <c r="C4411" t="s">
        <v>131</v>
      </c>
      <c r="D4411">
        <v>603222</v>
      </c>
    </row>
    <row r="4412" spans="1:4" x14ac:dyDescent="0.35">
      <c r="A4412" s="1">
        <v>1985</v>
      </c>
      <c r="B4412" t="s">
        <v>14</v>
      </c>
      <c r="C4412" t="s">
        <v>15</v>
      </c>
      <c r="D4412">
        <v>160980</v>
      </c>
    </row>
    <row r="4413" spans="1:4" x14ac:dyDescent="0.35">
      <c r="A4413" s="1">
        <v>1985</v>
      </c>
      <c r="B4413" t="s">
        <v>140</v>
      </c>
      <c r="C4413" t="s">
        <v>141</v>
      </c>
      <c r="D4413">
        <v>340838</v>
      </c>
    </row>
    <row r="4414" spans="1:4" x14ac:dyDescent="0.35">
      <c r="A4414" s="1">
        <v>1985</v>
      </c>
      <c r="B4414" t="s">
        <v>142</v>
      </c>
      <c r="C4414" t="s">
        <v>143</v>
      </c>
      <c r="D4414">
        <v>517881</v>
      </c>
    </row>
    <row r="4415" spans="1:4" x14ac:dyDescent="0.35">
      <c r="A4415" s="1">
        <v>1985</v>
      </c>
      <c r="B4415" t="s">
        <v>56</v>
      </c>
      <c r="C4415" t="s">
        <v>57</v>
      </c>
      <c r="D4415">
        <v>321465</v>
      </c>
    </row>
    <row r="4416" spans="1:4" x14ac:dyDescent="0.35">
      <c r="A4416" s="1">
        <v>1985</v>
      </c>
      <c r="B4416" t="s">
        <v>144</v>
      </c>
      <c r="C4416" t="s">
        <v>145</v>
      </c>
      <c r="D4416">
        <v>240928</v>
      </c>
    </row>
    <row r="4417" spans="1:4" x14ac:dyDescent="0.35">
      <c r="A4417" s="1">
        <v>1985</v>
      </c>
      <c r="B4417" t="s">
        <v>68</v>
      </c>
      <c r="C4417" t="s">
        <v>69</v>
      </c>
      <c r="D4417">
        <v>112243</v>
      </c>
    </row>
    <row r="4418" spans="1:4" x14ac:dyDescent="0.35">
      <c r="A4418" s="1">
        <v>1985</v>
      </c>
      <c r="B4418" t="s">
        <v>70</v>
      </c>
      <c r="C4418" t="s">
        <v>71</v>
      </c>
      <c r="D4418">
        <v>132212</v>
      </c>
    </row>
    <row r="4419" spans="1:4" x14ac:dyDescent="0.35">
      <c r="A4419" s="1">
        <v>1985</v>
      </c>
      <c r="B4419" t="s">
        <v>32</v>
      </c>
      <c r="C4419" t="s">
        <v>219</v>
      </c>
      <c r="D4419">
        <v>481032</v>
      </c>
    </row>
    <row r="4420" spans="1:4" x14ac:dyDescent="0.35">
      <c r="A4420" s="1">
        <v>1985</v>
      </c>
      <c r="B4420" t="s">
        <v>48</v>
      </c>
      <c r="C4420" t="s">
        <v>220</v>
      </c>
      <c r="D4420">
        <v>538673</v>
      </c>
    </row>
    <row r="4421" spans="1:4" x14ac:dyDescent="0.35">
      <c r="A4421" s="1">
        <v>1985</v>
      </c>
      <c r="B4421" t="s">
        <v>146</v>
      </c>
      <c r="C4421" t="s">
        <v>147</v>
      </c>
      <c r="D4421">
        <v>136606</v>
      </c>
    </row>
    <row r="4422" spans="1:4" x14ac:dyDescent="0.35">
      <c r="A4422" s="1">
        <v>1985</v>
      </c>
      <c r="B4422" t="s">
        <v>148</v>
      </c>
      <c r="C4422" t="s">
        <v>149</v>
      </c>
      <c r="D4422">
        <v>382433</v>
      </c>
    </row>
    <row r="4423" spans="1:4" x14ac:dyDescent="0.35">
      <c r="A4423" s="1">
        <v>1985</v>
      </c>
      <c r="B4423" t="s">
        <v>34</v>
      </c>
      <c r="C4423" t="s">
        <v>35</v>
      </c>
      <c r="D4423">
        <v>484211</v>
      </c>
    </row>
    <row r="4424" spans="1:4" x14ac:dyDescent="0.35">
      <c r="A4424" s="1">
        <v>1985</v>
      </c>
      <c r="B4424" t="s">
        <v>16</v>
      </c>
      <c r="C4424" t="s">
        <v>17</v>
      </c>
      <c r="D4424">
        <v>400848</v>
      </c>
    </row>
    <row r="4425" spans="1:4" x14ac:dyDescent="0.35">
      <c r="A4425" s="1">
        <v>1985</v>
      </c>
      <c r="B4425" t="s">
        <v>132</v>
      </c>
      <c r="C4425" t="s">
        <v>133</v>
      </c>
      <c r="D4425">
        <v>480661</v>
      </c>
    </row>
    <row r="4426" spans="1:4" x14ac:dyDescent="0.35">
      <c r="A4426" s="1">
        <v>1985</v>
      </c>
      <c r="B4426" t="s">
        <v>58</v>
      </c>
      <c r="C4426" t="s">
        <v>59</v>
      </c>
      <c r="D4426">
        <v>375792</v>
      </c>
    </row>
    <row r="4427" spans="1:4" x14ac:dyDescent="0.35">
      <c r="A4427" s="1">
        <v>1985</v>
      </c>
      <c r="B4427" t="s">
        <v>50</v>
      </c>
      <c r="C4427" t="s">
        <v>51</v>
      </c>
      <c r="D4427">
        <v>832037</v>
      </c>
    </row>
    <row r="4428" spans="1:4" x14ac:dyDescent="0.35">
      <c r="A4428" s="1">
        <v>1985</v>
      </c>
      <c r="B4428" t="s">
        <v>170</v>
      </c>
      <c r="C4428" t="s">
        <v>171</v>
      </c>
      <c r="D4428">
        <v>551539</v>
      </c>
    </row>
    <row r="4429" spans="1:4" x14ac:dyDescent="0.35">
      <c r="A4429" s="1">
        <v>1985</v>
      </c>
      <c r="B4429" t="s">
        <v>172</v>
      </c>
      <c r="C4429" t="s">
        <v>173</v>
      </c>
      <c r="D4429">
        <v>862844</v>
      </c>
    </row>
    <row r="4430" spans="1:4" x14ac:dyDescent="0.35">
      <c r="A4430" s="1">
        <v>1985</v>
      </c>
      <c r="B4430" t="s">
        <v>174</v>
      </c>
      <c r="C4430" t="s">
        <v>175</v>
      </c>
      <c r="D4430">
        <v>174398</v>
      </c>
    </row>
    <row r="4431" spans="1:4" x14ac:dyDescent="0.35">
      <c r="A4431" s="1">
        <v>1985</v>
      </c>
      <c r="B4431" t="s">
        <v>150</v>
      </c>
      <c r="C4431" t="s">
        <v>151</v>
      </c>
      <c r="D4431">
        <v>1159515</v>
      </c>
    </row>
    <row r="4432" spans="1:4" x14ac:dyDescent="0.35">
      <c r="A4432" s="1">
        <v>1985</v>
      </c>
      <c r="B4432" t="s">
        <v>176</v>
      </c>
      <c r="C4432" t="s">
        <v>177</v>
      </c>
      <c r="D4432">
        <v>745875</v>
      </c>
    </row>
    <row r="4433" spans="1:4" x14ac:dyDescent="0.35">
      <c r="A4433" s="1">
        <v>1985</v>
      </c>
      <c r="B4433" t="s">
        <v>52</v>
      </c>
      <c r="C4433" t="s">
        <v>53</v>
      </c>
      <c r="D4433">
        <v>766672</v>
      </c>
    </row>
    <row r="4434" spans="1:4" x14ac:dyDescent="0.35">
      <c r="A4434" s="1">
        <v>1985</v>
      </c>
      <c r="B4434" t="s">
        <v>60</v>
      </c>
      <c r="C4434" t="s">
        <v>61</v>
      </c>
      <c r="D4434">
        <v>241933</v>
      </c>
    </row>
    <row r="4435" spans="1:4" x14ac:dyDescent="0.35">
      <c r="A4435" s="1">
        <v>1985</v>
      </c>
      <c r="B4435" t="s">
        <v>62</v>
      </c>
      <c r="C4435" t="s">
        <v>63</v>
      </c>
      <c r="D4435">
        <v>515973</v>
      </c>
    </row>
    <row r="4436" spans="1:4" x14ac:dyDescent="0.35">
      <c r="A4436" s="1">
        <v>1985</v>
      </c>
      <c r="B4436" t="s">
        <v>18</v>
      </c>
      <c r="C4436" t="s">
        <v>19</v>
      </c>
      <c r="D4436">
        <v>964615</v>
      </c>
    </row>
    <row r="4437" spans="1:4" x14ac:dyDescent="0.35">
      <c r="A4437" s="1">
        <v>1985</v>
      </c>
      <c r="B4437" t="s">
        <v>36</v>
      </c>
      <c r="C4437" t="s">
        <v>37</v>
      </c>
      <c r="D4437">
        <v>245014</v>
      </c>
    </row>
    <row r="4438" spans="1:4" x14ac:dyDescent="0.35">
      <c r="A4438" s="1">
        <v>1985</v>
      </c>
      <c r="B4438" t="s">
        <v>152</v>
      </c>
      <c r="C4438" t="s">
        <v>153</v>
      </c>
      <c r="D4438">
        <v>303533</v>
      </c>
    </row>
    <row r="4439" spans="1:4" x14ac:dyDescent="0.35">
      <c r="A4439" s="1">
        <v>1985</v>
      </c>
      <c r="B4439" t="s">
        <v>64</v>
      </c>
      <c r="C4439" t="s">
        <v>65</v>
      </c>
      <c r="D4439">
        <v>300307</v>
      </c>
    </row>
    <row r="4440" spans="1:4" x14ac:dyDescent="0.35">
      <c r="A4440" s="1">
        <v>1985</v>
      </c>
      <c r="B4440" t="s">
        <v>20</v>
      </c>
      <c r="C4440" t="s">
        <v>21</v>
      </c>
      <c r="D4440">
        <v>743120</v>
      </c>
    </row>
    <row r="4441" spans="1:4" x14ac:dyDescent="0.35">
      <c r="A4441" s="1">
        <v>1985</v>
      </c>
      <c r="B4441" t="s">
        <v>22</v>
      </c>
      <c r="C4441" t="s">
        <v>23</v>
      </c>
      <c r="D4441">
        <v>206892</v>
      </c>
    </row>
    <row r="4442" spans="1:4" x14ac:dyDescent="0.35">
      <c r="A4442" s="1">
        <v>1985</v>
      </c>
      <c r="B4442" t="s">
        <v>190</v>
      </c>
      <c r="C4442" t="s">
        <v>191</v>
      </c>
      <c r="D4442">
        <v>1017477</v>
      </c>
    </row>
    <row r="4443" spans="1:4" x14ac:dyDescent="0.35">
      <c r="A4443" s="1">
        <v>1985</v>
      </c>
      <c r="B4443" t="s">
        <v>66</v>
      </c>
      <c r="C4443" t="s">
        <v>67</v>
      </c>
      <c r="D4443">
        <v>552255</v>
      </c>
    </row>
    <row r="4444" spans="1:4" x14ac:dyDescent="0.35">
      <c r="A4444" s="1">
        <v>1985</v>
      </c>
      <c r="B4444" t="s">
        <v>178</v>
      </c>
      <c r="C4444" t="s">
        <v>179</v>
      </c>
      <c r="D4444">
        <v>156031</v>
      </c>
    </row>
    <row r="4445" spans="1:4" x14ac:dyDescent="0.35">
      <c r="A4445" s="1">
        <v>1985</v>
      </c>
      <c r="B4445" t="s">
        <v>154</v>
      </c>
      <c r="C4445" t="s">
        <v>155</v>
      </c>
      <c r="D4445">
        <v>301520</v>
      </c>
    </row>
    <row r="4446" spans="1:4" x14ac:dyDescent="0.35">
      <c r="A4446" s="1">
        <v>1985</v>
      </c>
      <c r="B4446" t="s">
        <v>180</v>
      </c>
      <c r="C4446" t="s">
        <v>181</v>
      </c>
      <c r="D4446">
        <v>74117</v>
      </c>
    </row>
    <row r="4447" spans="1:4" x14ac:dyDescent="0.35">
      <c r="A4447" s="1">
        <v>1985</v>
      </c>
      <c r="B4447" t="s">
        <v>192</v>
      </c>
      <c r="C4447" t="s">
        <v>193</v>
      </c>
      <c r="D4447">
        <v>689343</v>
      </c>
    </row>
    <row r="4448" spans="1:4" x14ac:dyDescent="0.35">
      <c r="A4448" s="1">
        <v>1985</v>
      </c>
      <c r="B4448" t="s">
        <v>134</v>
      </c>
      <c r="C4448" t="s">
        <v>135</v>
      </c>
      <c r="D4448">
        <v>471799</v>
      </c>
    </row>
    <row r="4449" spans="1:4" x14ac:dyDescent="0.35">
      <c r="A4449" s="1">
        <v>1985</v>
      </c>
      <c r="B4449" t="s">
        <v>88</v>
      </c>
      <c r="C4449" t="s">
        <v>89</v>
      </c>
      <c r="D4449">
        <v>551665</v>
      </c>
    </row>
    <row r="4450" spans="1:4" x14ac:dyDescent="0.35">
      <c r="A4450" s="1">
        <v>1985</v>
      </c>
      <c r="B4450" t="s">
        <v>90</v>
      </c>
      <c r="C4450" t="s">
        <v>91</v>
      </c>
      <c r="D4450">
        <v>210183</v>
      </c>
    </row>
    <row r="4451" spans="1:4" x14ac:dyDescent="0.35">
      <c r="A4451" s="1">
        <v>1985</v>
      </c>
      <c r="B4451" t="s">
        <v>194</v>
      </c>
      <c r="C4451" t="s">
        <v>195</v>
      </c>
      <c r="D4451">
        <v>275184</v>
      </c>
    </row>
    <row r="4452" spans="1:4" x14ac:dyDescent="0.35">
      <c r="A4452" s="1">
        <v>1985</v>
      </c>
      <c r="B4452" t="s">
        <v>92</v>
      </c>
      <c r="C4452" t="s">
        <v>93</v>
      </c>
      <c r="D4452">
        <v>722396</v>
      </c>
    </row>
    <row r="4453" spans="1:4" x14ac:dyDescent="0.35">
      <c r="A4453" s="1">
        <v>1985</v>
      </c>
      <c r="B4453" t="s">
        <v>94</v>
      </c>
      <c r="C4453" t="s">
        <v>95</v>
      </c>
      <c r="D4453">
        <v>199691</v>
      </c>
    </row>
    <row r="4454" spans="1:4" x14ac:dyDescent="0.35">
      <c r="A4454" s="1">
        <v>1985</v>
      </c>
      <c r="B4454" t="s">
        <v>54</v>
      </c>
      <c r="C4454" t="s">
        <v>55</v>
      </c>
      <c r="D4454">
        <v>601103</v>
      </c>
    </row>
    <row r="4455" spans="1:4" x14ac:dyDescent="0.35">
      <c r="A4455" s="1">
        <v>1985</v>
      </c>
      <c r="B4455" t="s">
        <v>96</v>
      </c>
      <c r="C4455" t="s">
        <v>97</v>
      </c>
      <c r="D4455">
        <v>1010567</v>
      </c>
    </row>
    <row r="4456" spans="1:4" x14ac:dyDescent="0.35">
      <c r="A4456" s="1">
        <v>1985</v>
      </c>
      <c r="B4456" t="s">
        <v>38</v>
      </c>
      <c r="C4456" t="s">
        <v>39</v>
      </c>
      <c r="D4456">
        <v>237473</v>
      </c>
    </row>
    <row r="4457" spans="1:4" x14ac:dyDescent="0.35">
      <c r="A4457" s="1">
        <v>1985</v>
      </c>
      <c r="B4457" t="s">
        <v>106</v>
      </c>
      <c r="C4457" t="s">
        <v>107</v>
      </c>
      <c r="D4457">
        <v>2515778</v>
      </c>
    </row>
    <row r="4458" spans="1:4" x14ac:dyDescent="0.35">
      <c r="A4458" s="1">
        <v>1985</v>
      </c>
      <c r="B4458" t="s">
        <v>108</v>
      </c>
      <c r="C4458" t="s">
        <v>109</v>
      </c>
      <c r="D4458">
        <v>685776</v>
      </c>
    </row>
    <row r="4459" spans="1:4" x14ac:dyDescent="0.35">
      <c r="A4459" s="1">
        <v>1985</v>
      </c>
      <c r="B4459" t="s">
        <v>136</v>
      </c>
      <c r="C4459" t="s">
        <v>137</v>
      </c>
      <c r="D4459">
        <v>297470</v>
      </c>
    </row>
    <row r="4460" spans="1:4" x14ac:dyDescent="0.35">
      <c r="A4460" s="1">
        <v>1985</v>
      </c>
      <c r="B4460" t="s">
        <v>110</v>
      </c>
      <c r="C4460" t="s">
        <v>111</v>
      </c>
      <c r="D4460">
        <v>1423131</v>
      </c>
    </row>
    <row r="4461" spans="1:4" x14ac:dyDescent="0.35">
      <c r="A4461" s="1">
        <v>1985</v>
      </c>
      <c r="B4461" t="s">
        <v>24</v>
      </c>
      <c r="C4461" t="s">
        <v>25</v>
      </c>
      <c r="D4461">
        <v>597009</v>
      </c>
    </row>
    <row r="4462" spans="1:4" x14ac:dyDescent="0.35">
      <c r="A4462" s="1">
        <v>1985</v>
      </c>
      <c r="B4462" t="s">
        <v>156</v>
      </c>
      <c r="C4462" t="s">
        <v>157</v>
      </c>
      <c r="D4462">
        <v>562433</v>
      </c>
    </row>
    <row r="4463" spans="1:4" x14ac:dyDescent="0.35">
      <c r="A4463" s="1">
        <v>1985</v>
      </c>
      <c r="B4463" t="s">
        <v>182</v>
      </c>
      <c r="C4463" t="s">
        <v>183</v>
      </c>
      <c r="D4463">
        <v>228426</v>
      </c>
    </row>
    <row r="4464" spans="1:4" x14ac:dyDescent="0.35">
      <c r="A4464" s="1">
        <v>1985</v>
      </c>
      <c r="B4464" t="s">
        <v>184</v>
      </c>
      <c r="C4464" t="s">
        <v>185</v>
      </c>
      <c r="D4464">
        <v>344785</v>
      </c>
    </row>
    <row r="4465" spans="1:4" x14ac:dyDescent="0.35">
      <c r="A4465" s="1">
        <v>1985</v>
      </c>
      <c r="B4465" t="s">
        <v>98</v>
      </c>
      <c r="C4465" t="s">
        <v>99</v>
      </c>
      <c r="D4465">
        <v>928939</v>
      </c>
    </row>
    <row r="4466" spans="1:4" x14ac:dyDescent="0.35">
      <c r="A4466" s="1">
        <v>1985</v>
      </c>
      <c r="B4466" t="s">
        <v>100</v>
      </c>
      <c r="C4466" t="s">
        <v>101</v>
      </c>
      <c r="D4466">
        <v>656899</v>
      </c>
    </row>
    <row r="4467" spans="1:4" x14ac:dyDescent="0.35">
      <c r="A4467" s="1">
        <v>1985</v>
      </c>
      <c r="B4467" t="s">
        <v>26</v>
      </c>
      <c r="C4467" t="s">
        <v>27</v>
      </c>
      <c r="D4467">
        <v>1458071</v>
      </c>
    </row>
    <row r="4468" spans="1:4" x14ac:dyDescent="0.35">
      <c r="A4468" s="1">
        <v>1985</v>
      </c>
      <c r="B4468" t="s">
        <v>40</v>
      </c>
      <c r="C4468" t="s">
        <v>41</v>
      </c>
      <c r="D4468">
        <v>232165</v>
      </c>
    </row>
    <row r="4469" spans="1:4" x14ac:dyDescent="0.35">
      <c r="A4469" s="1">
        <v>1985</v>
      </c>
      <c r="B4469" t="s">
        <v>42</v>
      </c>
      <c r="C4469" t="s">
        <v>43</v>
      </c>
      <c r="D4469">
        <v>567158</v>
      </c>
    </row>
    <row r="4470" spans="1:4" x14ac:dyDescent="0.35">
      <c r="A4470" s="1">
        <v>1985</v>
      </c>
      <c r="B4470" t="s">
        <v>196</v>
      </c>
      <c r="C4470" t="s">
        <v>197</v>
      </c>
      <c r="D4470">
        <v>509764</v>
      </c>
    </row>
    <row r="4471" spans="1:4" x14ac:dyDescent="0.35">
      <c r="A4471" s="1">
        <v>1985</v>
      </c>
      <c r="B4471" t="s">
        <v>28</v>
      </c>
      <c r="C4471" t="s">
        <v>29</v>
      </c>
      <c r="D4471">
        <v>328615</v>
      </c>
    </row>
    <row r="4472" spans="1:4" x14ac:dyDescent="0.35">
      <c r="A4472" s="1">
        <v>1985</v>
      </c>
      <c r="B4472" t="s">
        <v>30</v>
      </c>
      <c r="C4472" t="s">
        <v>31</v>
      </c>
      <c r="D4472">
        <v>521671</v>
      </c>
    </row>
    <row r="4473" spans="1:4" x14ac:dyDescent="0.35">
      <c r="A4473" s="1">
        <v>1985</v>
      </c>
      <c r="B4473" t="s">
        <v>114</v>
      </c>
      <c r="C4473" t="s">
        <v>115</v>
      </c>
      <c r="D4473">
        <v>2165978</v>
      </c>
    </row>
    <row r="4474" spans="1:4" x14ac:dyDescent="0.35">
      <c r="A4474" s="1">
        <v>1985</v>
      </c>
      <c r="B4474" t="s">
        <v>138</v>
      </c>
      <c r="C4474" t="s">
        <v>139</v>
      </c>
      <c r="D4474">
        <v>1205579</v>
      </c>
    </row>
    <row r="4475" spans="1:4" x14ac:dyDescent="0.35">
      <c r="A4475" s="1">
        <v>1985</v>
      </c>
      <c r="B4475" t="s">
        <v>116</v>
      </c>
      <c r="C4475" t="s">
        <v>117</v>
      </c>
      <c r="D4475">
        <v>943671</v>
      </c>
    </row>
    <row r="4476" spans="1:4" x14ac:dyDescent="0.35">
      <c r="A4476" s="1">
        <v>1985</v>
      </c>
      <c r="B4476" t="s">
        <v>118</v>
      </c>
      <c r="C4476" t="s">
        <v>119</v>
      </c>
      <c r="D4476">
        <v>1231093</v>
      </c>
    </row>
    <row r="4477" spans="1:4" x14ac:dyDescent="0.35">
      <c r="A4477" s="1">
        <v>1985</v>
      </c>
      <c r="B4477" t="s">
        <v>158</v>
      </c>
      <c r="C4477" t="s">
        <v>159</v>
      </c>
      <c r="D4477">
        <v>343429</v>
      </c>
    </row>
    <row r="4478" spans="1:4" x14ac:dyDescent="0.35">
      <c r="A4478" s="1">
        <v>1985</v>
      </c>
      <c r="B4478" t="s">
        <v>112</v>
      </c>
      <c r="C4478" t="s">
        <v>113</v>
      </c>
      <c r="D4478">
        <v>547445</v>
      </c>
    </row>
    <row r="4479" spans="1:4" x14ac:dyDescent="0.35">
      <c r="A4479" s="1">
        <v>1985</v>
      </c>
      <c r="B4479" t="s">
        <v>186</v>
      </c>
      <c r="C4479" t="s">
        <v>187</v>
      </c>
      <c r="D4479">
        <v>341806</v>
      </c>
    </row>
    <row r="4480" spans="1:4" x14ac:dyDescent="0.35">
      <c r="A4480" s="1">
        <v>1985</v>
      </c>
      <c r="B4480" t="s">
        <v>188</v>
      </c>
      <c r="C4480" t="s">
        <v>189</v>
      </c>
      <c r="D4480">
        <v>194123</v>
      </c>
    </row>
    <row r="4481" spans="1:4" x14ac:dyDescent="0.35">
      <c r="A4481" s="1">
        <v>1985</v>
      </c>
      <c r="B4481" t="s">
        <v>208</v>
      </c>
      <c r="C4481" t="s">
        <v>209</v>
      </c>
      <c r="D4481">
        <v>744583</v>
      </c>
    </row>
    <row r="4482" spans="1:4" x14ac:dyDescent="0.35">
      <c r="A4482" s="1">
        <v>1985</v>
      </c>
      <c r="B4482" t="s">
        <v>210</v>
      </c>
      <c r="C4482" t="s">
        <v>211</v>
      </c>
      <c r="D4482">
        <v>440770</v>
      </c>
    </row>
    <row r="4483" spans="1:4" x14ac:dyDescent="0.35">
      <c r="A4483" s="1">
        <v>1985</v>
      </c>
      <c r="B4483" t="s">
        <v>198</v>
      </c>
      <c r="C4483" t="s">
        <v>199</v>
      </c>
      <c r="D4483">
        <v>494691</v>
      </c>
    </row>
    <row r="4484" spans="1:4" x14ac:dyDescent="0.35">
      <c r="A4484" s="1">
        <v>1985</v>
      </c>
      <c r="B4484" t="s">
        <v>160</v>
      </c>
      <c r="C4484" t="s">
        <v>161</v>
      </c>
      <c r="D4484">
        <v>374608</v>
      </c>
    </row>
    <row r="4485" spans="1:4" x14ac:dyDescent="0.35">
      <c r="A4485" s="1">
        <v>1985</v>
      </c>
      <c r="B4485" t="s">
        <v>162</v>
      </c>
      <c r="C4485" t="s">
        <v>163</v>
      </c>
      <c r="D4485">
        <v>358018</v>
      </c>
    </row>
    <row r="4486" spans="1:4" x14ac:dyDescent="0.35">
      <c r="A4486" s="1">
        <v>1985</v>
      </c>
      <c r="B4486" t="s">
        <v>102</v>
      </c>
      <c r="C4486" t="s">
        <v>103</v>
      </c>
      <c r="D4486">
        <v>391658</v>
      </c>
    </row>
    <row r="4487" spans="1:4" x14ac:dyDescent="0.35">
      <c r="A4487" s="1">
        <v>1985</v>
      </c>
      <c r="B4487" t="s">
        <v>44</v>
      </c>
      <c r="C4487" t="s">
        <v>45</v>
      </c>
      <c r="D4487">
        <v>315527</v>
      </c>
    </row>
    <row r="4488" spans="1:4" x14ac:dyDescent="0.35">
      <c r="A4488" s="1">
        <v>1985</v>
      </c>
      <c r="B4488" t="s">
        <v>46</v>
      </c>
      <c r="C4488" t="s">
        <v>221</v>
      </c>
      <c r="D4488">
        <v>133470</v>
      </c>
    </row>
    <row r="4489" spans="1:4" x14ac:dyDescent="0.35">
      <c r="A4489" s="1">
        <v>1985</v>
      </c>
      <c r="B4489" t="s">
        <v>120</v>
      </c>
      <c r="C4489" t="s">
        <v>121</v>
      </c>
      <c r="D4489">
        <v>1014761</v>
      </c>
    </row>
    <row r="4490" spans="1:4" x14ac:dyDescent="0.35">
      <c r="A4490" s="1">
        <v>1985</v>
      </c>
      <c r="B4490" t="s">
        <v>122</v>
      </c>
      <c r="C4490" t="s">
        <v>222</v>
      </c>
      <c r="D4490">
        <v>1386245</v>
      </c>
    </row>
    <row r="4491" spans="1:4" x14ac:dyDescent="0.35">
      <c r="A4491" s="1">
        <v>1985</v>
      </c>
      <c r="B4491" t="s">
        <v>124</v>
      </c>
      <c r="C4491" t="s">
        <v>125</v>
      </c>
      <c r="D4491">
        <v>1340275</v>
      </c>
    </row>
    <row r="4492" spans="1:4" x14ac:dyDescent="0.35">
      <c r="A4492" s="1">
        <v>1985</v>
      </c>
      <c r="B4492" t="s">
        <v>126</v>
      </c>
      <c r="C4492" t="s">
        <v>127</v>
      </c>
      <c r="D4492">
        <v>1198807</v>
      </c>
    </row>
    <row r="4493" spans="1:4" x14ac:dyDescent="0.35">
      <c r="A4493" s="1">
        <v>1985</v>
      </c>
      <c r="B4493" t="s">
        <v>128</v>
      </c>
      <c r="C4493" t="s">
        <v>129</v>
      </c>
      <c r="D4493">
        <v>958030</v>
      </c>
    </row>
    <row r="4494" spans="1:4" x14ac:dyDescent="0.35">
      <c r="A4494" s="1">
        <v>1985</v>
      </c>
      <c r="B4494" t="s">
        <v>257</v>
      </c>
      <c r="D4494">
        <v>55157303</v>
      </c>
    </row>
    <row r="4495" spans="1:4" x14ac:dyDescent="0.35">
      <c r="A4495" s="1">
        <v>1985</v>
      </c>
    </row>
    <row r="4496" spans="1:4" x14ac:dyDescent="0.35">
      <c r="A4496" s="1">
        <v>1985</v>
      </c>
      <c r="B4496" t="s">
        <v>240</v>
      </c>
    </row>
    <row r="4497" spans="1:4" x14ac:dyDescent="0.35">
      <c r="A4497" s="1">
        <v>1985</v>
      </c>
      <c r="B4497" t="s">
        <v>278</v>
      </c>
    </row>
    <row r="4498" spans="1:4" x14ac:dyDescent="0.35">
      <c r="A4498" s="1">
        <v>1984</v>
      </c>
      <c r="B4498" t="s">
        <v>251</v>
      </c>
    </row>
    <row r="4499" spans="1:4" x14ac:dyDescent="0.35">
      <c r="A4499" s="1">
        <v>1984</v>
      </c>
      <c r="B4499" t="s">
        <v>283</v>
      </c>
    </row>
    <row r="4500" spans="1:4" x14ac:dyDescent="0.35">
      <c r="A4500" s="1">
        <v>1984</v>
      </c>
    </row>
    <row r="4501" spans="1:4" x14ac:dyDescent="0.35">
      <c r="A4501" s="1">
        <v>1984</v>
      </c>
      <c r="B4501" t="s">
        <v>231</v>
      </c>
    </row>
    <row r="4502" spans="1:4" x14ac:dyDescent="0.35">
      <c r="A4502" s="1">
        <v>1984</v>
      </c>
      <c r="D4502" t="s">
        <v>232</v>
      </c>
    </row>
    <row r="4503" spans="1:4" x14ac:dyDescent="0.35">
      <c r="A4503" s="1">
        <v>1984</v>
      </c>
      <c r="B4503" t="s">
        <v>5</v>
      </c>
      <c r="C4503" t="s">
        <v>6</v>
      </c>
      <c r="D4503">
        <v>429980</v>
      </c>
    </row>
    <row r="4504" spans="1:4" x14ac:dyDescent="0.35">
      <c r="A4504" s="1">
        <v>1984</v>
      </c>
      <c r="B4504" t="s">
        <v>104</v>
      </c>
      <c r="C4504" t="s">
        <v>105</v>
      </c>
      <c r="D4504">
        <v>535865</v>
      </c>
    </row>
    <row r="4505" spans="1:4" x14ac:dyDescent="0.35">
      <c r="A4505" s="1">
        <v>1984</v>
      </c>
      <c r="B4505" t="s">
        <v>10</v>
      </c>
      <c r="C4505" t="s">
        <v>11</v>
      </c>
      <c r="D4505">
        <v>367735</v>
      </c>
    </row>
    <row r="4506" spans="1:4" x14ac:dyDescent="0.35">
      <c r="A4506" s="1">
        <v>1984</v>
      </c>
      <c r="B4506" t="s">
        <v>200</v>
      </c>
      <c r="C4506" t="s">
        <v>201</v>
      </c>
      <c r="D4506">
        <v>121450</v>
      </c>
    </row>
    <row r="4507" spans="1:4" x14ac:dyDescent="0.35">
      <c r="A4507" s="1">
        <v>1984</v>
      </c>
      <c r="B4507" t="s">
        <v>202</v>
      </c>
      <c r="C4507" t="s">
        <v>203</v>
      </c>
      <c r="D4507">
        <v>107188</v>
      </c>
    </row>
    <row r="4508" spans="1:4" x14ac:dyDescent="0.35">
      <c r="A4508" s="1">
        <v>1984</v>
      </c>
      <c r="B4508" t="s">
        <v>204</v>
      </c>
      <c r="C4508" t="s">
        <v>205</v>
      </c>
      <c r="D4508">
        <v>901112</v>
      </c>
    </row>
    <row r="4509" spans="1:4" x14ac:dyDescent="0.35">
      <c r="A4509" s="1">
        <v>1984</v>
      </c>
      <c r="B4509" t="s">
        <v>12</v>
      </c>
      <c r="C4509" t="s">
        <v>13</v>
      </c>
      <c r="D4509">
        <v>271779</v>
      </c>
    </row>
    <row r="4510" spans="1:4" x14ac:dyDescent="0.35">
      <c r="A4510" s="1">
        <v>1984</v>
      </c>
      <c r="B4510" t="s">
        <v>84</v>
      </c>
      <c r="C4510" t="s">
        <v>85</v>
      </c>
      <c r="D4510">
        <v>301454</v>
      </c>
    </row>
    <row r="4511" spans="1:4" x14ac:dyDescent="0.35">
      <c r="A4511" s="1">
        <v>1984</v>
      </c>
      <c r="B4511" t="s">
        <v>164</v>
      </c>
      <c r="C4511" t="s">
        <v>165</v>
      </c>
      <c r="D4511">
        <v>136806</v>
      </c>
    </row>
    <row r="4512" spans="1:4" x14ac:dyDescent="0.35">
      <c r="A4512" s="1">
        <v>1984</v>
      </c>
      <c r="B4512" t="s">
        <v>86</v>
      </c>
      <c r="C4512" t="s">
        <v>87</v>
      </c>
      <c r="D4512">
        <v>291230</v>
      </c>
    </row>
    <row r="4513" spans="1:4" x14ac:dyDescent="0.35">
      <c r="A4513" s="1">
        <v>1984</v>
      </c>
      <c r="B4513" t="s">
        <v>166</v>
      </c>
      <c r="C4513" t="s">
        <v>167</v>
      </c>
      <c r="D4513">
        <v>284997</v>
      </c>
    </row>
    <row r="4514" spans="1:4" x14ac:dyDescent="0.35">
      <c r="A4514" s="1">
        <v>1984</v>
      </c>
      <c r="B4514" t="s">
        <v>168</v>
      </c>
      <c r="C4514" t="s">
        <v>169</v>
      </c>
      <c r="D4514">
        <v>278409</v>
      </c>
    </row>
    <row r="4515" spans="1:4" x14ac:dyDescent="0.35">
      <c r="A4515" s="1">
        <v>1984</v>
      </c>
      <c r="B4515" t="s">
        <v>206</v>
      </c>
      <c r="C4515" t="s">
        <v>207</v>
      </c>
      <c r="D4515">
        <v>1732805</v>
      </c>
    </row>
    <row r="4516" spans="1:4" x14ac:dyDescent="0.35">
      <c r="A4516" s="1">
        <v>1984</v>
      </c>
      <c r="B4516" t="s">
        <v>130</v>
      </c>
      <c r="C4516" t="s">
        <v>131</v>
      </c>
      <c r="D4516">
        <v>599764</v>
      </c>
    </row>
    <row r="4517" spans="1:4" x14ac:dyDescent="0.35">
      <c r="A4517" s="1">
        <v>1984</v>
      </c>
      <c r="B4517" t="s">
        <v>14</v>
      </c>
      <c r="C4517" t="s">
        <v>15</v>
      </c>
      <c r="D4517">
        <v>161555</v>
      </c>
    </row>
    <row r="4518" spans="1:4" x14ac:dyDescent="0.35">
      <c r="A4518" s="1">
        <v>1984</v>
      </c>
      <c r="B4518" t="s">
        <v>140</v>
      </c>
      <c r="C4518" t="s">
        <v>141</v>
      </c>
      <c r="D4518">
        <v>340773</v>
      </c>
    </row>
    <row r="4519" spans="1:4" x14ac:dyDescent="0.35">
      <c r="A4519" s="1">
        <v>1984</v>
      </c>
      <c r="B4519" t="s">
        <v>142</v>
      </c>
      <c r="C4519" t="s">
        <v>143</v>
      </c>
      <c r="D4519">
        <v>516386</v>
      </c>
    </row>
    <row r="4520" spans="1:4" x14ac:dyDescent="0.35">
      <c r="A4520" s="1">
        <v>1984</v>
      </c>
      <c r="B4520" t="s">
        <v>56</v>
      </c>
      <c r="C4520" t="s">
        <v>57</v>
      </c>
      <c r="D4520">
        <v>321817</v>
      </c>
    </row>
    <row r="4521" spans="1:4" x14ac:dyDescent="0.35">
      <c r="A4521" s="1">
        <v>1984</v>
      </c>
      <c r="B4521" t="s">
        <v>144</v>
      </c>
      <c r="C4521" t="s">
        <v>145</v>
      </c>
      <c r="D4521">
        <v>240650</v>
      </c>
    </row>
    <row r="4522" spans="1:4" x14ac:dyDescent="0.35">
      <c r="A4522" s="1">
        <v>1984</v>
      </c>
      <c r="B4522" t="s">
        <v>68</v>
      </c>
      <c r="C4522" t="s">
        <v>69</v>
      </c>
      <c r="D4522">
        <v>111144</v>
      </c>
    </row>
    <row r="4523" spans="1:4" x14ac:dyDescent="0.35">
      <c r="A4523" s="1">
        <v>1984</v>
      </c>
      <c r="B4523" t="s">
        <v>70</v>
      </c>
      <c r="C4523" t="s">
        <v>71</v>
      </c>
      <c r="D4523">
        <v>132182</v>
      </c>
    </row>
    <row r="4524" spans="1:4" x14ac:dyDescent="0.35">
      <c r="A4524" s="1">
        <v>1984</v>
      </c>
      <c r="B4524" t="s">
        <v>32</v>
      </c>
      <c r="C4524" t="s">
        <v>219</v>
      </c>
      <c r="D4524">
        <v>478335</v>
      </c>
    </row>
    <row r="4525" spans="1:4" x14ac:dyDescent="0.35">
      <c r="A4525" s="1">
        <v>1984</v>
      </c>
      <c r="B4525" t="s">
        <v>48</v>
      </c>
      <c r="C4525" t="s">
        <v>220</v>
      </c>
      <c r="D4525">
        <v>538923</v>
      </c>
    </row>
    <row r="4526" spans="1:4" x14ac:dyDescent="0.35">
      <c r="A4526" s="1">
        <v>1984</v>
      </c>
      <c r="B4526" t="s">
        <v>146</v>
      </c>
      <c r="C4526" t="s">
        <v>147</v>
      </c>
      <c r="D4526">
        <v>137403</v>
      </c>
    </row>
    <row r="4527" spans="1:4" x14ac:dyDescent="0.35">
      <c r="A4527" s="1">
        <v>1984</v>
      </c>
      <c r="B4527" t="s">
        <v>148</v>
      </c>
      <c r="C4527" t="s">
        <v>149</v>
      </c>
      <c r="D4527">
        <v>381528</v>
      </c>
    </row>
    <row r="4528" spans="1:4" x14ac:dyDescent="0.35">
      <c r="A4528" s="1">
        <v>1984</v>
      </c>
      <c r="B4528" t="s">
        <v>34</v>
      </c>
      <c r="C4528" t="s">
        <v>35</v>
      </c>
      <c r="D4528">
        <v>483202</v>
      </c>
    </row>
    <row r="4529" spans="1:4" x14ac:dyDescent="0.35">
      <c r="A4529" s="1">
        <v>1984</v>
      </c>
      <c r="B4529" t="s">
        <v>16</v>
      </c>
      <c r="C4529" t="s">
        <v>17</v>
      </c>
      <c r="D4529">
        <v>397673</v>
      </c>
    </row>
    <row r="4530" spans="1:4" x14ac:dyDescent="0.35">
      <c r="A4530" s="1">
        <v>1984</v>
      </c>
      <c r="B4530" t="s">
        <v>132</v>
      </c>
      <c r="C4530" t="s">
        <v>133</v>
      </c>
      <c r="D4530">
        <v>474302</v>
      </c>
    </row>
    <row r="4531" spans="1:4" x14ac:dyDescent="0.35">
      <c r="A4531" s="1">
        <v>1984</v>
      </c>
      <c r="B4531" t="s">
        <v>58</v>
      </c>
      <c r="C4531" t="s">
        <v>59</v>
      </c>
      <c r="D4531">
        <v>371233</v>
      </c>
    </row>
    <row r="4532" spans="1:4" x14ac:dyDescent="0.35">
      <c r="A4532" s="1">
        <v>1984</v>
      </c>
      <c r="B4532" t="s">
        <v>50</v>
      </c>
      <c r="C4532" t="s">
        <v>51</v>
      </c>
      <c r="D4532">
        <v>830834</v>
      </c>
    </row>
    <row r="4533" spans="1:4" x14ac:dyDescent="0.35">
      <c r="A4533" s="1">
        <v>1984</v>
      </c>
      <c r="B4533" t="s">
        <v>170</v>
      </c>
      <c r="C4533" t="s">
        <v>171</v>
      </c>
      <c r="D4533">
        <v>544762</v>
      </c>
    </row>
    <row r="4534" spans="1:4" x14ac:dyDescent="0.35">
      <c r="A4534" s="1">
        <v>1984</v>
      </c>
      <c r="B4534" t="s">
        <v>172</v>
      </c>
      <c r="C4534" t="s">
        <v>173</v>
      </c>
      <c r="D4534">
        <v>848458</v>
      </c>
    </row>
    <row r="4535" spans="1:4" x14ac:dyDescent="0.35">
      <c r="A4535" s="1">
        <v>1984</v>
      </c>
      <c r="B4535" t="s">
        <v>174</v>
      </c>
      <c r="C4535" t="s">
        <v>175</v>
      </c>
      <c r="D4535">
        <v>174879</v>
      </c>
    </row>
    <row r="4536" spans="1:4" x14ac:dyDescent="0.35">
      <c r="A4536" s="1">
        <v>1984</v>
      </c>
      <c r="B4536" t="s">
        <v>150</v>
      </c>
      <c r="C4536" t="s">
        <v>151</v>
      </c>
      <c r="D4536">
        <v>1146298</v>
      </c>
    </row>
    <row r="4537" spans="1:4" x14ac:dyDescent="0.35">
      <c r="A4537" s="1">
        <v>1984</v>
      </c>
      <c r="B4537" t="s">
        <v>176</v>
      </c>
      <c r="C4537" t="s">
        <v>177</v>
      </c>
      <c r="D4537">
        <v>730531</v>
      </c>
    </row>
    <row r="4538" spans="1:4" x14ac:dyDescent="0.35">
      <c r="A4538" s="1">
        <v>1984</v>
      </c>
      <c r="B4538" t="s">
        <v>52</v>
      </c>
      <c r="C4538" t="s">
        <v>53</v>
      </c>
      <c r="D4538">
        <v>760894</v>
      </c>
    </row>
    <row r="4539" spans="1:4" x14ac:dyDescent="0.35">
      <c r="A4539" s="1">
        <v>1984</v>
      </c>
      <c r="B4539" t="s">
        <v>60</v>
      </c>
      <c r="C4539" t="s">
        <v>61</v>
      </c>
      <c r="D4539">
        <v>242820</v>
      </c>
    </row>
    <row r="4540" spans="1:4" x14ac:dyDescent="0.35">
      <c r="A4540" s="1">
        <v>1984</v>
      </c>
      <c r="B4540" t="s">
        <v>62</v>
      </c>
      <c r="C4540" t="s">
        <v>63</v>
      </c>
      <c r="D4540">
        <v>513067</v>
      </c>
    </row>
    <row r="4541" spans="1:4" x14ac:dyDescent="0.35">
      <c r="A4541" s="1">
        <v>1984</v>
      </c>
      <c r="B4541" t="s">
        <v>18</v>
      </c>
      <c r="C4541" t="s">
        <v>19</v>
      </c>
      <c r="D4541">
        <v>955593</v>
      </c>
    </row>
    <row r="4542" spans="1:4" x14ac:dyDescent="0.35">
      <c r="A4542" s="1">
        <v>1984</v>
      </c>
      <c r="B4542" t="s">
        <v>36</v>
      </c>
      <c r="C4542" t="s">
        <v>37</v>
      </c>
      <c r="D4542">
        <v>244033</v>
      </c>
    </row>
    <row r="4543" spans="1:4" x14ac:dyDescent="0.35">
      <c r="A4543" s="1">
        <v>1984</v>
      </c>
      <c r="B4543" t="s">
        <v>152</v>
      </c>
      <c r="C4543" t="s">
        <v>153</v>
      </c>
      <c r="D4543">
        <v>301234</v>
      </c>
    </row>
    <row r="4544" spans="1:4" x14ac:dyDescent="0.35">
      <c r="A4544" s="1">
        <v>1984</v>
      </c>
      <c r="B4544" t="s">
        <v>64</v>
      </c>
      <c r="C4544" t="s">
        <v>65</v>
      </c>
      <c r="D4544">
        <v>299161</v>
      </c>
    </row>
    <row r="4545" spans="1:4" x14ac:dyDescent="0.35">
      <c r="A4545" s="1">
        <v>1984</v>
      </c>
      <c r="B4545" t="s">
        <v>20</v>
      </c>
      <c r="C4545" t="s">
        <v>21</v>
      </c>
      <c r="D4545">
        <v>744442</v>
      </c>
    </row>
    <row r="4546" spans="1:4" x14ac:dyDescent="0.35">
      <c r="A4546" s="1">
        <v>1984</v>
      </c>
      <c r="B4546" t="s">
        <v>22</v>
      </c>
      <c r="C4546" t="s">
        <v>23</v>
      </c>
      <c r="D4546">
        <v>206706</v>
      </c>
    </row>
    <row r="4547" spans="1:4" x14ac:dyDescent="0.35">
      <c r="A4547" s="1">
        <v>1984</v>
      </c>
      <c r="B4547" t="s">
        <v>190</v>
      </c>
      <c r="C4547" t="s">
        <v>191</v>
      </c>
      <c r="D4547">
        <v>1012071</v>
      </c>
    </row>
    <row r="4548" spans="1:4" x14ac:dyDescent="0.35">
      <c r="A4548" s="1">
        <v>1984</v>
      </c>
      <c r="B4548" t="s">
        <v>66</v>
      </c>
      <c r="C4548" t="s">
        <v>67</v>
      </c>
      <c r="D4548">
        <v>546374</v>
      </c>
    </row>
    <row r="4549" spans="1:4" x14ac:dyDescent="0.35">
      <c r="A4549" s="1">
        <v>1984</v>
      </c>
      <c r="B4549" t="s">
        <v>178</v>
      </c>
      <c r="C4549" t="s">
        <v>179</v>
      </c>
      <c r="D4549">
        <v>156292</v>
      </c>
    </row>
    <row r="4550" spans="1:4" x14ac:dyDescent="0.35">
      <c r="A4550" s="1">
        <v>1984</v>
      </c>
      <c r="B4550" t="s">
        <v>154</v>
      </c>
      <c r="C4550" t="s">
        <v>155</v>
      </c>
      <c r="D4550">
        <v>301954</v>
      </c>
    </row>
    <row r="4551" spans="1:4" x14ac:dyDescent="0.35">
      <c r="A4551" s="1">
        <v>1984</v>
      </c>
      <c r="B4551" t="s">
        <v>180</v>
      </c>
      <c r="C4551" t="s">
        <v>181</v>
      </c>
      <c r="D4551">
        <v>74835</v>
      </c>
    </row>
    <row r="4552" spans="1:4" x14ac:dyDescent="0.35">
      <c r="A4552" s="1">
        <v>1984</v>
      </c>
      <c r="B4552" t="s">
        <v>192</v>
      </c>
      <c r="C4552" t="s">
        <v>193</v>
      </c>
      <c r="D4552">
        <v>685580</v>
      </c>
    </row>
    <row r="4553" spans="1:4" x14ac:dyDescent="0.35">
      <c r="A4553" s="1">
        <v>1984</v>
      </c>
      <c r="B4553" t="s">
        <v>134</v>
      </c>
      <c r="C4553" t="s">
        <v>135</v>
      </c>
      <c r="D4553">
        <v>470192</v>
      </c>
    </row>
    <row r="4554" spans="1:4" x14ac:dyDescent="0.35">
      <c r="A4554" s="1">
        <v>1984</v>
      </c>
      <c r="B4554" t="s">
        <v>88</v>
      </c>
      <c r="C4554" t="s">
        <v>89</v>
      </c>
      <c r="D4554">
        <v>548385</v>
      </c>
    </row>
    <row r="4555" spans="1:4" x14ac:dyDescent="0.35">
      <c r="A4555" s="1">
        <v>1984</v>
      </c>
      <c r="B4555" t="s">
        <v>90</v>
      </c>
      <c r="C4555" t="s">
        <v>91</v>
      </c>
      <c r="D4555">
        <v>210709</v>
      </c>
    </row>
    <row r="4556" spans="1:4" x14ac:dyDescent="0.35">
      <c r="A4556" s="1">
        <v>1984</v>
      </c>
      <c r="B4556" t="s">
        <v>194</v>
      </c>
      <c r="C4556" t="s">
        <v>195</v>
      </c>
      <c r="D4556">
        <v>273655</v>
      </c>
    </row>
    <row r="4557" spans="1:4" x14ac:dyDescent="0.35">
      <c r="A4557" s="1">
        <v>1984</v>
      </c>
      <c r="B4557" t="s">
        <v>92</v>
      </c>
      <c r="C4557" t="s">
        <v>93</v>
      </c>
      <c r="D4557">
        <v>720515</v>
      </c>
    </row>
    <row r="4558" spans="1:4" x14ac:dyDescent="0.35">
      <c r="A4558" s="1">
        <v>1984</v>
      </c>
      <c r="B4558" t="s">
        <v>94</v>
      </c>
      <c r="C4558" t="s">
        <v>95</v>
      </c>
      <c r="D4558">
        <v>199539</v>
      </c>
    </row>
    <row r="4559" spans="1:4" x14ac:dyDescent="0.35">
      <c r="A4559" s="1">
        <v>1984</v>
      </c>
      <c r="B4559" t="s">
        <v>54</v>
      </c>
      <c r="C4559" t="s">
        <v>55</v>
      </c>
      <c r="D4559">
        <v>597564</v>
      </c>
    </row>
    <row r="4560" spans="1:4" x14ac:dyDescent="0.35">
      <c r="A4560" s="1">
        <v>1984</v>
      </c>
      <c r="B4560" t="s">
        <v>96</v>
      </c>
      <c r="C4560" t="s">
        <v>97</v>
      </c>
      <c r="D4560">
        <v>1007434</v>
      </c>
    </row>
    <row r="4561" spans="1:4" x14ac:dyDescent="0.35">
      <c r="A4561" s="1">
        <v>1984</v>
      </c>
      <c r="B4561" t="s">
        <v>38</v>
      </c>
      <c r="C4561" t="s">
        <v>39</v>
      </c>
      <c r="D4561">
        <v>238290</v>
      </c>
    </row>
    <row r="4562" spans="1:4" x14ac:dyDescent="0.35">
      <c r="A4562" s="1">
        <v>1984</v>
      </c>
      <c r="B4562" t="s">
        <v>106</v>
      </c>
      <c r="C4562" t="s">
        <v>107</v>
      </c>
      <c r="D4562">
        <v>2520403</v>
      </c>
    </row>
    <row r="4563" spans="1:4" x14ac:dyDescent="0.35">
      <c r="A4563" s="1">
        <v>1984</v>
      </c>
      <c r="B4563" t="s">
        <v>108</v>
      </c>
      <c r="C4563" t="s">
        <v>109</v>
      </c>
      <c r="D4563">
        <v>678720</v>
      </c>
    </row>
    <row r="4564" spans="1:4" x14ac:dyDescent="0.35">
      <c r="A4564" s="1">
        <v>1984</v>
      </c>
      <c r="B4564" t="s">
        <v>136</v>
      </c>
      <c r="C4564" t="s">
        <v>137</v>
      </c>
      <c r="D4564">
        <v>297157</v>
      </c>
    </row>
    <row r="4565" spans="1:4" x14ac:dyDescent="0.35">
      <c r="A4565" s="1">
        <v>1984</v>
      </c>
      <c r="B4565" t="s">
        <v>110</v>
      </c>
      <c r="C4565" t="s">
        <v>111</v>
      </c>
      <c r="D4565">
        <v>1421558</v>
      </c>
    </row>
    <row r="4566" spans="1:4" x14ac:dyDescent="0.35">
      <c r="A4566" s="1">
        <v>1984</v>
      </c>
      <c r="B4566" t="s">
        <v>24</v>
      </c>
      <c r="C4566" t="s">
        <v>25</v>
      </c>
      <c r="D4566">
        <v>596859</v>
      </c>
    </row>
    <row r="4567" spans="1:4" x14ac:dyDescent="0.35">
      <c r="A4567" s="1">
        <v>1984</v>
      </c>
      <c r="B4567" t="s">
        <v>156</v>
      </c>
      <c r="C4567" t="s">
        <v>157</v>
      </c>
      <c r="D4567">
        <v>560358</v>
      </c>
    </row>
    <row r="4568" spans="1:4" x14ac:dyDescent="0.35">
      <c r="A4568" s="1">
        <v>1984</v>
      </c>
      <c r="B4568" t="s">
        <v>182</v>
      </c>
      <c r="C4568" t="s">
        <v>183</v>
      </c>
      <c r="D4568">
        <v>228770</v>
      </c>
    </row>
    <row r="4569" spans="1:4" x14ac:dyDescent="0.35">
      <c r="A4569" s="1">
        <v>1984</v>
      </c>
      <c r="B4569" t="s">
        <v>184</v>
      </c>
      <c r="C4569" t="s">
        <v>185</v>
      </c>
      <c r="D4569">
        <v>341169</v>
      </c>
    </row>
    <row r="4570" spans="1:4" x14ac:dyDescent="0.35">
      <c r="A4570" s="1">
        <v>1984</v>
      </c>
      <c r="B4570" t="s">
        <v>98</v>
      </c>
      <c r="C4570" t="s">
        <v>99</v>
      </c>
      <c r="D4570">
        <v>924568</v>
      </c>
    </row>
    <row r="4571" spans="1:4" x14ac:dyDescent="0.35">
      <c r="A4571" s="1">
        <v>1984</v>
      </c>
      <c r="B4571" t="s">
        <v>100</v>
      </c>
      <c r="C4571" t="s">
        <v>101</v>
      </c>
      <c r="D4571">
        <v>654671</v>
      </c>
    </row>
    <row r="4572" spans="1:4" x14ac:dyDescent="0.35">
      <c r="A4572" s="1">
        <v>1984</v>
      </c>
      <c r="B4572" t="s">
        <v>26</v>
      </c>
      <c r="C4572" t="s">
        <v>27</v>
      </c>
      <c r="D4572">
        <v>1454524</v>
      </c>
    </row>
    <row r="4573" spans="1:4" x14ac:dyDescent="0.35">
      <c r="A4573" s="1">
        <v>1984</v>
      </c>
      <c r="B4573" t="s">
        <v>40</v>
      </c>
      <c r="C4573" t="s">
        <v>41</v>
      </c>
      <c r="D4573">
        <v>232093</v>
      </c>
    </row>
    <row r="4574" spans="1:4" x14ac:dyDescent="0.35">
      <c r="A4574" s="1">
        <v>1984</v>
      </c>
      <c r="B4574" t="s">
        <v>42</v>
      </c>
      <c r="C4574" t="s">
        <v>43</v>
      </c>
      <c r="D4574">
        <v>568694</v>
      </c>
    </row>
    <row r="4575" spans="1:4" x14ac:dyDescent="0.35">
      <c r="A4575" s="1">
        <v>1984</v>
      </c>
      <c r="B4575" t="s">
        <v>196</v>
      </c>
      <c r="C4575" t="s">
        <v>197</v>
      </c>
      <c r="D4575">
        <v>508060</v>
      </c>
    </row>
    <row r="4576" spans="1:4" x14ac:dyDescent="0.35">
      <c r="A4576" s="1">
        <v>1984</v>
      </c>
      <c r="B4576" t="s">
        <v>28</v>
      </c>
      <c r="C4576" t="s">
        <v>29</v>
      </c>
      <c r="D4576">
        <v>327838</v>
      </c>
    </row>
    <row r="4577" spans="1:4" x14ac:dyDescent="0.35">
      <c r="A4577" s="1">
        <v>1984</v>
      </c>
      <c r="B4577" t="s">
        <v>30</v>
      </c>
      <c r="C4577" t="s">
        <v>31</v>
      </c>
      <c r="D4577">
        <v>514990</v>
      </c>
    </row>
    <row r="4578" spans="1:4" x14ac:dyDescent="0.35">
      <c r="A4578" s="1">
        <v>1984</v>
      </c>
      <c r="B4578" t="s">
        <v>114</v>
      </c>
      <c r="C4578" t="s">
        <v>115</v>
      </c>
      <c r="D4578">
        <v>2168999</v>
      </c>
    </row>
    <row r="4579" spans="1:4" x14ac:dyDescent="0.35">
      <c r="A4579" s="1">
        <v>1984</v>
      </c>
      <c r="B4579" t="s">
        <v>138</v>
      </c>
      <c r="C4579" t="s">
        <v>139</v>
      </c>
      <c r="D4579">
        <v>1202194</v>
      </c>
    </row>
    <row r="4580" spans="1:4" x14ac:dyDescent="0.35">
      <c r="A4580" s="1">
        <v>1984</v>
      </c>
      <c r="B4580" t="s">
        <v>116</v>
      </c>
      <c r="C4580" t="s">
        <v>117</v>
      </c>
      <c r="D4580">
        <v>921091</v>
      </c>
    </row>
    <row r="4581" spans="1:4" x14ac:dyDescent="0.35">
      <c r="A4581" s="1">
        <v>1984</v>
      </c>
      <c r="B4581" t="s">
        <v>118</v>
      </c>
      <c r="C4581" t="s">
        <v>119</v>
      </c>
      <c r="D4581">
        <v>1217423</v>
      </c>
    </row>
    <row r="4582" spans="1:4" x14ac:dyDescent="0.35">
      <c r="A4582" s="1">
        <v>1984</v>
      </c>
      <c r="B4582" t="s">
        <v>158</v>
      </c>
      <c r="C4582" t="s">
        <v>159</v>
      </c>
      <c r="D4582">
        <v>343329</v>
      </c>
    </row>
    <row r="4583" spans="1:4" x14ac:dyDescent="0.35">
      <c r="A4583" s="1">
        <v>1984</v>
      </c>
      <c r="B4583" t="s">
        <v>112</v>
      </c>
      <c r="C4583" t="s">
        <v>113</v>
      </c>
      <c r="D4583">
        <v>547738</v>
      </c>
    </row>
    <row r="4584" spans="1:4" x14ac:dyDescent="0.35">
      <c r="A4584" s="1">
        <v>1984</v>
      </c>
      <c r="B4584" t="s">
        <v>186</v>
      </c>
      <c r="C4584" t="s">
        <v>187</v>
      </c>
      <c r="D4584">
        <v>341118</v>
      </c>
    </row>
    <row r="4585" spans="1:4" x14ac:dyDescent="0.35">
      <c r="A4585" s="1">
        <v>1984</v>
      </c>
      <c r="B4585" t="s">
        <v>188</v>
      </c>
      <c r="C4585" t="s">
        <v>189</v>
      </c>
      <c r="D4585">
        <v>192949</v>
      </c>
    </row>
    <row r="4586" spans="1:4" x14ac:dyDescent="0.35">
      <c r="A4586" s="1">
        <v>1984</v>
      </c>
      <c r="B4586" t="s">
        <v>208</v>
      </c>
      <c r="C4586" t="s">
        <v>209</v>
      </c>
      <c r="D4586">
        <v>731197</v>
      </c>
    </row>
    <row r="4587" spans="1:4" x14ac:dyDescent="0.35">
      <c r="A4587" s="1">
        <v>1984</v>
      </c>
      <c r="B4587" t="s">
        <v>210</v>
      </c>
      <c r="C4587" t="s">
        <v>211</v>
      </c>
      <c r="D4587">
        <v>434751</v>
      </c>
    </row>
    <row r="4588" spans="1:4" x14ac:dyDescent="0.35">
      <c r="A4588" s="1">
        <v>1984</v>
      </c>
      <c r="B4588" t="s">
        <v>198</v>
      </c>
      <c r="C4588" t="s">
        <v>199</v>
      </c>
      <c r="D4588">
        <v>491520</v>
      </c>
    </row>
    <row r="4589" spans="1:4" x14ac:dyDescent="0.35">
      <c r="A4589" s="1">
        <v>1984</v>
      </c>
      <c r="B4589" t="s">
        <v>160</v>
      </c>
      <c r="C4589" t="s">
        <v>161</v>
      </c>
      <c r="D4589">
        <v>373489</v>
      </c>
    </row>
    <row r="4590" spans="1:4" x14ac:dyDescent="0.35">
      <c r="A4590" s="1">
        <v>1984</v>
      </c>
      <c r="B4590" t="s">
        <v>162</v>
      </c>
      <c r="C4590" t="s">
        <v>163</v>
      </c>
      <c r="D4590">
        <v>358304</v>
      </c>
    </row>
    <row r="4591" spans="1:4" x14ac:dyDescent="0.35">
      <c r="A4591" s="1">
        <v>1984</v>
      </c>
      <c r="B4591" t="s">
        <v>102</v>
      </c>
      <c r="C4591" t="s">
        <v>103</v>
      </c>
      <c r="D4591">
        <v>393796</v>
      </c>
    </row>
    <row r="4592" spans="1:4" x14ac:dyDescent="0.35">
      <c r="A4592" s="1">
        <v>1984</v>
      </c>
      <c r="B4592" t="s">
        <v>44</v>
      </c>
      <c r="C4592" t="s">
        <v>45</v>
      </c>
      <c r="D4592">
        <v>313814</v>
      </c>
    </row>
    <row r="4593" spans="1:4" x14ac:dyDescent="0.35">
      <c r="A4593" s="1">
        <v>1984</v>
      </c>
      <c r="B4593" t="s">
        <v>46</v>
      </c>
      <c r="C4593" t="s">
        <v>221</v>
      </c>
      <c r="D4593">
        <v>132952</v>
      </c>
    </row>
    <row r="4594" spans="1:4" x14ac:dyDescent="0.35">
      <c r="A4594" s="1">
        <v>1984</v>
      </c>
      <c r="B4594" t="s">
        <v>120</v>
      </c>
      <c r="C4594" t="s">
        <v>121</v>
      </c>
      <c r="D4594">
        <v>1004049</v>
      </c>
    </row>
    <row r="4595" spans="1:4" x14ac:dyDescent="0.35">
      <c r="A4595" s="1">
        <v>1984</v>
      </c>
      <c r="B4595" t="s">
        <v>122</v>
      </c>
      <c r="C4595" t="s">
        <v>222</v>
      </c>
      <c r="D4595">
        <v>1384675</v>
      </c>
    </row>
    <row r="4596" spans="1:4" x14ac:dyDescent="0.35">
      <c r="A4596" s="1">
        <v>1984</v>
      </c>
      <c r="B4596" t="s">
        <v>124</v>
      </c>
      <c r="C4596" t="s">
        <v>125</v>
      </c>
      <c r="D4596">
        <v>1333360</v>
      </c>
    </row>
    <row r="4597" spans="1:4" x14ac:dyDescent="0.35">
      <c r="A4597" s="1">
        <v>1984</v>
      </c>
      <c r="B4597" t="s">
        <v>126</v>
      </c>
      <c r="C4597" t="s">
        <v>127</v>
      </c>
      <c r="D4597">
        <v>1199080</v>
      </c>
    </row>
    <row r="4598" spans="1:4" x14ac:dyDescent="0.35">
      <c r="A4598" s="1">
        <v>1984</v>
      </c>
      <c r="B4598" t="s">
        <v>128</v>
      </c>
      <c r="C4598" t="s">
        <v>129</v>
      </c>
      <c r="D4598">
        <v>943813</v>
      </c>
    </row>
    <row r="4599" spans="1:4" x14ac:dyDescent="0.35">
      <c r="A4599" s="1">
        <v>1984</v>
      </c>
      <c r="B4599" t="s">
        <v>257</v>
      </c>
      <c r="D4599">
        <v>54894854</v>
      </c>
    </row>
    <row r="4600" spans="1:4" x14ac:dyDescent="0.35">
      <c r="A4600" s="1">
        <v>1984</v>
      </c>
    </row>
    <row r="4601" spans="1:4" x14ac:dyDescent="0.35">
      <c r="A4601" s="1">
        <v>1984</v>
      </c>
      <c r="B4601" t="s">
        <v>240</v>
      </c>
    </row>
    <row r="4602" spans="1:4" x14ac:dyDescent="0.35">
      <c r="A4602" s="1">
        <v>1984</v>
      </c>
      <c r="B4602" t="s">
        <v>278</v>
      </c>
    </row>
    <row r="4603" spans="1:4" x14ac:dyDescent="0.35">
      <c r="A4603" s="1">
        <v>1983</v>
      </c>
      <c r="B4603" t="s">
        <v>251</v>
      </c>
    </row>
    <row r="4604" spans="1:4" x14ac:dyDescent="0.35">
      <c r="A4604" s="1">
        <v>1983</v>
      </c>
      <c r="B4604" t="s">
        <v>284</v>
      </c>
    </row>
    <row r="4605" spans="1:4" x14ac:dyDescent="0.35">
      <c r="A4605" s="1">
        <v>1983</v>
      </c>
    </row>
    <row r="4606" spans="1:4" x14ac:dyDescent="0.35">
      <c r="A4606" s="1">
        <v>1983</v>
      </c>
      <c r="B4606" t="s">
        <v>231</v>
      </c>
    </row>
    <row r="4607" spans="1:4" x14ac:dyDescent="0.35">
      <c r="A4607" s="1">
        <v>1983</v>
      </c>
      <c r="D4607" t="s">
        <v>232</v>
      </c>
    </row>
    <row r="4608" spans="1:4" x14ac:dyDescent="0.35">
      <c r="A4608" s="1">
        <v>1983</v>
      </c>
      <c r="B4608" t="s">
        <v>5</v>
      </c>
      <c r="C4608" t="s">
        <v>6</v>
      </c>
      <c r="D4608">
        <v>422743</v>
      </c>
    </row>
    <row r="4609" spans="1:4" x14ac:dyDescent="0.35">
      <c r="A4609" s="1">
        <v>1983</v>
      </c>
      <c r="B4609" t="s">
        <v>104</v>
      </c>
      <c r="C4609" t="s">
        <v>105</v>
      </c>
      <c r="D4609">
        <v>534972</v>
      </c>
    </row>
    <row r="4610" spans="1:4" x14ac:dyDescent="0.35">
      <c r="A4610" s="1">
        <v>1983</v>
      </c>
      <c r="B4610" t="s">
        <v>10</v>
      </c>
      <c r="C4610" t="s">
        <v>11</v>
      </c>
      <c r="D4610">
        <v>368896</v>
      </c>
    </row>
    <row r="4611" spans="1:4" x14ac:dyDescent="0.35">
      <c r="A4611" s="1">
        <v>1983</v>
      </c>
      <c r="B4611" t="s">
        <v>200</v>
      </c>
      <c r="C4611" t="s">
        <v>201</v>
      </c>
      <c r="D4611">
        <v>120072</v>
      </c>
    </row>
    <row r="4612" spans="1:4" x14ac:dyDescent="0.35">
      <c r="A4612" s="1">
        <v>1983</v>
      </c>
      <c r="B4612" t="s">
        <v>202</v>
      </c>
      <c r="C4612" t="s">
        <v>203</v>
      </c>
      <c r="D4612">
        <v>105622</v>
      </c>
    </row>
    <row r="4613" spans="1:4" x14ac:dyDescent="0.35">
      <c r="A4613" s="1">
        <v>1983</v>
      </c>
      <c r="B4613" t="s">
        <v>204</v>
      </c>
      <c r="C4613" t="s">
        <v>205</v>
      </c>
      <c r="D4613">
        <v>893111</v>
      </c>
    </row>
    <row r="4614" spans="1:4" x14ac:dyDescent="0.35">
      <c r="A4614" s="1">
        <v>1983</v>
      </c>
      <c r="B4614" t="s">
        <v>12</v>
      </c>
      <c r="C4614" t="s">
        <v>13</v>
      </c>
      <c r="D4614">
        <v>270122</v>
      </c>
    </row>
    <row r="4615" spans="1:4" x14ac:dyDescent="0.35">
      <c r="A4615" s="1">
        <v>1983</v>
      </c>
      <c r="B4615" t="s">
        <v>84</v>
      </c>
      <c r="C4615" t="s">
        <v>85</v>
      </c>
      <c r="D4615">
        <v>302026</v>
      </c>
    </row>
    <row r="4616" spans="1:4" x14ac:dyDescent="0.35">
      <c r="A4616" s="1">
        <v>1983</v>
      </c>
      <c r="B4616" t="s">
        <v>164</v>
      </c>
      <c r="C4616" t="s">
        <v>165</v>
      </c>
      <c r="D4616">
        <v>136456</v>
      </c>
    </row>
    <row r="4617" spans="1:4" x14ac:dyDescent="0.35">
      <c r="A4617" s="1">
        <v>1983</v>
      </c>
      <c r="B4617" t="s">
        <v>86</v>
      </c>
      <c r="C4617" t="s">
        <v>87</v>
      </c>
      <c r="D4617">
        <v>289128</v>
      </c>
    </row>
    <row r="4618" spans="1:4" x14ac:dyDescent="0.35">
      <c r="A4618" s="1">
        <v>1983</v>
      </c>
      <c r="B4618" t="s">
        <v>166</v>
      </c>
      <c r="C4618" t="s">
        <v>167</v>
      </c>
      <c r="D4618">
        <v>283183</v>
      </c>
    </row>
    <row r="4619" spans="1:4" x14ac:dyDescent="0.35">
      <c r="A4619" s="1">
        <v>1983</v>
      </c>
      <c r="B4619" t="s">
        <v>168</v>
      </c>
      <c r="C4619" t="s">
        <v>169</v>
      </c>
      <c r="D4619">
        <v>278548</v>
      </c>
    </row>
    <row r="4620" spans="1:4" x14ac:dyDescent="0.35">
      <c r="A4620" s="1">
        <v>1983</v>
      </c>
      <c r="B4620" t="s">
        <v>206</v>
      </c>
      <c r="C4620" t="s">
        <v>207</v>
      </c>
      <c r="D4620">
        <v>1729336</v>
      </c>
    </row>
    <row r="4621" spans="1:4" x14ac:dyDescent="0.35">
      <c r="A4621" s="1">
        <v>1983</v>
      </c>
      <c r="B4621" t="s">
        <v>130</v>
      </c>
      <c r="C4621" t="s">
        <v>131</v>
      </c>
      <c r="D4621">
        <v>595309</v>
      </c>
    </row>
    <row r="4622" spans="1:4" x14ac:dyDescent="0.35">
      <c r="A4622" s="1">
        <v>1983</v>
      </c>
      <c r="B4622" t="s">
        <v>14</v>
      </c>
      <c r="C4622" t="s">
        <v>15</v>
      </c>
      <c r="D4622">
        <v>162189</v>
      </c>
    </row>
    <row r="4623" spans="1:4" x14ac:dyDescent="0.35">
      <c r="A4623" s="1">
        <v>1983</v>
      </c>
      <c r="B4623" t="s">
        <v>140</v>
      </c>
      <c r="C4623" t="s">
        <v>141</v>
      </c>
      <c r="D4623">
        <v>341018</v>
      </c>
    </row>
    <row r="4624" spans="1:4" x14ac:dyDescent="0.35">
      <c r="A4624" s="1">
        <v>1983</v>
      </c>
      <c r="B4624" t="s">
        <v>142</v>
      </c>
      <c r="C4624" t="s">
        <v>143</v>
      </c>
      <c r="D4624">
        <v>515187</v>
      </c>
    </row>
    <row r="4625" spans="1:4" x14ac:dyDescent="0.35">
      <c r="A4625" s="1">
        <v>1983</v>
      </c>
      <c r="B4625" t="s">
        <v>56</v>
      </c>
      <c r="C4625" t="s">
        <v>57</v>
      </c>
      <c r="D4625">
        <v>321742</v>
      </c>
    </row>
    <row r="4626" spans="1:4" x14ac:dyDescent="0.35">
      <c r="A4626" s="1">
        <v>1983</v>
      </c>
      <c r="B4626" t="s">
        <v>144</v>
      </c>
      <c r="C4626" t="s">
        <v>145</v>
      </c>
      <c r="D4626">
        <v>241053</v>
      </c>
    </row>
    <row r="4627" spans="1:4" x14ac:dyDescent="0.35">
      <c r="A4627" s="1">
        <v>1983</v>
      </c>
      <c r="B4627" t="s">
        <v>68</v>
      </c>
      <c r="C4627" t="s">
        <v>69</v>
      </c>
      <c r="D4627">
        <v>109760</v>
      </c>
    </row>
    <row r="4628" spans="1:4" x14ac:dyDescent="0.35">
      <c r="A4628" s="1">
        <v>1983</v>
      </c>
      <c r="B4628" t="s">
        <v>70</v>
      </c>
      <c r="C4628" t="s">
        <v>71</v>
      </c>
      <c r="D4628">
        <v>131669</v>
      </c>
    </row>
    <row r="4629" spans="1:4" x14ac:dyDescent="0.35">
      <c r="A4629" s="1">
        <v>1983</v>
      </c>
      <c r="B4629" t="s">
        <v>32</v>
      </c>
      <c r="C4629" t="s">
        <v>219</v>
      </c>
      <c r="D4629">
        <v>475971</v>
      </c>
    </row>
    <row r="4630" spans="1:4" x14ac:dyDescent="0.35">
      <c r="A4630" s="1">
        <v>1983</v>
      </c>
      <c r="B4630" t="s">
        <v>48</v>
      </c>
      <c r="C4630" t="s">
        <v>220</v>
      </c>
      <c r="D4630">
        <v>539399</v>
      </c>
    </row>
    <row r="4631" spans="1:4" x14ac:dyDescent="0.35">
      <c r="A4631" s="1">
        <v>1983</v>
      </c>
      <c r="B4631" t="s">
        <v>146</v>
      </c>
      <c r="C4631" t="s">
        <v>147</v>
      </c>
      <c r="D4631">
        <v>139320</v>
      </c>
    </row>
    <row r="4632" spans="1:4" x14ac:dyDescent="0.35">
      <c r="A4632" s="1">
        <v>1983</v>
      </c>
      <c r="B4632" t="s">
        <v>148</v>
      </c>
      <c r="C4632" t="s">
        <v>149</v>
      </c>
      <c r="D4632">
        <v>379393</v>
      </c>
    </row>
    <row r="4633" spans="1:4" x14ac:dyDescent="0.35">
      <c r="A4633" s="1">
        <v>1983</v>
      </c>
      <c r="B4633" t="s">
        <v>34</v>
      </c>
      <c r="C4633" t="s">
        <v>35</v>
      </c>
      <c r="D4633">
        <v>479891</v>
      </c>
    </row>
    <row r="4634" spans="1:4" x14ac:dyDescent="0.35">
      <c r="A4634" s="1">
        <v>1983</v>
      </c>
      <c r="B4634" t="s">
        <v>16</v>
      </c>
      <c r="C4634" t="s">
        <v>17</v>
      </c>
      <c r="D4634">
        <v>393723</v>
      </c>
    </row>
    <row r="4635" spans="1:4" x14ac:dyDescent="0.35">
      <c r="A4635" s="1">
        <v>1983</v>
      </c>
      <c r="B4635" t="s">
        <v>132</v>
      </c>
      <c r="C4635" t="s">
        <v>133</v>
      </c>
      <c r="D4635">
        <v>467585</v>
      </c>
    </row>
    <row r="4636" spans="1:4" x14ac:dyDescent="0.35">
      <c r="A4636" s="1">
        <v>1983</v>
      </c>
      <c r="B4636" t="s">
        <v>58</v>
      </c>
      <c r="C4636" t="s">
        <v>59</v>
      </c>
      <c r="D4636">
        <v>366759</v>
      </c>
    </row>
    <row r="4637" spans="1:4" x14ac:dyDescent="0.35">
      <c r="A4637" s="1">
        <v>1983</v>
      </c>
      <c r="B4637" t="s">
        <v>50</v>
      </c>
      <c r="C4637" t="s">
        <v>51</v>
      </c>
      <c r="D4637">
        <v>830215</v>
      </c>
    </row>
    <row r="4638" spans="1:4" x14ac:dyDescent="0.35">
      <c r="A4638" s="1">
        <v>1983</v>
      </c>
      <c r="B4638" t="s">
        <v>170</v>
      </c>
      <c r="C4638" t="s">
        <v>171</v>
      </c>
      <c r="D4638">
        <v>537769</v>
      </c>
    </row>
    <row r="4639" spans="1:4" x14ac:dyDescent="0.35">
      <c r="A4639" s="1">
        <v>1983</v>
      </c>
      <c r="B4639" t="s">
        <v>172</v>
      </c>
      <c r="C4639" t="s">
        <v>173</v>
      </c>
      <c r="D4639">
        <v>837177</v>
      </c>
    </row>
    <row r="4640" spans="1:4" x14ac:dyDescent="0.35">
      <c r="A4640" s="1">
        <v>1983</v>
      </c>
      <c r="B4640" t="s">
        <v>174</v>
      </c>
      <c r="C4640" t="s">
        <v>175</v>
      </c>
      <c r="D4640">
        <v>173444</v>
      </c>
    </row>
    <row r="4641" spans="1:4" x14ac:dyDescent="0.35">
      <c r="A4641" s="1">
        <v>1983</v>
      </c>
      <c r="B4641" t="s">
        <v>150</v>
      </c>
      <c r="C4641" t="s">
        <v>151</v>
      </c>
      <c r="D4641">
        <v>1137928</v>
      </c>
    </row>
    <row r="4642" spans="1:4" x14ac:dyDescent="0.35">
      <c r="A4642" s="1">
        <v>1983</v>
      </c>
      <c r="B4642" t="s">
        <v>176</v>
      </c>
      <c r="C4642" t="s">
        <v>177</v>
      </c>
      <c r="D4642">
        <v>718620</v>
      </c>
    </row>
    <row r="4643" spans="1:4" x14ac:dyDescent="0.35">
      <c r="A4643" s="1">
        <v>1983</v>
      </c>
      <c r="B4643" t="s">
        <v>52</v>
      </c>
      <c r="C4643" t="s">
        <v>53</v>
      </c>
      <c r="D4643">
        <v>755489</v>
      </c>
    </row>
    <row r="4644" spans="1:4" x14ac:dyDescent="0.35">
      <c r="A4644" s="1">
        <v>1983</v>
      </c>
      <c r="B4644" t="s">
        <v>60</v>
      </c>
      <c r="C4644" t="s">
        <v>61</v>
      </c>
      <c r="D4644">
        <v>243387</v>
      </c>
    </row>
    <row r="4645" spans="1:4" x14ac:dyDescent="0.35">
      <c r="A4645" s="1">
        <v>1983</v>
      </c>
      <c r="B4645" t="s">
        <v>62</v>
      </c>
      <c r="C4645" t="s">
        <v>63</v>
      </c>
      <c r="D4645">
        <v>510134</v>
      </c>
    </row>
    <row r="4646" spans="1:4" x14ac:dyDescent="0.35">
      <c r="A4646" s="1">
        <v>1983</v>
      </c>
      <c r="B4646" t="s">
        <v>18</v>
      </c>
      <c r="C4646" t="s">
        <v>19</v>
      </c>
      <c r="D4646">
        <v>945771</v>
      </c>
    </row>
    <row r="4647" spans="1:4" x14ac:dyDescent="0.35">
      <c r="A4647" s="1">
        <v>1983</v>
      </c>
      <c r="B4647" t="s">
        <v>36</v>
      </c>
      <c r="C4647" t="s">
        <v>37</v>
      </c>
      <c r="D4647">
        <v>243553</v>
      </c>
    </row>
    <row r="4648" spans="1:4" x14ac:dyDescent="0.35">
      <c r="A4648" s="1">
        <v>1983</v>
      </c>
      <c r="B4648" t="s">
        <v>152</v>
      </c>
      <c r="C4648" t="s">
        <v>153</v>
      </c>
      <c r="D4648">
        <v>299060</v>
      </c>
    </row>
    <row r="4649" spans="1:4" x14ac:dyDescent="0.35">
      <c r="A4649" s="1">
        <v>1983</v>
      </c>
      <c r="B4649" t="s">
        <v>64</v>
      </c>
      <c r="C4649" t="s">
        <v>65</v>
      </c>
      <c r="D4649">
        <v>297748</v>
      </c>
    </row>
    <row r="4650" spans="1:4" x14ac:dyDescent="0.35">
      <c r="A4650" s="1">
        <v>1983</v>
      </c>
      <c r="B4650" t="s">
        <v>20</v>
      </c>
      <c r="C4650" t="s">
        <v>21</v>
      </c>
      <c r="D4650">
        <v>743246</v>
      </c>
    </row>
    <row r="4651" spans="1:4" x14ac:dyDescent="0.35">
      <c r="A4651" s="1">
        <v>1983</v>
      </c>
      <c r="B4651" t="s">
        <v>22</v>
      </c>
      <c r="C4651" t="s">
        <v>23</v>
      </c>
      <c r="D4651">
        <v>206132</v>
      </c>
    </row>
    <row r="4652" spans="1:4" x14ac:dyDescent="0.35">
      <c r="A4652" s="1">
        <v>1983</v>
      </c>
      <c r="B4652" t="s">
        <v>190</v>
      </c>
      <c r="C4652" t="s">
        <v>191</v>
      </c>
      <c r="D4652">
        <v>1004897</v>
      </c>
    </row>
    <row r="4653" spans="1:4" x14ac:dyDescent="0.35">
      <c r="A4653" s="1">
        <v>1983</v>
      </c>
      <c r="B4653" t="s">
        <v>66</v>
      </c>
      <c r="C4653" t="s">
        <v>67</v>
      </c>
      <c r="D4653">
        <v>541253</v>
      </c>
    </row>
    <row r="4654" spans="1:4" x14ac:dyDescent="0.35">
      <c r="A4654" s="1">
        <v>1983</v>
      </c>
      <c r="B4654" t="s">
        <v>178</v>
      </c>
      <c r="C4654" t="s">
        <v>179</v>
      </c>
      <c r="D4654">
        <v>155293</v>
      </c>
    </row>
    <row r="4655" spans="1:4" x14ac:dyDescent="0.35">
      <c r="A4655" s="1">
        <v>1983</v>
      </c>
      <c r="B4655" t="s">
        <v>154</v>
      </c>
      <c r="C4655" t="s">
        <v>155</v>
      </c>
      <c r="D4655">
        <v>300296</v>
      </c>
    </row>
    <row r="4656" spans="1:4" x14ac:dyDescent="0.35">
      <c r="A4656" s="1">
        <v>1983</v>
      </c>
      <c r="B4656" t="s">
        <v>180</v>
      </c>
      <c r="C4656" t="s">
        <v>181</v>
      </c>
      <c r="D4656">
        <v>74648</v>
      </c>
    </row>
    <row r="4657" spans="1:4" x14ac:dyDescent="0.35">
      <c r="A4657" s="1">
        <v>1983</v>
      </c>
      <c r="B4657" t="s">
        <v>192</v>
      </c>
      <c r="C4657" t="s">
        <v>193</v>
      </c>
      <c r="D4657">
        <v>681239</v>
      </c>
    </row>
    <row r="4658" spans="1:4" x14ac:dyDescent="0.35">
      <c r="A4658" s="1">
        <v>1983</v>
      </c>
      <c r="B4658" t="s">
        <v>134</v>
      </c>
      <c r="C4658" t="s">
        <v>135</v>
      </c>
      <c r="D4658">
        <v>468172</v>
      </c>
    </row>
    <row r="4659" spans="1:4" x14ac:dyDescent="0.35">
      <c r="A4659" s="1">
        <v>1983</v>
      </c>
      <c r="B4659" t="s">
        <v>88</v>
      </c>
      <c r="C4659" t="s">
        <v>89</v>
      </c>
      <c r="D4659">
        <v>546183</v>
      </c>
    </row>
    <row r="4660" spans="1:4" x14ac:dyDescent="0.35">
      <c r="A4660" s="1">
        <v>1983</v>
      </c>
      <c r="B4660" t="s">
        <v>90</v>
      </c>
      <c r="C4660" t="s">
        <v>91</v>
      </c>
      <c r="D4660">
        <v>211014</v>
      </c>
    </row>
    <row r="4661" spans="1:4" x14ac:dyDescent="0.35">
      <c r="A4661" s="1">
        <v>1983</v>
      </c>
      <c r="B4661" t="s">
        <v>194</v>
      </c>
      <c r="C4661" t="s">
        <v>195</v>
      </c>
      <c r="D4661">
        <v>272480</v>
      </c>
    </row>
    <row r="4662" spans="1:4" x14ac:dyDescent="0.35">
      <c r="A4662" s="1">
        <v>1983</v>
      </c>
      <c r="B4662" t="s">
        <v>92</v>
      </c>
      <c r="C4662" t="s">
        <v>93</v>
      </c>
      <c r="D4662">
        <v>719030</v>
      </c>
    </row>
    <row r="4663" spans="1:4" x14ac:dyDescent="0.35">
      <c r="A4663" s="1">
        <v>1983</v>
      </c>
      <c r="B4663" t="s">
        <v>94</v>
      </c>
      <c r="C4663" t="s">
        <v>95</v>
      </c>
      <c r="D4663">
        <v>199481</v>
      </c>
    </row>
    <row r="4664" spans="1:4" x14ac:dyDescent="0.35">
      <c r="A4664" s="1">
        <v>1983</v>
      </c>
      <c r="B4664" t="s">
        <v>54</v>
      </c>
      <c r="C4664" t="s">
        <v>55</v>
      </c>
      <c r="D4664">
        <v>594405</v>
      </c>
    </row>
    <row r="4665" spans="1:4" x14ac:dyDescent="0.35">
      <c r="A4665" s="1">
        <v>1983</v>
      </c>
      <c r="B4665" t="s">
        <v>96</v>
      </c>
      <c r="C4665" t="s">
        <v>97</v>
      </c>
      <c r="D4665">
        <v>1006708</v>
      </c>
    </row>
    <row r="4666" spans="1:4" x14ac:dyDescent="0.35">
      <c r="A4666" s="1">
        <v>1983</v>
      </c>
      <c r="B4666" t="s">
        <v>38</v>
      </c>
      <c r="C4666" t="s">
        <v>39</v>
      </c>
      <c r="D4666">
        <v>239049</v>
      </c>
    </row>
    <row r="4667" spans="1:4" x14ac:dyDescent="0.35">
      <c r="A4667" s="1">
        <v>1983</v>
      </c>
      <c r="B4667" t="s">
        <v>106</v>
      </c>
      <c r="C4667" t="s">
        <v>107</v>
      </c>
      <c r="D4667">
        <v>2532887</v>
      </c>
    </row>
    <row r="4668" spans="1:4" x14ac:dyDescent="0.35">
      <c r="A4668" s="1">
        <v>1983</v>
      </c>
      <c r="B4668" t="s">
        <v>108</v>
      </c>
      <c r="C4668" t="s">
        <v>109</v>
      </c>
      <c r="D4668">
        <v>670512</v>
      </c>
    </row>
    <row r="4669" spans="1:4" x14ac:dyDescent="0.35">
      <c r="A4669" s="1">
        <v>1983</v>
      </c>
      <c r="B4669" t="s">
        <v>136</v>
      </c>
      <c r="C4669" t="s">
        <v>137</v>
      </c>
      <c r="D4669">
        <v>297015</v>
      </c>
    </row>
    <row r="4670" spans="1:4" x14ac:dyDescent="0.35">
      <c r="A4670" s="1">
        <v>1983</v>
      </c>
      <c r="B4670" t="s">
        <v>110</v>
      </c>
      <c r="C4670" t="s">
        <v>111</v>
      </c>
      <c r="D4670">
        <v>1420162</v>
      </c>
    </row>
    <row r="4671" spans="1:4" x14ac:dyDescent="0.35">
      <c r="A4671" s="1">
        <v>1983</v>
      </c>
      <c r="B4671" t="s">
        <v>24</v>
      </c>
      <c r="C4671" t="s">
        <v>25</v>
      </c>
      <c r="D4671">
        <v>595886</v>
      </c>
    </row>
    <row r="4672" spans="1:4" x14ac:dyDescent="0.35">
      <c r="A4672" s="1">
        <v>1983</v>
      </c>
      <c r="B4672" t="s">
        <v>156</v>
      </c>
      <c r="C4672" t="s">
        <v>157</v>
      </c>
      <c r="D4672">
        <v>559510</v>
      </c>
    </row>
    <row r="4673" spans="1:4" x14ac:dyDescent="0.35">
      <c r="A4673" s="1">
        <v>1983</v>
      </c>
      <c r="B4673" t="s">
        <v>182</v>
      </c>
      <c r="C4673" t="s">
        <v>183</v>
      </c>
      <c r="D4673">
        <v>228386</v>
      </c>
    </row>
    <row r="4674" spans="1:4" x14ac:dyDescent="0.35">
      <c r="A4674" s="1">
        <v>1983</v>
      </c>
      <c r="B4674" t="s">
        <v>184</v>
      </c>
      <c r="C4674" t="s">
        <v>185</v>
      </c>
      <c r="D4674">
        <v>337826</v>
      </c>
    </row>
    <row r="4675" spans="1:4" x14ac:dyDescent="0.35">
      <c r="A4675" s="1">
        <v>1983</v>
      </c>
      <c r="B4675" t="s">
        <v>98</v>
      </c>
      <c r="C4675" t="s">
        <v>99</v>
      </c>
      <c r="D4675">
        <v>920386</v>
      </c>
    </row>
    <row r="4676" spans="1:4" x14ac:dyDescent="0.35">
      <c r="A4676" s="1">
        <v>1983</v>
      </c>
      <c r="B4676" t="s">
        <v>100</v>
      </c>
      <c r="C4676" t="s">
        <v>101</v>
      </c>
      <c r="D4676">
        <v>652775</v>
      </c>
    </row>
    <row r="4677" spans="1:4" x14ac:dyDescent="0.35">
      <c r="A4677" s="1">
        <v>1983</v>
      </c>
      <c r="B4677" t="s">
        <v>26</v>
      </c>
      <c r="C4677" t="s">
        <v>27</v>
      </c>
      <c r="D4677">
        <v>1450529</v>
      </c>
    </row>
    <row r="4678" spans="1:4" x14ac:dyDescent="0.35">
      <c r="A4678" s="1">
        <v>1983</v>
      </c>
      <c r="B4678" t="s">
        <v>40</v>
      </c>
      <c r="C4678" t="s">
        <v>41</v>
      </c>
      <c r="D4678">
        <v>232096</v>
      </c>
    </row>
    <row r="4679" spans="1:4" x14ac:dyDescent="0.35">
      <c r="A4679" s="1">
        <v>1983</v>
      </c>
      <c r="B4679" t="s">
        <v>42</v>
      </c>
      <c r="C4679" t="s">
        <v>43</v>
      </c>
      <c r="D4679">
        <v>570474</v>
      </c>
    </row>
    <row r="4680" spans="1:4" x14ac:dyDescent="0.35">
      <c r="A4680" s="1">
        <v>1983</v>
      </c>
      <c r="B4680" t="s">
        <v>196</v>
      </c>
      <c r="C4680" t="s">
        <v>197</v>
      </c>
      <c r="D4680">
        <v>505720</v>
      </c>
    </row>
    <row r="4681" spans="1:4" x14ac:dyDescent="0.35">
      <c r="A4681" s="1">
        <v>1983</v>
      </c>
      <c r="B4681" t="s">
        <v>28</v>
      </c>
      <c r="C4681" t="s">
        <v>29</v>
      </c>
      <c r="D4681">
        <v>327032</v>
      </c>
    </row>
    <row r="4682" spans="1:4" x14ac:dyDescent="0.35">
      <c r="A4682" s="1">
        <v>1983</v>
      </c>
      <c r="B4682" t="s">
        <v>30</v>
      </c>
      <c r="C4682" t="s">
        <v>31</v>
      </c>
      <c r="D4682">
        <v>504104</v>
      </c>
    </row>
    <row r="4683" spans="1:4" x14ac:dyDescent="0.35">
      <c r="A4683" s="1">
        <v>1983</v>
      </c>
      <c r="B4683" t="s">
        <v>114</v>
      </c>
      <c r="C4683" t="s">
        <v>115</v>
      </c>
      <c r="D4683">
        <v>2178277</v>
      </c>
    </row>
    <row r="4684" spans="1:4" x14ac:dyDescent="0.35">
      <c r="A4684" s="1">
        <v>1983</v>
      </c>
      <c r="B4684" t="s">
        <v>138</v>
      </c>
      <c r="C4684" t="s">
        <v>139</v>
      </c>
      <c r="D4684">
        <v>1197376</v>
      </c>
    </row>
    <row r="4685" spans="1:4" x14ac:dyDescent="0.35">
      <c r="A4685" s="1">
        <v>1983</v>
      </c>
      <c r="B4685" t="s">
        <v>116</v>
      </c>
      <c r="C4685" t="s">
        <v>117</v>
      </c>
      <c r="D4685">
        <v>904371</v>
      </c>
    </row>
    <row r="4686" spans="1:4" x14ac:dyDescent="0.35">
      <c r="A4686" s="1">
        <v>1983</v>
      </c>
      <c r="B4686" t="s">
        <v>118</v>
      </c>
      <c r="C4686" t="s">
        <v>119</v>
      </c>
      <c r="D4686">
        <v>1206463</v>
      </c>
    </row>
    <row r="4687" spans="1:4" x14ac:dyDescent="0.35">
      <c r="A4687" s="1">
        <v>1983</v>
      </c>
      <c r="B4687" t="s">
        <v>158</v>
      </c>
      <c r="C4687" t="s">
        <v>159</v>
      </c>
      <c r="D4687">
        <v>343403</v>
      </c>
    </row>
    <row r="4688" spans="1:4" x14ac:dyDescent="0.35">
      <c r="A4688" s="1">
        <v>1983</v>
      </c>
      <c r="B4688" t="s">
        <v>112</v>
      </c>
      <c r="C4688" t="s">
        <v>113</v>
      </c>
      <c r="D4688">
        <v>546137</v>
      </c>
    </row>
    <row r="4689" spans="1:4" x14ac:dyDescent="0.35">
      <c r="A4689" s="1">
        <v>1983</v>
      </c>
      <c r="B4689" t="s">
        <v>186</v>
      </c>
      <c r="C4689" t="s">
        <v>187</v>
      </c>
      <c r="D4689">
        <v>340535</v>
      </c>
    </row>
    <row r="4690" spans="1:4" x14ac:dyDescent="0.35">
      <c r="A4690" s="1">
        <v>1983</v>
      </c>
      <c r="B4690" t="s">
        <v>188</v>
      </c>
      <c r="C4690" t="s">
        <v>189</v>
      </c>
      <c r="D4690">
        <v>191394</v>
      </c>
    </row>
    <row r="4691" spans="1:4" x14ac:dyDescent="0.35">
      <c r="A4691" s="1">
        <v>1983</v>
      </c>
      <c r="B4691" t="s">
        <v>208</v>
      </c>
      <c r="C4691" t="s">
        <v>209</v>
      </c>
      <c r="D4691">
        <v>719193</v>
      </c>
    </row>
    <row r="4692" spans="1:4" x14ac:dyDescent="0.35">
      <c r="A4692" s="1">
        <v>1983</v>
      </c>
      <c r="B4692" t="s">
        <v>210</v>
      </c>
      <c r="C4692" t="s">
        <v>211</v>
      </c>
      <c r="D4692">
        <v>429840</v>
      </c>
    </row>
    <row r="4693" spans="1:4" x14ac:dyDescent="0.35">
      <c r="A4693" s="1">
        <v>1983</v>
      </c>
      <c r="B4693" t="s">
        <v>198</v>
      </c>
      <c r="C4693" t="s">
        <v>199</v>
      </c>
      <c r="D4693">
        <v>486990</v>
      </c>
    </row>
    <row r="4694" spans="1:4" x14ac:dyDescent="0.35">
      <c r="A4694" s="1">
        <v>1983</v>
      </c>
      <c r="B4694" t="s">
        <v>160</v>
      </c>
      <c r="C4694" t="s">
        <v>161</v>
      </c>
      <c r="D4694">
        <v>372682</v>
      </c>
    </row>
    <row r="4695" spans="1:4" x14ac:dyDescent="0.35">
      <c r="A4695" s="1">
        <v>1983</v>
      </c>
      <c r="B4695" t="s">
        <v>162</v>
      </c>
      <c r="C4695" t="s">
        <v>163</v>
      </c>
      <c r="D4695">
        <v>357006</v>
      </c>
    </row>
    <row r="4696" spans="1:4" x14ac:dyDescent="0.35">
      <c r="A4696" s="1">
        <v>1983</v>
      </c>
      <c r="B4696" t="s">
        <v>102</v>
      </c>
      <c r="C4696" t="s">
        <v>103</v>
      </c>
      <c r="D4696">
        <v>394913</v>
      </c>
    </row>
    <row r="4697" spans="1:4" x14ac:dyDescent="0.35">
      <c r="A4697" s="1">
        <v>1983</v>
      </c>
      <c r="B4697" t="s">
        <v>44</v>
      </c>
      <c r="C4697" t="s">
        <v>45</v>
      </c>
      <c r="D4697">
        <v>312675</v>
      </c>
    </row>
    <row r="4698" spans="1:4" x14ac:dyDescent="0.35">
      <c r="A4698" s="1">
        <v>1983</v>
      </c>
      <c r="B4698" t="s">
        <v>46</v>
      </c>
      <c r="C4698" t="s">
        <v>221</v>
      </c>
      <c r="D4698">
        <v>132533</v>
      </c>
    </row>
    <row r="4699" spans="1:4" x14ac:dyDescent="0.35">
      <c r="A4699" s="1">
        <v>1983</v>
      </c>
      <c r="B4699" t="s">
        <v>120</v>
      </c>
      <c r="C4699" t="s">
        <v>121</v>
      </c>
      <c r="D4699">
        <v>995371</v>
      </c>
    </row>
    <row r="4700" spans="1:4" x14ac:dyDescent="0.35">
      <c r="A4700" s="1">
        <v>1983</v>
      </c>
      <c r="B4700" t="s">
        <v>122</v>
      </c>
      <c r="C4700" t="s">
        <v>222</v>
      </c>
      <c r="D4700">
        <v>1385841</v>
      </c>
    </row>
    <row r="4701" spans="1:4" x14ac:dyDescent="0.35">
      <c r="A4701" s="1">
        <v>1983</v>
      </c>
      <c r="B4701" t="s">
        <v>124</v>
      </c>
      <c r="C4701" t="s">
        <v>125</v>
      </c>
      <c r="D4701">
        <v>1331717</v>
      </c>
    </row>
    <row r="4702" spans="1:4" x14ac:dyDescent="0.35">
      <c r="A4702" s="1">
        <v>1983</v>
      </c>
      <c r="B4702" t="s">
        <v>126</v>
      </c>
      <c r="C4702" t="s">
        <v>127</v>
      </c>
      <c r="D4702">
        <v>1198174</v>
      </c>
    </row>
    <row r="4703" spans="1:4" x14ac:dyDescent="0.35">
      <c r="A4703" s="1">
        <v>1983</v>
      </c>
      <c r="B4703" t="s">
        <v>128</v>
      </c>
      <c r="C4703" t="s">
        <v>129</v>
      </c>
      <c r="D4703">
        <v>931789</v>
      </c>
    </row>
    <row r="4704" spans="1:4" x14ac:dyDescent="0.35">
      <c r="A4704" s="1">
        <v>1983</v>
      </c>
      <c r="B4704" t="s">
        <v>257</v>
      </c>
      <c r="D4704">
        <v>54649984</v>
      </c>
    </row>
    <row r="4705" spans="1:4" x14ac:dyDescent="0.35">
      <c r="A4705" s="1">
        <v>1983</v>
      </c>
    </row>
    <row r="4706" spans="1:4" x14ac:dyDescent="0.35">
      <c r="A4706" s="1">
        <v>1983</v>
      </c>
      <c r="B4706" t="s">
        <v>240</v>
      </c>
    </row>
    <row r="4707" spans="1:4" x14ac:dyDescent="0.35">
      <c r="A4707" s="1">
        <v>1983</v>
      </c>
      <c r="B4707" t="s">
        <v>278</v>
      </c>
    </row>
    <row r="4708" spans="1:4" x14ac:dyDescent="0.35">
      <c r="A4708" s="1">
        <v>1982</v>
      </c>
      <c r="B4708" t="s">
        <v>251</v>
      </c>
    </row>
    <row r="4709" spans="1:4" x14ac:dyDescent="0.35">
      <c r="A4709" s="1">
        <v>1982</v>
      </c>
      <c r="B4709" t="s">
        <v>285</v>
      </c>
    </row>
    <row r="4710" spans="1:4" x14ac:dyDescent="0.35">
      <c r="A4710" s="1">
        <v>1982</v>
      </c>
    </row>
    <row r="4711" spans="1:4" x14ac:dyDescent="0.35">
      <c r="A4711" s="1">
        <v>1982</v>
      </c>
      <c r="B4711" t="s">
        <v>231</v>
      </c>
    </row>
    <row r="4712" spans="1:4" x14ac:dyDescent="0.35">
      <c r="A4712" s="1">
        <v>1982</v>
      </c>
      <c r="D4712" t="s">
        <v>232</v>
      </c>
    </row>
    <row r="4713" spans="1:4" x14ac:dyDescent="0.35">
      <c r="A4713" s="1">
        <v>1982</v>
      </c>
      <c r="B4713" t="s">
        <v>5</v>
      </c>
      <c r="C4713" t="s">
        <v>6</v>
      </c>
      <c r="D4713">
        <v>417323</v>
      </c>
    </row>
    <row r="4714" spans="1:4" x14ac:dyDescent="0.35">
      <c r="A4714" s="1">
        <v>1982</v>
      </c>
      <c r="B4714" t="s">
        <v>104</v>
      </c>
      <c r="C4714" t="s">
        <v>105</v>
      </c>
      <c r="D4714">
        <v>534485</v>
      </c>
    </row>
    <row r="4715" spans="1:4" x14ac:dyDescent="0.35">
      <c r="A4715" s="1">
        <v>1982</v>
      </c>
      <c r="B4715" t="s">
        <v>10</v>
      </c>
      <c r="C4715" t="s">
        <v>11</v>
      </c>
      <c r="D4715">
        <v>370089</v>
      </c>
    </row>
    <row r="4716" spans="1:4" x14ac:dyDescent="0.35">
      <c r="A4716" s="1">
        <v>1982</v>
      </c>
      <c r="B4716" t="s">
        <v>200</v>
      </c>
      <c r="C4716" t="s">
        <v>201</v>
      </c>
      <c r="D4716">
        <v>118935</v>
      </c>
    </row>
    <row r="4717" spans="1:4" x14ac:dyDescent="0.35">
      <c r="A4717" s="1">
        <v>1982</v>
      </c>
      <c r="B4717" t="s">
        <v>202</v>
      </c>
      <c r="C4717" t="s">
        <v>203</v>
      </c>
      <c r="D4717">
        <v>105136</v>
      </c>
    </row>
    <row r="4718" spans="1:4" x14ac:dyDescent="0.35">
      <c r="A4718" s="1">
        <v>1982</v>
      </c>
      <c r="B4718" t="s">
        <v>204</v>
      </c>
      <c r="C4718" t="s">
        <v>205</v>
      </c>
      <c r="D4718">
        <v>880814</v>
      </c>
    </row>
    <row r="4719" spans="1:4" x14ac:dyDescent="0.35">
      <c r="A4719" s="1">
        <v>1982</v>
      </c>
      <c r="B4719" t="s">
        <v>12</v>
      </c>
      <c r="C4719" t="s">
        <v>13</v>
      </c>
      <c r="D4719">
        <v>267969</v>
      </c>
    </row>
    <row r="4720" spans="1:4" x14ac:dyDescent="0.35">
      <c r="A4720" s="1">
        <v>1982</v>
      </c>
      <c r="B4720" t="s">
        <v>84</v>
      </c>
      <c r="C4720" t="s">
        <v>85</v>
      </c>
      <c r="D4720">
        <v>302786</v>
      </c>
    </row>
    <row r="4721" spans="1:4" x14ac:dyDescent="0.35">
      <c r="A4721" s="1">
        <v>1982</v>
      </c>
      <c r="B4721" t="s">
        <v>164</v>
      </c>
      <c r="C4721" t="s">
        <v>165</v>
      </c>
      <c r="D4721">
        <v>135734</v>
      </c>
    </row>
    <row r="4722" spans="1:4" x14ac:dyDescent="0.35">
      <c r="A4722" s="1">
        <v>1982</v>
      </c>
      <c r="B4722" t="s">
        <v>86</v>
      </c>
      <c r="C4722" t="s">
        <v>87</v>
      </c>
      <c r="D4722">
        <v>289479</v>
      </c>
    </row>
    <row r="4723" spans="1:4" x14ac:dyDescent="0.35">
      <c r="A4723" s="1">
        <v>1982</v>
      </c>
      <c r="B4723" t="s">
        <v>166</v>
      </c>
      <c r="C4723" t="s">
        <v>167</v>
      </c>
      <c r="D4723">
        <v>280591</v>
      </c>
    </row>
    <row r="4724" spans="1:4" x14ac:dyDescent="0.35">
      <c r="A4724" s="1">
        <v>1982</v>
      </c>
      <c r="B4724" t="s">
        <v>168</v>
      </c>
      <c r="C4724" t="s">
        <v>169</v>
      </c>
      <c r="D4724">
        <v>278866</v>
      </c>
    </row>
    <row r="4725" spans="1:4" x14ac:dyDescent="0.35">
      <c r="A4725" s="1">
        <v>1982</v>
      </c>
      <c r="B4725" t="s">
        <v>206</v>
      </c>
      <c r="C4725" t="s">
        <v>207</v>
      </c>
      <c r="D4725">
        <v>1724697</v>
      </c>
    </row>
    <row r="4726" spans="1:4" x14ac:dyDescent="0.35">
      <c r="A4726" s="1">
        <v>1982</v>
      </c>
      <c r="B4726" t="s">
        <v>130</v>
      </c>
      <c r="C4726" t="s">
        <v>131</v>
      </c>
      <c r="D4726">
        <v>589262</v>
      </c>
    </row>
    <row r="4727" spans="1:4" x14ac:dyDescent="0.35">
      <c r="A4727" s="1">
        <v>1982</v>
      </c>
      <c r="B4727" t="s">
        <v>14</v>
      </c>
      <c r="C4727" t="s">
        <v>15</v>
      </c>
      <c r="D4727">
        <v>163169</v>
      </c>
    </row>
    <row r="4728" spans="1:4" x14ac:dyDescent="0.35">
      <c r="A4728" s="1">
        <v>1982</v>
      </c>
      <c r="B4728" t="s">
        <v>140</v>
      </c>
      <c r="C4728" t="s">
        <v>141</v>
      </c>
      <c r="D4728">
        <v>341019</v>
      </c>
    </row>
    <row r="4729" spans="1:4" x14ac:dyDescent="0.35">
      <c r="A4729" s="1">
        <v>1982</v>
      </c>
      <c r="B4729" t="s">
        <v>142</v>
      </c>
      <c r="C4729" t="s">
        <v>143</v>
      </c>
      <c r="D4729">
        <v>513306</v>
      </c>
    </row>
    <row r="4730" spans="1:4" x14ac:dyDescent="0.35">
      <c r="A4730" s="1">
        <v>1982</v>
      </c>
      <c r="B4730" t="s">
        <v>56</v>
      </c>
      <c r="C4730" t="s">
        <v>57</v>
      </c>
      <c r="D4730">
        <v>319978</v>
      </c>
    </row>
    <row r="4731" spans="1:4" x14ac:dyDescent="0.35">
      <c r="A4731" s="1">
        <v>1982</v>
      </c>
      <c r="B4731" t="s">
        <v>144</v>
      </c>
      <c r="C4731" t="s">
        <v>145</v>
      </c>
      <c r="D4731">
        <v>241821</v>
      </c>
    </row>
    <row r="4732" spans="1:4" x14ac:dyDescent="0.35">
      <c r="A4732" s="1">
        <v>1982</v>
      </c>
      <c r="B4732" t="s">
        <v>68</v>
      </c>
      <c r="C4732" t="s">
        <v>69</v>
      </c>
      <c r="D4732">
        <v>108603</v>
      </c>
    </row>
    <row r="4733" spans="1:4" x14ac:dyDescent="0.35">
      <c r="A4733" s="1">
        <v>1982</v>
      </c>
      <c r="B4733" t="s">
        <v>70</v>
      </c>
      <c r="C4733" t="s">
        <v>71</v>
      </c>
      <c r="D4733">
        <v>131572</v>
      </c>
    </row>
    <row r="4734" spans="1:4" x14ac:dyDescent="0.35">
      <c r="A4734" s="1">
        <v>1982</v>
      </c>
      <c r="B4734" t="s">
        <v>32</v>
      </c>
      <c r="C4734" t="s">
        <v>219</v>
      </c>
      <c r="D4734">
        <v>473614</v>
      </c>
    </row>
    <row r="4735" spans="1:4" x14ac:dyDescent="0.35">
      <c r="A4735" s="1">
        <v>1982</v>
      </c>
      <c r="B4735" t="s">
        <v>48</v>
      </c>
      <c r="C4735" t="s">
        <v>220</v>
      </c>
      <c r="D4735">
        <v>538947</v>
      </c>
    </row>
    <row r="4736" spans="1:4" x14ac:dyDescent="0.35">
      <c r="A4736" s="1">
        <v>1982</v>
      </c>
      <c r="B4736" t="s">
        <v>146</v>
      </c>
      <c r="C4736" t="s">
        <v>147</v>
      </c>
      <c r="D4736">
        <v>140016</v>
      </c>
    </row>
    <row r="4737" spans="1:4" x14ac:dyDescent="0.35">
      <c r="A4737" s="1">
        <v>1982</v>
      </c>
      <c r="B4737" t="s">
        <v>148</v>
      </c>
      <c r="C4737" t="s">
        <v>149</v>
      </c>
      <c r="D4737">
        <v>377522</v>
      </c>
    </row>
    <row r="4738" spans="1:4" x14ac:dyDescent="0.35">
      <c r="A4738" s="1">
        <v>1982</v>
      </c>
      <c r="B4738" t="s">
        <v>34</v>
      </c>
      <c r="C4738" t="s">
        <v>35</v>
      </c>
      <c r="D4738">
        <v>477255</v>
      </c>
    </row>
    <row r="4739" spans="1:4" x14ac:dyDescent="0.35">
      <c r="A4739" s="1">
        <v>1982</v>
      </c>
      <c r="B4739" t="s">
        <v>16</v>
      </c>
      <c r="C4739" t="s">
        <v>17</v>
      </c>
      <c r="D4739">
        <v>389188</v>
      </c>
    </row>
    <row r="4740" spans="1:4" x14ac:dyDescent="0.35">
      <c r="A4740" s="1">
        <v>1982</v>
      </c>
      <c r="B4740" t="s">
        <v>132</v>
      </c>
      <c r="C4740" t="s">
        <v>133</v>
      </c>
      <c r="D4740">
        <v>461781</v>
      </c>
    </row>
    <row r="4741" spans="1:4" x14ac:dyDescent="0.35">
      <c r="A4741" s="1">
        <v>1982</v>
      </c>
      <c r="B4741" t="s">
        <v>58</v>
      </c>
      <c r="C4741" t="s">
        <v>59</v>
      </c>
      <c r="D4741">
        <v>362551</v>
      </c>
    </row>
    <row r="4742" spans="1:4" x14ac:dyDescent="0.35">
      <c r="A4742" s="1">
        <v>1982</v>
      </c>
      <c r="B4742" t="s">
        <v>50</v>
      </c>
      <c r="C4742" t="s">
        <v>51</v>
      </c>
      <c r="D4742">
        <v>828751</v>
      </c>
    </row>
    <row r="4743" spans="1:4" x14ac:dyDescent="0.35">
      <c r="A4743" s="1">
        <v>1982</v>
      </c>
      <c r="B4743" t="s">
        <v>170</v>
      </c>
      <c r="C4743" t="s">
        <v>171</v>
      </c>
      <c r="D4743">
        <v>529561</v>
      </c>
    </row>
    <row r="4744" spans="1:4" x14ac:dyDescent="0.35">
      <c r="A4744" s="1">
        <v>1982</v>
      </c>
      <c r="B4744" t="s">
        <v>172</v>
      </c>
      <c r="C4744" t="s">
        <v>173</v>
      </c>
      <c r="D4744">
        <v>823829</v>
      </c>
    </row>
    <row r="4745" spans="1:4" x14ac:dyDescent="0.35">
      <c r="A4745" s="1">
        <v>1982</v>
      </c>
      <c r="B4745" t="s">
        <v>174</v>
      </c>
      <c r="C4745" t="s">
        <v>175</v>
      </c>
      <c r="D4745">
        <v>174455</v>
      </c>
    </row>
    <row r="4746" spans="1:4" x14ac:dyDescent="0.35">
      <c r="A4746" s="1">
        <v>1982</v>
      </c>
      <c r="B4746" t="s">
        <v>150</v>
      </c>
      <c r="C4746" t="s">
        <v>151</v>
      </c>
      <c r="D4746">
        <v>1127934</v>
      </c>
    </row>
    <row r="4747" spans="1:4" x14ac:dyDescent="0.35">
      <c r="A4747" s="1">
        <v>1982</v>
      </c>
      <c r="B4747" t="s">
        <v>176</v>
      </c>
      <c r="C4747" t="s">
        <v>177</v>
      </c>
      <c r="D4747">
        <v>704605</v>
      </c>
    </row>
    <row r="4748" spans="1:4" x14ac:dyDescent="0.35">
      <c r="A4748" s="1">
        <v>1982</v>
      </c>
      <c r="B4748" t="s">
        <v>52</v>
      </c>
      <c r="C4748" t="s">
        <v>53</v>
      </c>
      <c r="D4748">
        <v>749767</v>
      </c>
    </row>
    <row r="4749" spans="1:4" x14ac:dyDescent="0.35">
      <c r="A4749" s="1">
        <v>1982</v>
      </c>
      <c r="B4749" t="s">
        <v>60</v>
      </c>
      <c r="C4749" t="s">
        <v>61</v>
      </c>
      <c r="D4749">
        <v>243394</v>
      </c>
    </row>
    <row r="4750" spans="1:4" x14ac:dyDescent="0.35">
      <c r="A4750" s="1">
        <v>1982</v>
      </c>
      <c r="B4750" t="s">
        <v>62</v>
      </c>
      <c r="C4750" t="s">
        <v>63</v>
      </c>
      <c r="D4750">
        <v>505728</v>
      </c>
    </row>
    <row r="4751" spans="1:4" x14ac:dyDescent="0.35">
      <c r="A4751" s="1">
        <v>1982</v>
      </c>
      <c r="B4751" t="s">
        <v>18</v>
      </c>
      <c r="C4751" t="s">
        <v>19</v>
      </c>
      <c r="D4751">
        <v>935878</v>
      </c>
    </row>
    <row r="4752" spans="1:4" x14ac:dyDescent="0.35">
      <c r="A4752" s="1">
        <v>1982</v>
      </c>
      <c r="B4752" t="s">
        <v>36</v>
      </c>
      <c r="C4752" t="s">
        <v>37</v>
      </c>
      <c r="D4752">
        <v>243155</v>
      </c>
    </row>
    <row r="4753" spans="1:4" x14ac:dyDescent="0.35">
      <c r="A4753" s="1">
        <v>1982</v>
      </c>
      <c r="B4753" t="s">
        <v>152</v>
      </c>
      <c r="C4753" t="s">
        <v>153</v>
      </c>
      <c r="D4753">
        <v>297331</v>
      </c>
    </row>
    <row r="4754" spans="1:4" x14ac:dyDescent="0.35">
      <c r="A4754" s="1">
        <v>1982</v>
      </c>
      <c r="B4754" t="s">
        <v>64</v>
      </c>
      <c r="C4754" t="s">
        <v>65</v>
      </c>
      <c r="D4754">
        <v>296247</v>
      </c>
    </row>
    <row r="4755" spans="1:4" x14ac:dyDescent="0.35">
      <c r="A4755" s="1">
        <v>1982</v>
      </c>
      <c r="B4755" t="s">
        <v>20</v>
      </c>
      <c r="C4755" t="s">
        <v>21</v>
      </c>
      <c r="D4755">
        <v>740193</v>
      </c>
    </row>
    <row r="4756" spans="1:4" x14ac:dyDescent="0.35">
      <c r="A4756" s="1">
        <v>1982</v>
      </c>
      <c r="B4756" t="s">
        <v>22</v>
      </c>
      <c r="C4756" t="s">
        <v>23</v>
      </c>
      <c r="D4756">
        <v>206365</v>
      </c>
    </row>
    <row r="4757" spans="1:4" x14ac:dyDescent="0.35">
      <c r="A4757" s="1">
        <v>1982</v>
      </c>
      <c r="B4757" t="s">
        <v>190</v>
      </c>
      <c r="C4757" t="s">
        <v>191</v>
      </c>
      <c r="D4757">
        <v>994268</v>
      </c>
    </row>
    <row r="4758" spans="1:4" x14ac:dyDescent="0.35">
      <c r="A4758" s="1">
        <v>1982</v>
      </c>
      <c r="B4758" t="s">
        <v>66</v>
      </c>
      <c r="C4758" t="s">
        <v>67</v>
      </c>
      <c r="D4758">
        <v>535226</v>
      </c>
    </row>
    <row r="4759" spans="1:4" x14ac:dyDescent="0.35">
      <c r="A4759" s="1">
        <v>1982</v>
      </c>
      <c r="B4759" t="s">
        <v>178</v>
      </c>
      <c r="C4759" t="s">
        <v>179</v>
      </c>
      <c r="D4759">
        <v>154547</v>
      </c>
    </row>
    <row r="4760" spans="1:4" x14ac:dyDescent="0.35">
      <c r="A4760" s="1">
        <v>1982</v>
      </c>
      <c r="B4760" t="s">
        <v>154</v>
      </c>
      <c r="C4760" t="s">
        <v>155</v>
      </c>
      <c r="D4760">
        <v>298306</v>
      </c>
    </row>
    <row r="4761" spans="1:4" x14ac:dyDescent="0.35">
      <c r="A4761" s="1">
        <v>1982</v>
      </c>
      <c r="B4761" t="s">
        <v>180</v>
      </c>
      <c r="C4761" t="s">
        <v>181</v>
      </c>
      <c r="D4761">
        <v>74440</v>
      </c>
    </row>
    <row r="4762" spans="1:4" x14ac:dyDescent="0.35">
      <c r="A4762" s="1">
        <v>1982</v>
      </c>
      <c r="B4762" t="s">
        <v>192</v>
      </c>
      <c r="C4762" t="s">
        <v>193</v>
      </c>
      <c r="D4762">
        <v>674424</v>
      </c>
    </row>
    <row r="4763" spans="1:4" x14ac:dyDescent="0.35">
      <c r="A4763" s="1">
        <v>1982</v>
      </c>
      <c r="B4763" t="s">
        <v>134</v>
      </c>
      <c r="C4763" t="s">
        <v>135</v>
      </c>
      <c r="D4763">
        <v>465897</v>
      </c>
    </row>
    <row r="4764" spans="1:4" x14ac:dyDescent="0.35">
      <c r="A4764" s="1">
        <v>1982</v>
      </c>
      <c r="B4764" t="s">
        <v>88</v>
      </c>
      <c r="C4764" t="s">
        <v>89</v>
      </c>
      <c r="D4764">
        <v>543437</v>
      </c>
    </row>
    <row r="4765" spans="1:4" x14ac:dyDescent="0.35">
      <c r="A4765" s="1">
        <v>1982</v>
      </c>
      <c r="B4765" t="s">
        <v>90</v>
      </c>
      <c r="C4765" t="s">
        <v>91</v>
      </c>
      <c r="D4765">
        <v>210786</v>
      </c>
    </row>
    <row r="4766" spans="1:4" x14ac:dyDescent="0.35">
      <c r="A4766" s="1">
        <v>1982</v>
      </c>
      <c r="B4766" t="s">
        <v>194</v>
      </c>
      <c r="C4766" t="s">
        <v>195</v>
      </c>
      <c r="D4766">
        <v>271728</v>
      </c>
    </row>
    <row r="4767" spans="1:4" x14ac:dyDescent="0.35">
      <c r="A4767" s="1">
        <v>1982</v>
      </c>
      <c r="B4767" t="s">
        <v>92</v>
      </c>
      <c r="C4767" t="s">
        <v>93</v>
      </c>
      <c r="D4767">
        <v>717456</v>
      </c>
    </row>
    <row r="4768" spans="1:4" x14ac:dyDescent="0.35">
      <c r="A4768" s="1">
        <v>1982</v>
      </c>
      <c r="B4768" t="s">
        <v>94</v>
      </c>
      <c r="C4768" t="s">
        <v>95</v>
      </c>
      <c r="D4768">
        <v>200479</v>
      </c>
    </row>
    <row r="4769" spans="1:4" x14ac:dyDescent="0.35">
      <c r="A4769" s="1">
        <v>1982</v>
      </c>
      <c r="B4769" t="s">
        <v>54</v>
      </c>
      <c r="C4769" t="s">
        <v>55</v>
      </c>
      <c r="D4769">
        <v>590987</v>
      </c>
    </row>
    <row r="4770" spans="1:4" x14ac:dyDescent="0.35">
      <c r="A4770" s="1">
        <v>1982</v>
      </c>
      <c r="B4770" t="s">
        <v>96</v>
      </c>
      <c r="C4770" t="s">
        <v>97</v>
      </c>
      <c r="D4770">
        <v>1007743</v>
      </c>
    </row>
    <row r="4771" spans="1:4" x14ac:dyDescent="0.35">
      <c r="A4771" s="1">
        <v>1982</v>
      </c>
      <c r="B4771" t="s">
        <v>38</v>
      </c>
      <c r="C4771" t="s">
        <v>39</v>
      </c>
      <c r="D4771">
        <v>240022</v>
      </c>
    </row>
    <row r="4772" spans="1:4" x14ac:dyDescent="0.35">
      <c r="A4772" s="1">
        <v>1982</v>
      </c>
      <c r="B4772" t="s">
        <v>106</v>
      </c>
      <c r="C4772" t="s">
        <v>107</v>
      </c>
      <c r="D4772">
        <v>2520997</v>
      </c>
    </row>
    <row r="4773" spans="1:4" x14ac:dyDescent="0.35">
      <c r="A4773" s="1">
        <v>1982</v>
      </c>
      <c r="B4773" t="s">
        <v>108</v>
      </c>
      <c r="C4773" t="s">
        <v>109</v>
      </c>
      <c r="D4773">
        <v>660878</v>
      </c>
    </row>
    <row r="4774" spans="1:4" x14ac:dyDescent="0.35">
      <c r="A4774" s="1">
        <v>1982</v>
      </c>
      <c r="B4774" t="s">
        <v>136</v>
      </c>
      <c r="C4774" t="s">
        <v>137</v>
      </c>
      <c r="D4774">
        <v>295564</v>
      </c>
    </row>
    <row r="4775" spans="1:4" x14ac:dyDescent="0.35">
      <c r="A4775" s="1">
        <v>1982</v>
      </c>
      <c r="B4775" t="s">
        <v>110</v>
      </c>
      <c r="C4775" t="s">
        <v>111</v>
      </c>
      <c r="D4775">
        <v>1412454</v>
      </c>
    </row>
    <row r="4776" spans="1:4" x14ac:dyDescent="0.35">
      <c r="A4776" s="1">
        <v>1982</v>
      </c>
      <c r="B4776" t="s">
        <v>24</v>
      </c>
      <c r="C4776" t="s">
        <v>25</v>
      </c>
      <c r="D4776">
        <v>594863</v>
      </c>
    </row>
    <row r="4777" spans="1:4" x14ac:dyDescent="0.35">
      <c r="A4777" s="1">
        <v>1982</v>
      </c>
      <c r="B4777" t="s">
        <v>156</v>
      </c>
      <c r="C4777" t="s">
        <v>157</v>
      </c>
      <c r="D4777">
        <v>555363</v>
      </c>
    </row>
    <row r="4778" spans="1:4" x14ac:dyDescent="0.35">
      <c r="A4778" s="1">
        <v>1982</v>
      </c>
      <c r="B4778" t="s">
        <v>182</v>
      </c>
      <c r="C4778" t="s">
        <v>183</v>
      </c>
      <c r="D4778">
        <v>227857</v>
      </c>
    </row>
    <row r="4779" spans="1:4" x14ac:dyDescent="0.35">
      <c r="A4779" s="1">
        <v>1982</v>
      </c>
      <c r="B4779" t="s">
        <v>184</v>
      </c>
      <c r="C4779" t="s">
        <v>185</v>
      </c>
      <c r="D4779">
        <v>334176</v>
      </c>
    </row>
    <row r="4780" spans="1:4" x14ac:dyDescent="0.35">
      <c r="A4780" s="1">
        <v>1982</v>
      </c>
      <c r="B4780" t="s">
        <v>98</v>
      </c>
      <c r="C4780" t="s">
        <v>99</v>
      </c>
      <c r="D4780">
        <v>915559</v>
      </c>
    </row>
    <row r="4781" spans="1:4" x14ac:dyDescent="0.35">
      <c r="A4781" s="1">
        <v>1982</v>
      </c>
      <c r="B4781" t="s">
        <v>100</v>
      </c>
      <c r="C4781" t="s">
        <v>101</v>
      </c>
      <c r="D4781">
        <v>650476</v>
      </c>
    </row>
    <row r="4782" spans="1:4" x14ac:dyDescent="0.35">
      <c r="A4782" s="1">
        <v>1982</v>
      </c>
      <c r="B4782" t="s">
        <v>26</v>
      </c>
      <c r="C4782" t="s">
        <v>27</v>
      </c>
      <c r="D4782">
        <v>1446563</v>
      </c>
    </row>
    <row r="4783" spans="1:4" x14ac:dyDescent="0.35">
      <c r="A4783" s="1">
        <v>1982</v>
      </c>
      <c r="B4783" t="s">
        <v>40</v>
      </c>
      <c r="C4783" t="s">
        <v>41</v>
      </c>
      <c r="D4783">
        <v>232067</v>
      </c>
    </row>
    <row r="4784" spans="1:4" x14ac:dyDescent="0.35">
      <c r="A4784" s="1">
        <v>1982</v>
      </c>
      <c r="B4784" t="s">
        <v>42</v>
      </c>
      <c r="C4784" t="s">
        <v>43</v>
      </c>
      <c r="D4784">
        <v>572425</v>
      </c>
    </row>
    <row r="4785" spans="1:4" x14ac:dyDescent="0.35">
      <c r="A4785" s="1">
        <v>1982</v>
      </c>
      <c r="B4785" t="s">
        <v>196</v>
      </c>
      <c r="C4785" t="s">
        <v>197</v>
      </c>
      <c r="D4785">
        <v>505000</v>
      </c>
    </row>
    <row r="4786" spans="1:4" x14ac:dyDescent="0.35">
      <c r="A4786" s="1">
        <v>1982</v>
      </c>
      <c r="B4786" t="s">
        <v>28</v>
      </c>
      <c r="C4786" t="s">
        <v>29</v>
      </c>
      <c r="D4786">
        <v>323454</v>
      </c>
    </row>
    <row r="4787" spans="1:4" x14ac:dyDescent="0.35">
      <c r="A4787" s="1">
        <v>1982</v>
      </c>
      <c r="B4787" t="s">
        <v>30</v>
      </c>
      <c r="C4787" t="s">
        <v>31</v>
      </c>
      <c r="D4787">
        <v>493389</v>
      </c>
    </row>
    <row r="4788" spans="1:4" x14ac:dyDescent="0.35">
      <c r="A4788" s="1">
        <v>1982</v>
      </c>
      <c r="B4788" t="s">
        <v>114</v>
      </c>
      <c r="C4788" t="s">
        <v>115</v>
      </c>
      <c r="D4788">
        <v>2180321</v>
      </c>
    </row>
    <row r="4789" spans="1:4" x14ac:dyDescent="0.35">
      <c r="A4789" s="1">
        <v>1982</v>
      </c>
      <c r="B4789" t="s">
        <v>138</v>
      </c>
      <c r="C4789" t="s">
        <v>139</v>
      </c>
      <c r="D4789">
        <v>1194367</v>
      </c>
    </row>
    <row r="4790" spans="1:4" x14ac:dyDescent="0.35">
      <c r="A4790" s="1">
        <v>1982</v>
      </c>
      <c r="B4790" t="s">
        <v>116</v>
      </c>
      <c r="C4790" t="s">
        <v>117</v>
      </c>
      <c r="D4790">
        <v>885081</v>
      </c>
    </row>
    <row r="4791" spans="1:4" x14ac:dyDescent="0.35">
      <c r="A4791" s="1">
        <v>1982</v>
      </c>
      <c r="B4791" t="s">
        <v>118</v>
      </c>
      <c r="C4791" t="s">
        <v>119</v>
      </c>
      <c r="D4791">
        <v>1194604</v>
      </c>
    </row>
    <row r="4792" spans="1:4" x14ac:dyDescent="0.35">
      <c r="A4792" s="1">
        <v>1982</v>
      </c>
      <c r="B4792" t="s">
        <v>158</v>
      </c>
      <c r="C4792" t="s">
        <v>159</v>
      </c>
      <c r="D4792">
        <v>342977</v>
      </c>
    </row>
    <row r="4793" spans="1:4" x14ac:dyDescent="0.35">
      <c r="A4793" s="1">
        <v>1982</v>
      </c>
      <c r="B4793" t="s">
        <v>112</v>
      </c>
      <c r="C4793" t="s">
        <v>113</v>
      </c>
      <c r="D4793">
        <v>544777</v>
      </c>
    </row>
    <row r="4794" spans="1:4" x14ac:dyDescent="0.35">
      <c r="A4794" s="1">
        <v>1982</v>
      </c>
      <c r="B4794" t="s">
        <v>186</v>
      </c>
      <c r="C4794" t="s">
        <v>187</v>
      </c>
      <c r="D4794">
        <v>339477</v>
      </c>
    </row>
    <row r="4795" spans="1:4" x14ac:dyDescent="0.35">
      <c r="A4795" s="1">
        <v>1982</v>
      </c>
      <c r="B4795" t="s">
        <v>188</v>
      </c>
      <c r="C4795" t="s">
        <v>189</v>
      </c>
      <c r="D4795">
        <v>190551</v>
      </c>
    </row>
    <row r="4796" spans="1:4" x14ac:dyDescent="0.35">
      <c r="A4796" s="1">
        <v>1982</v>
      </c>
      <c r="B4796" t="s">
        <v>208</v>
      </c>
      <c r="C4796" t="s">
        <v>209</v>
      </c>
      <c r="D4796">
        <v>707522</v>
      </c>
    </row>
    <row r="4797" spans="1:4" x14ac:dyDescent="0.35">
      <c r="A4797" s="1">
        <v>1982</v>
      </c>
      <c r="B4797" t="s">
        <v>210</v>
      </c>
      <c r="C4797" t="s">
        <v>211</v>
      </c>
      <c r="D4797">
        <v>426884</v>
      </c>
    </row>
    <row r="4798" spans="1:4" x14ac:dyDescent="0.35">
      <c r="A4798" s="1">
        <v>1982</v>
      </c>
      <c r="B4798" t="s">
        <v>198</v>
      </c>
      <c r="C4798" t="s">
        <v>199</v>
      </c>
      <c r="D4798">
        <v>482520</v>
      </c>
    </row>
    <row r="4799" spans="1:4" x14ac:dyDescent="0.35">
      <c r="A4799" s="1">
        <v>1982</v>
      </c>
      <c r="B4799" t="s">
        <v>160</v>
      </c>
      <c r="C4799" t="s">
        <v>161</v>
      </c>
      <c r="D4799">
        <v>371412</v>
      </c>
    </row>
    <row r="4800" spans="1:4" x14ac:dyDescent="0.35">
      <c r="A4800" s="1">
        <v>1982</v>
      </c>
      <c r="B4800" t="s">
        <v>162</v>
      </c>
      <c r="C4800" t="s">
        <v>163</v>
      </c>
      <c r="D4800">
        <v>355688</v>
      </c>
    </row>
    <row r="4801" spans="1:4" x14ac:dyDescent="0.35">
      <c r="A4801" s="1">
        <v>1982</v>
      </c>
      <c r="B4801" t="s">
        <v>102</v>
      </c>
      <c r="C4801" t="s">
        <v>103</v>
      </c>
      <c r="D4801">
        <v>396533</v>
      </c>
    </row>
    <row r="4802" spans="1:4" x14ac:dyDescent="0.35">
      <c r="A4802" s="1">
        <v>1982</v>
      </c>
      <c r="B4802" t="s">
        <v>44</v>
      </c>
      <c r="C4802" t="s">
        <v>45</v>
      </c>
      <c r="D4802">
        <v>311002</v>
      </c>
    </row>
    <row r="4803" spans="1:4" x14ac:dyDescent="0.35">
      <c r="A4803" s="1">
        <v>1982</v>
      </c>
      <c r="B4803" t="s">
        <v>46</v>
      </c>
      <c r="C4803" t="s">
        <v>221</v>
      </c>
      <c r="D4803">
        <v>132142</v>
      </c>
    </row>
    <row r="4804" spans="1:4" x14ac:dyDescent="0.35">
      <c r="A4804" s="1">
        <v>1982</v>
      </c>
      <c r="B4804" t="s">
        <v>120</v>
      </c>
      <c r="C4804" t="s">
        <v>121</v>
      </c>
      <c r="D4804">
        <v>987371</v>
      </c>
    </row>
    <row r="4805" spans="1:4" x14ac:dyDescent="0.35">
      <c r="A4805" s="1">
        <v>1982</v>
      </c>
      <c r="B4805" t="s">
        <v>122</v>
      </c>
      <c r="C4805" t="s">
        <v>222</v>
      </c>
      <c r="D4805">
        <v>1389403</v>
      </c>
    </row>
    <row r="4806" spans="1:4" x14ac:dyDescent="0.35">
      <c r="A4806" s="1">
        <v>1982</v>
      </c>
      <c r="B4806" t="s">
        <v>124</v>
      </c>
      <c r="C4806" t="s">
        <v>125</v>
      </c>
      <c r="D4806">
        <v>1324843</v>
      </c>
    </row>
    <row r="4807" spans="1:4" x14ac:dyDescent="0.35">
      <c r="A4807" s="1">
        <v>1982</v>
      </c>
      <c r="B4807" t="s">
        <v>126</v>
      </c>
      <c r="C4807" t="s">
        <v>127</v>
      </c>
      <c r="D4807">
        <v>1193389</v>
      </c>
    </row>
    <row r="4808" spans="1:4" x14ac:dyDescent="0.35">
      <c r="A4808" s="1">
        <v>1982</v>
      </c>
      <c r="B4808" t="s">
        <v>128</v>
      </c>
      <c r="C4808" t="s">
        <v>129</v>
      </c>
      <c r="D4808">
        <v>919604</v>
      </c>
    </row>
    <row r="4809" spans="1:4" x14ac:dyDescent="0.35">
      <c r="A4809" s="1">
        <v>1982</v>
      </c>
      <c r="B4809" t="s">
        <v>257</v>
      </c>
      <c r="D4809">
        <v>54335000</v>
      </c>
    </row>
    <row r="4810" spans="1:4" x14ac:dyDescent="0.35">
      <c r="A4810" s="1">
        <v>1982</v>
      </c>
    </row>
    <row r="4811" spans="1:4" x14ac:dyDescent="0.35">
      <c r="A4811" s="1">
        <v>1982</v>
      </c>
      <c r="B4811" t="s">
        <v>240</v>
      </c>
    </row>
    <row r="4812" spans="1:4" x14ac:dyDescent="0.35">
      <c r="A4812" s="1">
        <v>1982</v>
      </c>
      <c r="B4812" t="s">
        <v>278</v>
      </c>
    </row>
    <row r="4813" spans="1:4" x14ac:dyDescent="0.35">
      <c r="A4813" s="1">
        <v>1981</v>
      </c>
      <c r="B4813" t="s">
        <v>251</v>
      </c>
    </row>
    <row r="4814" spans="1:4" x14ac:dyDescent="0.35">
      <c r="A4814" s="1">
        <v>1981</v>
      </c>
      <c r="B4814" t="s">
        <v>286</v>
      </c>
    </row>
    <row r="4815" spans="1:4" x14ac:dyDescent="0.35">
      <c r="A4815" s="1">
        <v>1981</v>
      </c>
    </row>
    <row r="4816" spans="1:4" x14ac:dyDescent="0.35">
      <c r="A4816" s="1">
        <v>1981</v>
      </c>
      <c r="B4816" t="s">
        <v>231</v>
      </c>
    </row>
    <row r="4817" spans="1:4" x14ac:dyDescent="0.35">
      <c r="A4817" s="1">
        <v>1981</v>
      </c>
      <c r="D4817" t="s">
        <v>232</v>
      </c>
    </row>
    <row r="4818" spans="1:4" x14ac:dyDescent="0.35">
      <c r="A4818" s="1">
        <v>1981</v>
      </c>
      <c r="B4818" t="s">
        <v>5</v>
      </c>
      <c r="C4818" t="s">
        <v>6</v>
      </c>
      <c r="D4818">
        <v>410598</v>
      </c>
    </row>
    <row r="4819" spans="1:4" x14ac:dyDescent="0.35">
      <c r="A4819" s="1">
        <v>1981</v>
      </c>
      <c r="B4819" t="s">
        <v>104</v>
      </c>
      <c r="C4819" t="s">
        <v>105</v>
      </c>
      <c r="D4819">
        <v>533972</v>
      </c>
    </row>
    <row r="4820" spans="1:4" x14ac:dyDescent="0.35">
      <c r="A4820" s="1">
        <v>1981</v>
      </c>
      <c r="B4820" t="s">
        <v>10</v>
      </c>
      <c r="C4820" t="s">
        <v>11</v>
      </c>
      <c r="D4820">
        <v>371293</v>
      </c>
    </row>
    <row r="4821" spans="1:4" x14ac:dyDescent="0.35">
      <c r="A4821" s="1">
        <v>1981</v>
      </c>
      <c r="B4821" t="s">
        <v>200</v>
      </c>
      <c r="C4821" t="s">
        <v>201</v>
      </c>
      <c r="D4821">
        <v>117841</v>
      </c>
    </row>
    <row r="4822" spans="1:4" x14ac:dyDescent="0.35">
      <c r="A4822" s="1">
        <v>1981</v>
      </c>
      <c r="B4822" t="s">
        <v>202</v>
      </c>
      <c r="C4822" t="s">
        <v>203</v>
      </c>
      <c r="D4822">
        <v>103939</v>
      </c>
    </row>
    <row r="4823" spans="1:4" x14ac:dyDescent="0.35">
      <c r="A4823" s="1">
        <v>1981</v>
      </c>
      <c r="B4823" t="s">
        <v>204</v>
      </c>
      <c r="C4823" t="s">
        <v>205</v>
      </c>
      <c r="D4823">
        <v>870095</v>
      </c>
    </row>
    <row r="4824" spans="1:4" x14ac:dyDescent="0.35">
      <c r="A4824" s="1">
        <v>1981</v>
      </c>
      <c r="B4824" t="s">
        <v>12</v>
      </c>
      <c r="C4824" t="s">
        <v>13</v>
      </c>
      <c r="D4824">
        <v>266051</v>
      </c>
    </row>
    <row r="4825" spans="1:4" x14ac:dyDescent="0.35">
      <c r="A4825" s="1">
        <v>1981</v>
      </c>
      <c r="B4825" t="s">
        <v>84</v>
      </c>
      <c r="C4825" t="s">
        <v>85</v>
      </c>
      <c r="D4825">
        <v>303475</v>
      </c>
    </row>
    <row r="4826" spans="1:4" x14ac:dyDescent="0.35">
      <c r="A4826" s="1">
        <v>1981</v>
      </c>
      <c r="B4826" t="s">
        <v>164</v>
      </c>
      <c r="C4826" t="s">
        <v>165</v>
      </c>
      <c r="D4826">
        <v>135991</v>
      </c>
    </row>
    <row r="4827" spans="1:4" x14ac:dyDescent="0.35">
      <c r="A4827" s="1">
        <v>1981</v>
      </c>
      <c r="B4827" t="s">
        <v>86</v>
      </c>
      <c r="C4827" t="s">
        <v>87</v>
      </c>
      <c r="D4827">
        <v>288671</v>
      </c>
    </row>
    <row r="4828" spans="1:4" x14ac:dyDescent="0.35">
      <c r="A4828" s="1">
        <v>1981</v>
      </c>
      <c r="B4828" t="s">
        <v>166</v>
      </c>
      <c r="C4828" t="s">
        <v>167</v>
      </c>
      <c r="D4828">
        <v>279191</v>
      </c>
    </row>
    <row r="4829" spans="1:4" x14ac:dyDescent="0.35">
      <c r="A4829" s="1">
        <v>1981</v>
      </c>
      <c r="B4829" t="s">
        <v>168</v>
      </c>
      <c r="C4829" t="s">
        <v>169</v>
      </c>
      <c r="D4829">
        <v>278729</v>
      </c>
    </row>
    <row r="4830" spans="1:4" x14ac:dyDescent="0.35">
      <c r="A4830" s="1">
        <v>1981</v>
      </c>
      <c r="B4830" t="s">
        <v>206</v>
      </c>
      <c r="C4830" t="s">
        <v>207</v>
      </c>
      <c r="D4830">
        <v>1710194</v>
      </c>
    </row>
    <row r="4831" spans="1:4" x14ac:dyDescent="0.35">
      <c r="A4831" s="1">
        <v>1981</v>
      </c>
      <c r="B4831" t="s">
        <v>130</v>
      </c>
      <c r="C4831" t="s">
        <v>131</v>
      </c>
      <c r="D4831">
        <v>584838</v>
      </c>
    </row>
    <row r="4832" spans="1:4" x14ac:dyDescent="0.35">
      <c r="A4832" s="1">
        <v>1981</v>
      </c>
      <c r="B4832" t="s">
        <v>14</v>
      </c>
      <c r="C4832" t="s">
        <v>15</v>
      </c>
      <c r="D4832">
        <v>163606</v>
      </c>
    </row>
    <row r="4833" spans="1:4" x14ac:dyDescent="0.35">
      <c r="A4833" s="1">
        <v>1981</v>
      </c>
      <c r="B4833" t="s">
        <v>140</v>
      </c>
      <c r="C4833" t="s">
        <v>141</v>
      </c>
      <c r="D4833">
        <v>340469</v>
      </c>
    </row>
    <row r="4834" spans="1:4" x14ac:dyDescent="0.35">
      <c r="A4834" s="1">
        <v>1981</v>
      </c>
      <c r="B4834" t="s">
        <v>142</v>
      </c>
      <c r="C4834" t="s">
        <v>143</v>
      </c>
      <c r="D4834">
        <v>510852</v>
      </c>
    </row>
    <row r="4835" spans="1:4" x14ac:dyDescent="0.35">
      <c r="A4835" s="1">
        <v>1981</v>
      </c>
      <c r="B4835" t="s">
        <v>56</v>
      </c>
      <c r="C4835" t="s">
        <v>57</v>
      </c>
      <c r="D4835">
        <v>319239</v>
      </c>
    </row>
    <row r="4836" spans="1:4" x14ac:dyDescent="0.35">
      <c r="A4836" s="1">
        <v>1981</v>
      </c>
      <c r="B4836" t="s">
        <v>144</v>
      </c>
      <c r="C4836" t="s">
        <v>145</v>
      </c>
      <c r="D4836">
        <v>241667</v>
      </c>
    </row>
    <row r="4837" spans="1:4" x14ac:dyDescent="0.35">
      <c r="A4837" s="1">
        <v>1981</v>
      </c>
      <c r="B4837" t="s">
        <v>68</v>
      </c>
      <c r="C4837" t="s">
        <v>69</v>
      </c>
      <c r="D4837">
        <v>107388</v>
      </c>
    </row>
    <row r="4838" spans="1:4" x14ac:dyDescent="0.35">
      <c r="A4838" s="1">
        <v>1981</v>
      </c>
      <c r="B4838" t="s">
        <v>70</v>
      </c>
      <c r="C4838" t="s">
        <v>71</v>
      </c>
      <c r="D4838">
        <v>130487</v>
      </c>
    </row>
    <row r="4839" spans="1:4" x14ac:dyDescent="0.35">
      <c r="A4839" s="1">
        <v>1981</v>
      </c>
      <c r="B4839" t="s">
        <v>32</v>
      </c>
      <c r="C4839" t="s">
        <v>219</v>
      </c>
      <c r="D4839">
        <v>470845</v>
      </c>
    </row>
    <row r="4840" spans="1:4" x14ac:dyDescent="0.35">
      <c r="A4840" s="1">
        <v>1981</v>
      </c>
      <c r="B4840" t="s">
        <v>48</v>
      </c>
      <c r="C4840" t="s">
        <v>220</v>
      </c>
      <c r="D4840">
        <v>536708</v>
      </c>
    </row>
    <row r="4841" spans="1:4" x14ac:dyDescent="0.35">
      <c r="A4841" s="1">
        <v>1981</v>
      </c>
      <c r="B4841" t="s">
        <v>146</v>
      </c>
      <c r="C4841" t="s">
        <v>147</v>
      </c>
      <c r="D4841">
        <v>141027</v>
      </c>
    </row>
    <row r="4842" spans="1:4" x14ac:dyDescent="0.35">
      <c r="A4842" s="1">
        <v>1981</v>
      </c>
      <c r="B4842" t="s">
        <v>148</v>
      </c>
      <c r="C4842" t="s">
        <v>149</v>
      </c>
      <c r="D4842">
        <v>376685</v>
      </c>
    </row>
    <row r="4843" spans="1:4" x14ac:dyDescent="0.35">
      <c r="A4843" s="1">
        <v>1981</v>
      </c>
      <c r="B4843" t="s">
        <v>34</v>
      </c>
      <c r="C4843" t="s">
        <v>35</v>
      </c>
      <c r="D4843">
        <v>476145</v>
      </c>
    </row>
    <row r="4844" spans="1:4" x14ac:dyDescent="0.35">
      <c r="A4844" s="1">
        <v>1981</v>
      </c>
      <c r="B4844" t="s">
        <v>16</v>
      </c>
      <c r="C4844" t="s">
        <v>17</v>
      </c>
      <c r="D4844">
        <v>384657</v>
      </c>
    </row>
    <row r="4845" spans="1:4" x14ac:dyDescent="0.35">
      <c r="A4845" s="1">
        <v>1981</v>
      </c>
      <c r="B4845" t="s">
        <v>132</v>
      </c>
      <c r="C4845" t="s">
        <v>133</v>
      </c>
      <c r="D4845">
        <v>455634</v>
      </c>
    </row>
    <row r="4846" spans="1:4" x14ac:dyDescent="0.35">
      <c r="A4846" s="1">
        <v>1981</v>
      </c>
      <c r="B4846" t="s">
        <v>58</v>
      </c>
      <c r="C4846" t="s">
        <v>59</v>
      </c>
      <c r="D4846">
        <v>358044</v>
      </c>
    </row>
    <row r="4847" spans="1:4" x14ac:dyDescent="0.35">
      <c r="A4847" s="1">
        <v>1981</v>
      </c>
      <c r="B4847" t="s">
        <v>50</v>
      </c>
      <c r="C4847" t="s">
        <v>51</v>
      </c>
      <c r="D4847">
        <v>824571</v>
      </c>
    </row>
    <row r="4848" spans="1:4" x14ac:dyDescent="0.35">
      <c r="A4848" s="1">
        <v>1981</v>
      </c>
      <c r="B4848" t="s">
        <v>170</v>
      </c>
      <c r="C4848" t="s">
        <v>171</v>
      </c>
      <c r="D4848">
        <v>523660</v>
      </c>
    </row>
    <row r="4849" spans="1:4" x14ac:dyDescent="0.35">
      <c r="A4849" s="1">
        <v>1981</v>
      </c>
      <c r="B4849" t="s">
        <v>172</v>
      </c>
      <c r="C4849" t="s">
        <v>173</v>
      </c>
      <c r="D4849">
        <v>816335</v>
      </c>
    </row>
    <row r="4850" spans="1:4" x14ac:dyDescent="0.35">
      <c r="A4850" s="1">
        <v>1981</v>
      </c>
      <c r="B4850" t="s">
        <v>174</v>
      </c>
      <c r="C4850" t="s">
        <v>175</v>
      </c>
      <c r="D4850">
        <v>174594</v>
      </c>
    </row>
    <row r="4851" spans="1:4" x14ac:dyDescent="0.35">
      <c r="A4851" s="1">
        <v>1981</v>
      </c>
      <c r="B4851" t="s">
        <v>150</v>
      </c>
      <c r="C4851" t="s">
        <v>151</v>
      </c>
      <c r="D4851">
        <v>1117228</v>
      </c>
    </row>
    <row r="4852" spans="1:4" x14ac:dyDescent="0.35">
      <c r="A4852" s="1">
        <v>1981</v>
      </c>
      <c r="B4852" t="s">
        <v>176</v>
      </c>
      <c r="C4852" t="s">
        <v>177</v>
      </c>
      <c r="D4852">
        <v>695454</v>
      </c>
    </row>
    <row r="4853" spans="1:4" x14ac:dyDescent="0.35">
      <c r="A4853" s="1">
        <v>1981</v>
      </c>
      <c r="B4853" t="s">
        <v>52</v>
      </c>
      <c r="C4853" t="s">
        <v>53</v>
      </c>
      <c r="D4853">
        <v>742517</v>
      </c>
    </row>
    <row r="4854" spans="1:4" x14ac:dyDescent="0.35">
      <c r="A4854" s="1">
        <v>1981</v>
      </c>
      <c r="B4854" t="s">
        <v>60</v>
      </c>
      <c r="C4854" t="s">
        <v>61</v>
      </c>
      <c r="D4854">
        <v>244160</v>
      </c>
    </row>
    <row r="4855" spans="1:4" x14ac:dyDescent="0.35">
      <c r="A4855" s="1">
        <v>1981</v>
      </c>
      <c r="B4855" t="s">
        <v>62</v>
      </c>
      <c r="C4855" t="s">
        <v>63</v>
      </c>
      <c r="D4855">
        <v>501421</v>
      </c>
    </row>
    <row r="4856" spans="1:4" x14ac:dyDescent="0.35">
      <c r="A4856" s="1">
        <v>1981</v>
      </c>
      <c r="B4856" t="s">
        <v>18</v>
      </c>
      <c r="C4856" t="s">
        <v>19</v>
      </c>
      <c r="D4856">
        <v>923628</v>
      </c>
    </row>
    <row r="4857" spans="1:4" x14ac:dyDescent="0.35">
      <c r="A4857" s="1">
        <v>1981</v>
      </c>
      <c r="B4857" t="s">
        <v>36</v>
      </c>
      <c r="C4857" t="s">
        <v>37</v>
      </c>
      <c r="D4857">
        <v>242522</v>
      </c>
    </row>
    <row r="4858" spans="1:4" x14ac:dyDescent="0.35">
      <c r="A4858" s="1">
        <v>1981</v>
      </c>
      <c r="B4858" t="s">
        <v>152</v>
      </c>
      <c r="C4858" t="s">
        <v>153</v>
      </c>
      <c r="D4858">
        <v>295920</v>
      </c>
    </row>
    <row r="4859" spans="1:4" x14ac:dyDescent="0.35">
      <c r="A4859" s="1">
        <v>1981</v>
      </c>
      <c r="B4859" t="s">
        <v>64</v>
      </c>
      <c r="C4859" t="s">
        <v>65</v>
      </c>
      <c r="D4859">
        <v>294294</v>
      </c>
    </row>
    <row r="4860" spans="1:4" x14ac:dyDescent="0.35">
      <c r="A4860" s="1">
        <v>1981</v>
      </c>
      <c r="B4860" t="s">
        <v>20</v>
      </c>
      <c r="C4860" t="s">
        <v>21</v>
      </c>
      <c r="D4860">
        <v>740372</v>
      </c>
    </row>
    <row r="4861" spans="1:4" x14ac:dyDescent="0.35">
      <c r="A4861" s="1">
        <v>1981</v>
      </c>
      <c r="B4861" t="s">
        <v>22</v>
      </c>
      <c r="C4861" t="s">
        <v>23</v>
      </c>
      <c r="D4861">
        <v>206058</v>
      </c>
    </row>
    <row r="4862" spans="1:4" x14ac:dyDescent="0.35">
      <c r="A4862" s="1">
        <v>1981</v>
      </c>
      <c r="B4862" t="s">
        <v>190</v>
      </c>
      <c r="C4862" t="s">
        <v>191</v>
      </c>
      <c r="D4862">
        <v>985030</v>
      </c>
    </row>
    <row r="4863" spans="1:4" x14ac:dyDescent="0.35">
      <c r="A4863" s="1">
        <v>1981</v>
      </c>
      <c r="B4863" t="s">
        <v>66</v>
      </c>
      <c r="C4863" t="s">
        <v>67</v>
      </c>
      <c r="D4863">
        <v>527721</v>
      </c>
    </row>
    <row r="4864" spans="1:4" x14ac:dyDescent="0.35">
      <c r="A4864" s="1">
        <v>1981</v>
      </c>
      <c r="B4864" t="s">
        <v>178</v>
      </c>
      <c r="C4864" t="s">
        <v>179</v>
      </c>
      <c r="D4864">
        <v>153906</v>
      </c>
    </row>
    <row r="4865" spans="1:4" x14ac:dyDescent="0.35">
      <c r="A4865" s="1">
        <v>1981</v>
      </c>
      <c r="B4865" t="s">
        <v>154</v>
      </c>
      <c r="C4865" t="s">
        <v>155</v>
      </c>
      <c r="D4865">
        <v>297317</v>
      </c>
    </row>
    <row r="4866" spans="1:4" x14ac:dyDescent="0.35">
      <c r="A4866" s="1">
        <v>1981</v>
      </c>
      <c r="B4866" t="s">
        <v>180</v>
      </c>
      <c r="C4866" t="s">
        <v>181</v>
      </c>
      <c r="D4866">
        <v>74467</v>
      </c>
    </row>
    <row r="4867" spans="1:4" x14ac:dyDescent="0.35">
      <c r="A4867" s="1">
        <v>1981</v>
      </c>
      <c r="B4867" t="s">
        <v>192</v>
      </c>
      <c r="C4867" t="s">
        <v>193</v>
      </c>
      <c r="D4867">
        <v>667450</v>
      </c>
    </row>
    <row r="4868" spans="1:4" x14ac:dyDescent="0.35">
      <c r="A4868" s="1">
        <v>1981</v>
      </c>
      <c r="B4868" t="s">
        <v>134</v>
      </c>
      <c r="C4868" t="s">
        <v>135</v>
      </c>
      <c r="D4868">
        <v>463623</v>
      </c>
    </row>
    <row r="4869" spans="1:4" x14ac:dyDescent="0.35">
      <c r="A4869" s="1">
        <v>1981</v>
      </c>
      <c r="B4869" t="s">
        <v>88</v>
      </c>
      <c r="C4869" t="s">
        <v>89</v>
      </c>
      <c r="D4869">
        <v>540972</v>
      </c>
    </row>
    <row r="4870" spans="1:4" x14ac:dyDescent="0.35">
      <c r="A4870" s="1">
        <v>1981</v>
      </c>
      <c r="B4870" t="s">
        <v>90</v>
      </c>
      <c r="C4870" t="s">
        <v>91</v>
      </c>
      <c r="D4870">
        <v>210831</v>
      </c>
    </row>
    <row r="4871" spans="1:4" x14ac:dyDescent="0.35">
      <c r="A4871" s="1">
        <v>1981</v>
      </c>
      <c r="B4871" t="s">
        <v>194</v>
      </c>
      <c r="C4871" t="s">
        <v>195</v>
      </c>
      <c r="D4871">
        <v>270157</v>
      </c>
    </row>
    <row r="4872" spans="1:4" x14ac:dyDescent="0.35">
      <c r="A4872" s="1">
        <v>1981</v>
      </c>
      <c r="B4872" t="s">
        <v>92</v>
      </c>
      <c r="C4872" t="s">
        <v>93</v>
      </c>
      <c r="D4872">
        <v>717438</v>
      </c>
    </row>
    <row r="4873" spans="1:4" x14ac:dyDescent="0.35">
      <c r="A4873" s="1">
        <v>1981</v>
      </c>
      <c r="B4873" t="s">
        <v>94</v>
      </c>
      <c r="C4873" t="s">
        <v>95</v>
      </c>
      <c r="D4873">
        <v>200855</v>
      </c>
    </row>
    <row r="4874" spans="1:4" x14ac:dyDescent="0.35">
      <c r="A4874" s="1">
        <v>1981</v>
      </c>
      <c r="B4874" t="s">
        <v>54</v>
      </c>
      <c r="C4874" t="s">
        <v>55</v>
      </c>
      <c r="D4874">
        <v>586740</v>
      </c>
    </row>
    <row r="4875" spans="1:4" x14ac:dyDescent="0.35">
      <c r="A4875" s="1">
        <v>1981</v>
      </c>
      <c r="B4875" t="s">
        <v>96</v>
      </c>
      <c r="C4875" t="s">
        <v>97</v>
      </c>
      <c r="D4875">
        <v>1006234</v>
      </c>
    </row>
    <row r="4876" spans="1:4" x14ac:dyDescent="0.35">
      <c r="A4876" s="1">
        <v>1981</v>
      </c>
      <c r="B4876" t="s">
        <v>38</v>
      </c>
      <c r="C4876" t="s">
        <v>39</v>
      </c>
      <c r="D4876">
        <v>240812</v>
      </c>
    </row>
    <row r="4877" spans="1:4" x14ac:dyDescent="0.35">
      <c r="A4877" s="1">
        <v>1981</v>
      </c>
      <c r="B4877" t="s">
        <v>106</v>
      </c>
      <c r="C4877" t="s">
        <v>107</v>
      </c>
      <c r="D4877">
        <v>2515543</v>
      </c>
    </row>
    <row r="4878" spans="1:4" x14ac:dyDescent="0.35">
      <c r="A4878" s="1">
        <v>1981</v>
      </c>
      <c r="B4878" t="s">
        <v>108</v>
      </c>
      <c r="C4878" t="s">
        <v>109</v>
      </c>
      <c r="D4878">
        <v>651952</v>
      </c>
    </row>
    <row r="4879" spans="1:4" x14ac:dyDescent="0.35">
      <c r="A4879" s="1">
        <v>1981</v>
      </c>
      <c r="B4879" t="s">
        <v>136</v>
      </c>
      <c r="C4879" t="s">
        <v>137</v>
      </c>
      <c r="D4879">
        <v>295148</v>
      </c>
    </row>
    <row r="4880" spans="1:4" x14ac:dyDescent="0.35">
      <c r="A4880" s="1">
        <v>1981</v>
      </c>
      <c r="B4880" t="s">
        <v>110</v>
      </c>
      <c r="C4880" t="s">
        <v>111</v>
      </c>
      <c r="D4880">
        <v>1409385</v>
      </c>
    </row>
    <row r="4881" spans="1:4" x14ac:dyDescent="0.35">
      <c r="A4881" s="1">
        <v>1981</v>
      </c>
      <c r="B4881" t="s">
        <v>24</v>
      </c>
      <c r="C4881" t="s">
        <v>25</v>
      </c>
      <c r="D4881">
        <v>592523</v>
      </c>
    </row>
    <row r="4882" spans="1:4" x14ac:dyDescent="0.35">
      <c r="A4882" s="1">
        <v>1981</v>
      </c>
      <c r="B4882" t="s">
        <v>156</v>
      </c>
      <c r="C4882" t="s">
        <v>157</v>
      </c>
      <c r="D4882">
        <v>552096</v>
      </c>
    </row>
    <row r="4883" spans="1:4" x14ac:dyDescent="0.35">
      <c r="A4883" s="1">
        <v>1981</v>
      </c>
      <c r="B4883" t="s">
        <v>182</v>
      </c>
      <c r="C4883" t="s">
        <v>183</v>
      </c>
      <c r="D4883">
        <v>227550</v>
      </c>
    </row>
    <row r="4884" spans="1:4" x14ac:dyDescent="0.35">
      <c r="A4884" s="1">
        <v>1981</v>
      </c>
      <c r="B4884" t="s">
        <v>184</v>
      </c>
      <c r="C4884" t="s">
        <v>185</v>
      </c>
      <c r="D4884">
        <v>328519</v>
      </c>
    </row>
    <row r="4885" spans="1:4" x14ac:dyDescent="0.35">
      <c r="A4885" s="1">
        <v>1981</v>
      </c>
      <c r="B4885" t="s">
        <v>98</v>
      </c>
      <c r="C4885" t="s">
        <v>99</v>
      </c>
      <c r="D4885">
        <v>909731</v>
      </c>
    </row>
    <row r="4886" spans="1:4" x14ac:dyDescent="0.35">
      <c r="A4886" s="1">
        <v>1981</v>
      </c>
      <c r="B4886" t="s">
        <v>100</v>
      </c>
      <c r="C4886" t="s">
        <v>101</v>
      </c>
      <c r="D4886">
        <v>647698</v>
      </c>
    </row>
    <row r="4887" spans="1:4" x14ac:dyDescent="0.35">
      <c r="A4887" s="1">
        <v>1981</v>
      </c>
      <c r="B4887" t="s">
        <v>26</v>
      </c>
      <c r="C4887" t="s">
        <v>27</v>
      </c>
      <c r="D4887">
        <v>1442187</v>
      </c>
    </row>
    <row r="4888" spans="1:4" x14ac:dyDescent="0.35">
      <c r="A4888" s="1">
        <v>1981</v>
      </c>
      <c r="B4888" t="s">
        <v>40</v>
      </c>
      <c r="C4888" t="s">
        <v>41</v>
      </c>
      <c r="D4888">
        <v>230485</v>
      </c>
    </row>
    <row r="4889" spans="1:4" x14ac:dyDescent="0.35">
      <c r="A4889" s="1">
        <v>1981</v>
      </c>
      <c r="B4889" t="s">
        <v>42</v>
      </c>
      <c r="C4889" t="s">
        <v>43</v>
      </c>
      <c r="D4889">
        <v>571789</v>
      </c>
    </row>
    <row r="4890" spans="1:4" x14ac:dyDescent="0.35">
      <c r="A4890" s="1">
        <v>1981</v>
      </c>
      <c r="B4890" t="s">
        <v>196</v>
      </c>
      <c r="C4890" t="s">
        <v>197</v>
      </c>
      <c r="D4890">
        <v>502664</v>
      </c>
    </row>
    <row r="4891" spans="1:4" x14ac:dyDescent="0.35">
      <c r="A4891" s="1">
        <v>1981</v>
      </c>
      <c r="B4891" t="s">
        <v>28</v>
      </c>
      <c r="C4891" t="s">
        <v>29</v>
      </c>
      <c r="D4891">
        <v>320530</v>
      </c>
    </row>
    <row r="4892" spans="1:4" x14ac:dyDescent="0.35">
      <c r="A4892" s="1">
        <v>1981</v>
      </c>
      <c r="B4892" t="s">
        <v>30</v>
      </c>
      <c r="C4892" t="s">
        <v>31</v>
      </c>
      <c r="D4892">
        <v>486000</v>
      </c>
    </row>
    <row r="4893" spans="1:4" x14ac:dyDescent="0.35">
      <c r="A4893" s="1">
        <v>1981</v>
      </c>
      <c r="B4893" t="s">
        <v>114</v>
      </c>
      <c r="C4893" t="s">
        <v>115</v>
      </c>
      <c r="D4893">
        <v>2195328</v>
      </c>
    </row>
    <row r="4894" spans="1:4" x14ac:dyDescent="0.35">
      <c r="A4894" s="1">
        <v>1981</v>
      </c>
      <c r="B4894" t="s">
        <v>138</v>
      </c>
      <c r="C4894" t="s">
        <v>139</v>
      </c>
      <c r="D4894">
        <v>1189785</v>
      </c>
    </row>
    <row r="4895" spans="1:4" x14ac:dyDescent="0.35">
      <c r="A4895" s="1">
        <v>1981</v>
      </c>
      <c r="B4895" t="s">
        <v>116</v>
      </c>
      <c r="C4895" t="s">
        <v>117</v>
      </c>
      <c r="D4895">
        <v>863899</v>
      </c>
    </row>
    <row r="4896" spans="1:4" x14ac:dyDescent="0.35">
      <c r="A4896" s="1">
        <v>1981</v>
      </c>
      <c r="B4896" t="s">
        <v>118</v>
      </c>
      <c r="C4896" t="s">
        <v>119</v>
      </c>
      <c r="D4896">
        <v>1176773</v>
      </c>
    </row>
    <row r="4897" spans="1:4" x14ac:dyDescent="0.35">
      <c r="A4897" s="1">
        <v>1981</v>
      </c>
      <c r="B4897" t="s">
        <v>158</v>
      </c>
      <c r="C4897" t="s">
        <v>159</v>
      </c>
      <c r="D4897">
        <v>341902</v>
      </c>
    </row>
    <row r="4898" spans="1:4" x14ac:dyDescent="0.35">
      <c r="A4898" s="1">
        <v>1981</v>
      </c>
      <c r="B4898" t="s">
        <v>112</v>
      </c>
      <c r="C4898" t="s">
        <v>113</v>
      </c>
      <c r="D4898">
        <v>543486</v>
      </c>
    </row>
    <row r="4899" spans="1:4" x14ac:dyDescent="0.35">
      <c r="A4899" s="1">
        <v>1981</v>
      </c>
      <c r="B4899" t="s">
        <v>186</v>
      </c>
      <c r="C4899" t="s">
        <v>187</v>
      </c>
      <c r="D4899">
        <v>339319</v>
      </c>
    </row>
    <row r="4900" spans="1:4" x14ac:dyDescent="0.35">
      <c r="A4900" s="1">
        <v>1981</v>
      </c>
      <c r="B4900" t="s">
        <v>188</v>
      </c>
      <c r="C4900" t="s">
        <v>189</v>
      </c>
      <c r="D4900">
        <v>189398</v>
      </c>
    </row>
    <row r="4901" spans="1:4" x14ac:dyDescent="0.35">
      <c r="A4901" s="1">
        <v>1981</v>
      </c>
      <c r="B4901" t="s">
        <v>208</v>
      </c>
      <c r="C4901" t="s">
        <v>209</v>
      </c>
      <c r="D4901">
        <v>694538</v>
      </c>
    </row>
    <row r="4902" spans="1:4" x14ac:dyDescent="0.35">
      <c r="A4902" s="1">
        <v>1981</v>
      </c>
      <c r="B4902" t="s">
        <v>210</v>
      </c>
      <c r="C4902" t="s">
        <v>211</v>
      </c>
      <c r="D4902">
        <v>421167</v>
      </c>
    </row>
    <row r="4903" spans="1:4" x14ac:dyDescent="0.35">
      <c r="A4903" s="1">
        <v>1981</v>
      </c>
      <c r="B4903" t="s">
        <v>198</v>
      </c>
      <c r="C4903" t="s">
        <v>199</v>
      </c>
      <c r="D4903">
        <v>477548</v>
      </c>
    </row>
    <row r="4904" spans="1:4" x14ac:dyDescent="0.35">
      <c r="A4904" s="1">
        <v>1981</v>
      </c>
      <c r="B4904" t="s">
        <v>160</v>
      </c>
      <c r="C4904" t="s">
        <v>161</v>
      </c>
      <c r="D4904">
        <v>369237</v>
      </c>
    </row>
    <row r="4905" spans="1:4" x14ac:dyDescent="0.35">
      <c r="A4905" s="1">
        <v>1981</v>
      </c>
      <c r="B4905" t="s">
        <v>162</v>
      </c>
      <c r="C4905" t="s">
        <v>163</v>
      </c>
      <c r="D4905">
        <v>355150</v>
      </c>
    </row>
    <row r="4906" spans="1:4" x14ac:dyDescent="0.35">
      <c r="A4906" s="1">
        <v>1981</v>
      </c>
      <c r="B4906" t="s">
        <v>102</v>
      </c>
      <c r="C4906" t="s">
        <v>103</v>
      </c>
      <c r="D4906">
        <v>396463</v>
      </c>
    </row>
    <row r="4907" spans="1:4" x14ac:dyDescent="0.35">
      <c r="A4907" s="1">
        <v>1981</v>
      </c>
      <c r="B4907" t="s">
        <v>44</v>
      </c>
      <c r="C4907" t="s">
        <v>45</v>
      </c>
      <c r="D4907">
        <v>309095</v>
      </c>
    </row>
    <row r="4908" spans="1:4" x14ac:dyDescent="0.35">
      <c r="A4908" s="1">
        <v>1981</v>
      </c>
      <c r="B4908" t="s">
        <v>46</v>
      </c>
      <c r="C4908" t="s">
        <v>221</v>
      </c>
      <c r="D4908">
        <v>131456</v>
      </c>
    </row>
    <row r="4909" spans="1:4" x14ac:dyDescent="0.35">
      <c r="A4909" s="1">
        <v>1981</v>
      </c>
      <c r="B4909" t="s">
        <v>120</v>
      </c>
      <c r="C4909" t="s">
        <v>121</v>
      </c>
      <c r="D4909">
        <v>977285</v>
      </c>
    </row>
    <row r="4910" spans="1:4" x14ac:dyDescent="0.35">
      <c r="A4910" s="1">
        <v>1981</v>
      </c>
      <c r="B4910" t="s">
        <v>122</v>
      </c>
      <c r="C4910" t="s">
        <v>222</v>
      </c>
      <c r="D4910">
        <v>1394686</v>
      </c>
    </row>
    <row r="4911" spans="1:4" x14ac:dyDescent="0.35">
      <c r="A4911" s="1">
        <v>1981</v>
      </c>
      <c r="B4911" t="s">
        <v>124</v>
      </c>
      <c r="C4911" t="s">
        <v>125</v>
      </c>
      <c r="D4911">
        <v>1321815</v>
      </c>
    </row>
    <row r="4912" spans="1:4" x14ac:dyDescent="0.35">
      <c r="A4912" s="1">
        <v>1981</v>
      </c>
      <c r="B4912" t="s">
        <v>126</v>
      </c>
      <c r="C4912" t="s">
        <v>127</v>
      </c>
      <c r="D4912">
        <v>1195305</v>
      </c>
    </row>
    <row r="4913" spans="1:4" x14ac:dyDescent="0.35">
      <c r="A4913" s="1">
        <v>1981</v>
      </c>
      <c r="B4913" t="s">
        <v>128</v>
      </c>
      <c r="C4913" t="s">
        <v>129</v>
      </c>
      <c r="D4913">
        <v>906577</v>
      </c>
    </row>
    <row r="4914" spans="1:4" x14ac:dyDescent="0.35">
      <c r="A4914" s="1">
        <v>1981</v>
      </c>
      <c r="B4914" t="s">
        <v>257</v>
      </c>
      <c r="D4914">
        <v>54028630</v>
      </c>
    </row>
    <row r="4915" spans="1:4" x14ac:dyDescent="0.35">
      <c r="A4915" s="1">
        <v>1981</v>
      </c>
    </row>
    <row r="4916" spans="1:4" x14ac:dyDescent="0.35">
      <c r="A4916" s="1">
        <v>1981</v>
      </c>
      <c r="B4916" t="s">
        <v>240</v>
      </c>
    </row>
    <row r="4917" spans="1:4" x14ac:dyDescent="0.35">
      <c r="A4917" s="1">
        <v>1981</v>
      </c>
      <c r="B4917" t="s">
        <v>278</v>
      </c>
    </row>
    <row r="4918" spans="1:4" x14ac:dyDescent="0.35">
      <c r="A4918" s="1">
        <v>1980</v>
      </c>
      <c r="B4918" t="s">
        <v>251</v>
      </c>
    </row>
    <row r="4919" spans="1:4" x14ac:dyDescent="0.35">
      <c r="A4919" s="1">
        <v>1980</v>
      </c>
      <c r="B4919" t="s">
        <v>287</v>
      </c>
    </row>
    <row r="4920" spans="1:4" x14ac:dyDescent="0.35">
      <c r="A4920" s="1">
        <v>1980</v>
      </c>
    </row>
    <row r="4921" spans="1:4" x14ac:dyDescent="0.35">
      <c r="A4921" s="1">
        <v>1980</v>
      </c>
      <c r="B4921" t="s">
        <v>231</v>
      </c>
    </row>
    <row r="4922" spans="1:4" x14ac:dyDescent="0.35">
      <c r="A4922" s="1">
        <v>1980</v>
      </c>
      <c r="D4922" t="s">
        <v>232</v>
      </c>
    </row>
    <row r="4923" spans="1:4" x14ac:dyDescent="0.35">
      <c r="A4923" s="1">
        <v>1980</v>
      </c>
      <c r="B4923" t="s">
        <v>5</v>
      </c>
      <c r="C4923" t="s">
        <v>6</v>
      </c>
      <c r="D4923">
        <v>404139</v>
      </c>
    </row>
    <row r="4924" spans="1:4" x14ac:dyDescent="0.35">
      <c r="A4924" s="1">
        <v>1980</v>
      </c>
      <c r="B4924" t="s">
        <v>104</v>
      </c>
      <c r="C4924" t="s">
        <v>105</v>
      </c>
      <c r="D4924">
        <v>533201</v>
      </c>
    </row>
    <row r="4925" spans="1:4" x14ac:dyDescent="0.35">
      <c r="A4925" s="1">
        <v>1980</v>
      </c>
      <c r="B4925" t="s">
        <v>10</v>
      </c>
      <c r="C4925" t="s">
        <v>11</v>
      </c>
      <c r="D4925">
        <v>372252</v>
      </c>
    </row>
    <row r="4926" spans="1:4" x14ac:dyDescent="0.35">
      <c r="A4926" s="1">
        <v>1980</v>
      </c>
      <c r="B4926" t="s">
        <v>200</v>
      </c>
      <c r="C4926" t="s">
        <v>201</v>
      </c>
      <c r="D4926">
        <v>116770</v>
      </c>
    </row>
    <row r="4927" spans="1:4" x14ac:dyDescent="0.35">
      <c r="A4927" s="1">
        <v>1980</v>
      </c>
      <c r="B4927" t="s">
        <v>202</v>
      </c>
      <c r="C4927" t="s">
        <v>203</v>
      </c>
      <c r="D4927">
        <v>102738</v>
      </c>
    </row>
    <row r="4928" spans="1:4" x14ac:dyDescent="0.35">
      <c r="A4928" s="1">
        <v>1980</v>
      </c>
      <c r="B4928" t="s">
        <v>204</v>
      </c>
      <c r="C4928" t="s">
        <v>205</v>
      </c>
      <c r="D4928">
        <v>860094</v>
      </c>
    </row>
    <row r="4929" spans="1:4" x14ac:dyDescent="0.35">
      <c r="A4929" s="1">
        <v>1980</v>
      </c>
      <c r="B4929" t="s">
        <v>12</v>
      </c>
      <c r="C4929" t="s">
        <v>13</v>
      </c>
      <c r="D4929">
        <v>264326</v>
      </c>
    </row>
    <row r="4930" spans="1:4" x14ac:dyDescent="0.35">
      <c r="A4930" s="1">
        <v>1980</v>
      </c>
      <c r="B4930" t="s">
        <v>84</v>
      </c>
      <c r="C4930" t="s">
        <v>85</v>
      </c>
      <c r="D4930">
        <v>304272</v>
      </c>
    </row>
    <row r="4931" spans="1:4" x14ac:dyDescent="0.35">
      <c r="A4931" s="1">
        <v>1980</v>
      </c>
      <c r="B4931" t="s">
        <v>164</v>
      </c>
      <c r="C4931" t="s">
        <v>165</v>
      </c>
      <c r="D4931">
        <v>136153</v>
      </c>
    </row>
    <row r="4932" spans="1:4" x14ac:dyDescent="0.35">
      <c r="A4932" s="1">
        <v>1980</v>
      </c>
      <c r="B4932" t="s">
        <v>86</v>
      </c>
      <c r="C4932" t="s">
        <v>87</v>
      </c>
      <c r="D4932">
        <v>287867</v>
      </c>
    </row>
    <row r="4933" spans="1:4" x14ac:dyDescent="0.35">
      <c r="A4933" s="1">
        <v>1980</v>
      </c>
      <c r="B4933" t="s">
        <v>166</v>
      </c>
      <c r="C4933" t="s">
        <v>167</v>
      </c>
      <c r="D4933">
        <v>277752</v>
      </c>
    </row>
    <row r="4934" spans="1:4" x14ac:dyDescent="0.35">
      <c r="A4934" s="1">
        <v>1980</v>
      </c>
      <c r="B4934" t="s">
        <v>168</v>
      </c>
      <c r="C4934" t="s">
        <v>169</v>
      </c>
      <c r="D4934">
        <v>278465</v>
      </c>
    </row>
    <row r="4935" spans="1:4" x14ac:dyDescent="0.35">
      <c r="A4935" s="1">
        <v>1980</v>
      </c>
      <c r="B4935" t="s">
        <v>206</v>
      </c>
      <c r="C4935" t="s">
        <v>207</v>
      </c>
      <c r="D4935">
        <v>1695440</v>
      </c>
    </row>
    <row r="4936" spans="1:4" x14ac:dyDescent="0.35">
      <c r="A4936" s="1">
        <v>1980</v>
      </c>
      <c r="B4936" t="s">
        <v>130</v>
      </c>
      <c r="C4936" t="s">
        <v>131</v>
      </c>
      <c r="D4936">
        <v>580166</v>
      </c>
    </row>
    <row r="4937" spans="1:4" x14ac:dyDescent="0.35">
      <c r="A4937" s="1">
        <v>1980</v>
      </c>
      <c r="B4937" t="s">
        <v>14</v>
      </c>
      <c r="C4937" t="s">
        <v>15</v>
      </c>
      <c r="D4937">
        <v>164143</v>
      </c>
    </row>
    <row r="4938" spans="1:4" x14ac:dyDescent="0.35">
      <c r="A4938" s="1">
        <v>1980</v>
      </c>
      <c r="B4938" t="s">
        <v>140</v>
      </c>
      <c r="C4938" t="s">
        <v>141</v>
      </c>
      <c r="D4938">
        <v>339744</v>
      </c>
    </row>
    <row r="4939" spans="1:4" x14ac:dyDescent="0.35">
      <c r="A4939" s="1">
        <v>1980</v>
      </c>
      <c r="B4939" t="s">
        <v>142</v>
      </c>
      <c r="C4939" t="s">
        <v>143</v>
      </c>
      <c r="D4939">
        <v>508328</v>
      </c>
    </row>
    <row r="4940" spans="1:4" x14ac:dyDescent="0.35">
      <c r="A4940" s="1">
        <v>1980</v>
      </c>
      <c r="B4940" t="s">
        <v>56</v>
      </c>
      <c r="C4940" t="s">
        <v>57</v>
      </c>
      <c r="D4940">
        <v>318542</v>
      </c>
    </row>
    <row r="4941" spans="1:4" x14ac:dyDescent="0.35">
      <c r="A4941" s="1">
        <v>1980</v>
      </c>
      <c r="B4941" t="s">
        <v>144</v>
      </c>
      <c r="C4941" t="s">
        <v>145</v>
      </c>
      <c r="D4941">
        <v>241368</v>
      </c>
    </row>
    <row r="4942" spans="1:4" x14ac:dyDescent="0.35">
      <c r="A4942" s="1">
        <v>1980</v>
      </c>
      <c r="B4942" t="s">
        <v>68</v>
      </c>
      <c r="C4942" t="s">
        <v>69</v>
      </c>
      <c r="D4942">
        <v>106186</v>
      </c>
    </row>
    <row r="4943" spans="1:4" x14ac:dyDescent="0.35">
      <c r="A4943" s="1">
        <v>1980</v>
      </c>
      <c r="B4943" t="s">
        <v>70</v>
      </c>
      <c r="C4943" t="s">
        <v>71</v>
      </c>
      <c r="D4943">
        <v>129547</v>
      </c>
    </row>
    <row r="4944" spans="1:4" x14ac:dyDescent="0.35">
      <c r="A4944" s="1">
        <v>1980</v>
      </c>
      <c r="B4944" t="s">
        <v>32</v>
      </c>
      <c r="C4944" t="s">
        <v>219</v>
      </c>
      <c r="D4944">
        <v>467998</v>
      </c>
    </row>
    <row r="4945" spans="1:4" x14ac:dyDescent="0.35">
      <c r="A4945" s="1">
        <v>1980</v>
      </c>
      <c r="B4945" t="s">
        <v>48</v>
      </c>
      <c r="C4945" t="s">
        <v>220</v>
      </c>
      <c r="D4945">
        <v>534733</v>
      </c>
    </row>
    <row r="4946" spans="1:4" x14ac:dyDescent="0.35">
      <c r="A4946" s="1">
        <v>1980</v>
      </c>
      <c r="B4946" t="s">
        <v>146</v>
      </c>
      <c r="C4946" t="s">
        <v>147</v>
      </c>
      <c r="D4946">
        <v>141833</v>
      </c>
    </row>
    <row r="4947" spans="1:4" x14ac:dyDescent="0.35">
      <c r="A4947" s="1">
        <v>1980</v>
      </c>
      <c r="B4947" t="s">
        <v>148</v>
      </c>
      <c r="C4947" t="s">
        <v>149</v>
      </c>
      <c r="D4947">
        <v>375903</v>
      </c>
    </row>
    <row r="4948" spans="1:4" x14ac:dyDescent="0.35">
      <c r="A4948" s="1">
        <v>1980</v>
      </c>
      <c r="B4948" t="s">
        <v>34</v>
      </c>
      <c r="C4948" t="s">
        <v>35</v>
      </c>
      <c r="D4948">
        <v>474893</v>
      </c>
    </row>
    <row r="4949" spans="1:4" x14ac:dyDescent="0.35">
      <c r="A4949" s="1">
        <v>1980</v>
      </c>
      <c r="B4949" t="s">
        <v>16</v>
      </c>
      <c r="C4949" t="s">
        <v>17</v>
      </c>
      <c r="D4949">
        <v>380172</v>
      </c>
    </row>
    <row r="4950" spans="1:4" x14ac:dyDescent="0.35">
      <c r="A4950" s="1">
        <v>1980</v>
      </c>
      <c r="B4950" t="s">
        <v>132</v>
      </c>
      <c r="C4950" t="s">
        <v>133</v>
      </c>
      <c r="D4950">
        <v>449273</v>
      </c>
    </row>
    <row r="4951" spans="1:4" x14ac:dyDescent="0.35">
      <c r="A4951" s="1">
        <v>1980</v>
      </c>
      <c r="B4951" t="s">
        <v>58</v>
      </c>
      <c r="C4951" t="s">
        <v>59</v>
      </c>
      <c r="D4951">
        <v>353869</v>
      </c>
    </row>
    <row r="4952" spans="1:4" x14ac:dyDescent="0.35">
      <c r="A4952" s="1">
        <v>1980</v>
      </c>
      <c r="B4952" t="s">
        <v>50</v>
      </c>
      <c r="C4952" t="s">
        <v>51</v>
      </c>
      <c r="D4952">
        <v>820439</v>
      </c>
    </row>
    <row r="4953" spans="1:4" x14ac:dyDescent="0.35">
      <c r="A4953" s="1">
        <v>1980</v>
      </c>
      <c r="B4953" t="s">
        <v>170</v>
      </c>
      <c r="C4953" t="s">
        <v>171</v>
      </c>
      <c r="D4953">
        <v>517927</v>
      </c>
    </row>
    <row r="4954" spans="1:4" x14ac:dyDescent="0.35">
      <c r="A4954" s="1">
        <v>1980</v>
      </c>
      <c r="B4954" t="s">
        <v>172</v>
      </c>
      <c r="C4954" t="s">
        <v>173</v>
      </c>
      <c r="D4954">
        <v>809167</v>
      </c>
    </row>
    <row r="4955" spans="1:4" x14ac:dyDescent="0.35">
      <c r="A4955" s="1">
        <v>1980</v>
      </c>
      <c r="B4955" t="s">
        <v>174</v>
      </c>
      <c r="C4955" t="s">
        <v>175</v>
      </c>
      <c r="D4955">
        <v>174715</v>
      </c>
    </row>
    <row r="4956" spans="1:4" x14ac:dyDescent="0.35">
      <c r="A4956" s="1">
        <v>1980</v>
      </c>
      <c r="B4956" t="s">
        <v>150</v>
      </c>
      <c r="C4956" t="s">
        <v>151</v>
      </c>
      <c r="D4956">
        <v>1106514</v>
      </c>
    </row>
    <row r="4957" spans="1:4" x14ac:dyDescent="0.35">
      <c r="A4957" s="1">
        <v>1980</v>
      </c>
      <c r="B4957" t="s">
        <v>176</v>
      </c>
      <c r="C4957" t="s">
        <v>177</v>
      </c>
      <c r="D4957">
        <v>686633</v>
      </c>
    </row>
    <row r="4958" spans="1:4" x14ac:dyDescent="0.35">
      <c r="A4958" s="1">
        <v>1980</v>
      </c>
      <c r="B4958" t="s">
        <v>52</v>
      </c>
      <c r="C4958" t="s">
        <v>53</v>
      </c>
      <c r="D4958">
        <v>734778</v>
      </c>
    </row>
    <row r="4959" spans="1:4" x14ac:dyDescent="0.35">
      <c r="A4959" s="1">
        <v>1980</v>
      </c>
      <c r="B4959" t="s">
        <v>60</v>
      </c>
      <c r="C4959" t="s">
        <v>61</v>
      </c>
      <c r="D4959">
        <v>245018</v>
      </c>
    </row>
    <row r="4960" spans="1:4" x14ac:dyDescent="0.35">
      <c r="A4960" s="1">
        <v>1980</v>
      </c>
      <c r="B4960" t="s">
        <v>62</v>
      </c>
      <c r="C4960" t="s">
        <v>63</v>
      </c>
      <c r="D4960">
        <v>497200</v>
      </c>
    </row>
    <row r="4961" spans="1:4" x14ac:dyDescent="0.35">
      <c r="A4961" s="1">
        <v>1980</v>
      </c>
      <c r="B4961" t="s">
        <v>18</v>
      </c>
      <c r="C4961" t="s">
        <v>19</v>
      </c>
      <c r="D4961">
        <v>911882</v>
      </c>
    </row>
    <row r="4962" spans="1:4" x14ac:dyDescent="0.35">
      <c r="A4962" s="1">
        <v>1980</v>
      </c>
      <c r="B4962" t="s">
        <v>36</v>
      </c>
      <c r="C4962" t="s">
        <v>37</v>
      </c>
      <c r="D4962">
        <v>241702</v>
      </c>
    </row>
    <row r="4963" spans="1:4" x14ac:dyDescent="0.35">
      <c r="A4963" s="1">
        <v>1980</v>
      </c>
      <c r="B4963" t="s">
        <v>152</v>
      </c>
      <c r="C4963" t="s">
        <v>153</v>
      </c>
      <c r="D4963">
        <v>294517</v>
      </c>
    </row>
    <row r="4964" spans="1:4" x14ac:dyDescent="0.35">
      <c r="A4964" s="1">
        <v>1980</v>
      </c>
      <c r="B4964" t="s">
        <v>64</v>
      </c>
      <c r="C4964" t="s">
        <v>65</v>
      </c>
      <c r="D4964">
        <v>292497</v>
      </c>
    </row>
    <row r="4965" spans="1:4" x14ac:dyDescent="0.35">
      <c r="A4965" s="1">
        <v>1980</v>
      </c>
      <c r="B4965" t="s">
        <v>20</v>
      </c>
      <c r="C4965" t="s">
        <v>21</v>
      </c>
      <c r="D4965">
        <v>740188</v>
      </c>
    </row>
    <row r="4966" spans="1:4" x14ac:dyDescent="0.35">
      <c r="A4966" s="1">
        <v>1980</v>
      </c>
      <c r="B4966" t="s">
        <v>22</v>
      </c>
      <c r="C4966" t="s">
        <v>23</v>
      </c>
      <c r="D4966">
        <v>205840</v>
      </c>
    </row>
    <row r="4967" spans="1:4" x14ac:dyDescent="0.35">
      <c r="A4967" s="1">
        <v>1980</v>
      </c>
      <c r="B4967" t="s">
        <v>190</v>
      </c>
      <c r="C4967" t="s">
        <v>191</v>
      </c>
      <c r="D4967">
        <v>975924</v>
      </c>
    </row>
    <row r="4968" spans="1:4" x14ac:dyDescent="0.35">
      <c r="A4968" s="1">
        <v>1980</v>
      </c>
      <c r="B4968" t="s">
        <v>66</v>
      </c>
      <c r="C4968" t="s">
        <v>67</v>
      </c>
      <c r="D4968">
        <v>520624</v>
      </c>
    </row>
    <row r="4969" spans="1:4" x14ac:dyDescent="0.35">
      <c r="A4969" s="1">
        <v>1980</v>
      </c>
      <c r="B4969" t="s">
        <v>178</v>
      </c>
      <c r="C4969" t="s">
        <v>179</v>
      </c>
      <c r="D4969">
        <v>153237</v>
      </c>
    </row>
    <row r="4970" spans="1:4" x14ac:dyDescent="0.35">
      <c r="A4970" s="1">
        <v>1980</v>
      </c>
      <c r="B4970" t="s">
        <v>154</v>
      </c>
      <c r="C4970" t="s">
        <v>155</v>
      </c>
      <c r="D4970">
        <v>296377</v>
      </c>
    </row>
    <row r="4971" spans="1:4" x14ac:dyDescent="0.35">
      <c r="A4971" s="1">
        <v>1980</v>
      </c>
      <c r="B4971" t="s">
        <v>180</v>
      </c>
      <c r="C4971" t="s">
        <v>181</v>
      </c>
      <c r="D4971">
        <v>74463</v>
      </c>
    </row>
    <row r="4972" spans="1:4" x14ac:dyDescent="0.35">
      <c r="A4972" s="1">
        <v>1980</v>
      </c>
      <c r="B4972" t="s">
        <v>192</v>
      </c>
      <c r="C4972" t="s">
        <v>193</v>
      </c>
      <c r="D4972">
        <v>660340</v>
      </c>
    </row>
    <row r="4973" spans="1:4" x14ac:dyDescent="0.35">
      <c r="A4973" s="1">
        <v>1980</v>
      </c>
      <c r="B4973" t="s">
        <v>134</v>
      </c>
      <c r="C4973" t="s">
        <v>135</v>
      </c>
      <c r="D4973">
        <v>461414</v>
      </c>
    </row>
    <row r="4974" spans="1:4" x14ac:dyDescent="0.35">
      <c r="A4974" s="1">
        <v>1980</v>
      </c>
      <c r="B4974" t="s">
        <v>88</v>
      </c>
      <c r="C4974" t="s">
        <v>89</v>
      </c>
      <c r="D4974">
        <v>538522</v>
      </c>
    </row>
    <row r="4975" spans="1:4" x14ac:dyDescent="0.35">
      <c r="A4975" s="1">
        <v>1980</v>
      </c>
      <c r="B4975" t="s">
        <v>90</v>
      </c>
      <c r="C4975" t="s">
        <v>91</v>
      </c>
      <c r="D4975">
        <v>210976</v>
      </c>
    </row>
    <row r="4976" spans="1:4" x14ac:dyDescent="0.35">
      <c r="A4976" s="1">
        <v>1980</v>
      </c>
      <c r="B4976" t="s">
        <v>194</v>
      </c>
      <c r="C4976" t="s">
        <v>195</v>
      </c>
      <c r="D4976">
        <v>268690</v>
      </c>
    </row>
    <row r="4977" spans="1:4" x14ac:dyDescent="0.35">
      <c r="A4977" s="1">
        <v>1980</v>
      </c>
      <c r="B4977" t="s">
        <v>92</v>
      </c>
      <c r="C4977" t="s">
        <v>93</v>
      </c>
      <c r="D4977">
        <v>717818</v>
      </c>
    </row>
    <row r="4978" spans="1:4" x14ac:dyDescent="0.35">
      <c r="A4978" s="1">
        <v>1980</v>
      </c>
      <c r="B4978" t="s">
        <v>94</v>
      </c>
      <c r="C4978" t="s">
        <v>95</v>
      </c>
      <c r="D4978">
        <v>201309</v>
      </c>
    </row>
    <row r="4979" spans="1:4" x14ac:dyDescent="0.35">
      <c r="A4979" s="1">
        <v>1980</v>
      </c>
      <c r="B4979" t="s">
        <v>54</v>
      </c>
      <c r="C4979" t="s">
        <v>55</v>
      </c>
      <c r="D4979">
        <v>582625</v>
      </c>
    </row>
    <row r="4980" spans="1:4" x14ac:dyDescent="0.35">
      <c r="A4980" s="1">
        <v>1980</v>
      </c>
      <c r="B4980" t="s">
        <v>96</v>
      </c>
      <c r="C4980" t="s">
        <v>97</v>
      </c>
      <c r="D4980">
        <v>1005064</v>
      </c>
    </row>
    <row r="4981" spans="1:4" x14ac:dyDescent="0.35">
      <c r="A4981" s="1">
        <v>1980</v>
      </c>
      <c r="B4981" t="s">
        <v>38</v>
      </c>
      <c r="C4981" t="s">
        <v>39</v>
      </c>
      <c r="D4981">
        <v>241539</v>
      </c>
    </row>
    <row r="4982" spans="1:4" x14ac:dyDescent="0.35">
      <c r="A4982" s="1">
        <v>1980</v>
      </c>
      <c r="B4982" t="s">
        <v>106</v>
      </c>
      <c r="C4982" t="s">
        <v>107</v>
      </c>
      <c r="D4982">
        <v>2511503</v>
      </c>
    </row>
    <row r="4983" spans="1:4" x14ac:dyDescent="0.35">
      <c r="A4983" s="1">
        <v>1980</v>
      </c>
      <c r="B4983" t="s">
        <v>108</v>
      </c>
      <c r="C4983" t="s">
        <v>109</v>
      </c>
      <c r="D4983">
        <v>643385</v>
      </c>
    </row>
    <row r="4984" spans="1:4" x14ac:dyDescent="0.35">
      <c r="A4984" s="1">
        <v>1980</v>
      </c>
      <c r="B4984" t="s">
        <v>136</v>
      </c>
      <c r="C4984" t="s">
        <v>137</v>
      </c>
      <c r="D4984">
        <v>294672</v>
      </c>
    </row>
    <row r="4985" spans="1:4" x14ac:dyDescent="0.35">
      <c r="A4985" s="1">
        <v>1980</v>
      </c>
      <c r="B4985" t="s">
        <v>110</v>
      </c>
      <c r="C4985" t="s">
        <v>111</v>
      </c>
      <c r="D4985">
        <v>1407290</v>
      </c>
    </row>
    <row r="4986" spans="1:4" x14ac:dyDescent="0.35">
      <c r="A4986" s="1">
        <v>1980</v>
      </c>
      <c r="B4986" t="s">
        <v>24</v>
      </c>
      <c r="C4986" t="s">
        <v>25</v>
      </c>
      <c r="D4986">
        <v>590021</v>
      </c>
    </row>
    <row r="4987" spans="1:4" x14ac:dyDescent="0.35">
      <c r="A4987" s="1">
        <v>1980</v>
      </c>
      <c r="B4987" t="s">
        <v>156</v>
      </c>
      <c r="C4987" t="s">
        <v>157</v>
      </c>
      <c r="D4987">
        <v>548913</v>
      </c>
    </row>
    <row r="4988" spans="1:4" x14ac:dyDescent="0.35">
      <c r="A4988" s="1">
        <v>1980</v>
      </c>
      <c r="B4988" t="s">
        <v>182</v>
      </c>
      <c r="C4988" t="s">
        <v>183</v>
      </c>
      <c r="D4988">
        <v>227234</v>
      </c>
    </row>
    <row r="4989" spans="1:4" x14ac:dyDescent="0.35">
      <c r="A4989" s="1">
        <v>1980</v>
      </c>
      <c r="B4989" t="s">
        <v>184</v>
      </c>
      <c r="C4989" t="s">
        <v>185</v>
      </c>
      <c r="D4989">
        <v>323083</v>
      </c>
    </row>
    <row r="4990" spans="1:4" x14ac:dyDescent="0.35">
      <c r="A4990" s="1">
        <v>1980</v>
      </c>
      <c r="B4990" t="s">
        <v>98</v>
      </c>
      <c r="C4990" t="s">
        <v>99</v>
      </c>
      <c r="D4990">
        <v>903820</v>
      </c>
    </row>
    <row r="4991" spans="1:4" x14ac:dyDescent="0.35">
      <c r="A4991" s="1">
        <v>1980</v>
      </c>
      <c r="B4991" t="s">
        <v>100</v>
      </c>
      <c r="C4991" t="s">
        <v>101</v>
      </c>
      <c r="D4991">
        <v>644834</v>
      </c>
    </row>
    <row r="4992" spans="1:4" x14ac:dyDescent="0.35">
      <c r="A4992" s="1">
        <v>1980</v>
      </c>
      <c r="B4992" t="s">
        <v>26</v>
      </c>
      <c r="C4992" t="s">
        <v>27</v>
      </c>
      <c r="D4992">
        <v>1438146</v>
      </c>
    </row>
    <row r="4993" spans="1:4" x14ac:dyDescent="0.35">
      <c r="A4993" s="1">
        <v>1980</v>
      </c>
      <c r="B4993" t="s">
        <v>40</v>
      </c>
      <c r="C4993" t="s">
        <v>41</v>
      </c>
      <c r="D4993">
        <v>228823</v>
      </c>
    </row>
    <row r="4994" spans="1:4" x14ac:dyDescent="0.35">
      <c r="A4994" s="1">
        <v>1980</v>
      </c>
      <c r="B4994" t="s">
        <v>42</v>
      </c>
      <c r="C4994" t="s">
        <v>43</v>
      </c>
      <c r="D4994">
        <v>571150</v>
      </c>
    </row>
    <row r="4995" spans="1:4" x14ac:dyDescent="0.35">
      <c r="A4995" s="1">
        <v>1980</v>
      </c>
      <c r="B4995" t="s">
        <v>196</v>
      </c>
      <c r="C4995" t="s">
        <v>197</v>
      </c>
      <c r="D4995">
        <v>500500</v>
      </c>
    </row>
    <row r="4996" spans="1:4" x14ac:dyDescent="0.35">
      <c r="A4996" s="1">
        <v>1980</v>
      </c>
      <c r="B4996" t="s">
        <v>28</v>
      </c>
      <c r="C4996" t="s">
        <v>29</v>
      </c>
      <c r="D4996">
        <v>317529</v>
      </c>
    </row>
    <row r="4997" spans="1:4" x14ac:dyDescent="0.35">
      <c r="A4997" s="1">
        <v>1980</v>
      </c>
      <c r="B4997" t="s">
        <v>30</v>
      </c>
      <c r="C4997" t="s">
        <v>31</v>
      </c>
      <c r="D4997">
        <v>478804</v>
      </c>
    </row>
    <row r="4998" spans="1:4" x14ac:dyDescent="0.35">
      <c r="A4998" s="1">
        <v>1980</v>
      </c>
      <c r="B4998" t="s">
        <v>114</v>
      </c>
      <c r="C4998" t="s">
        <v>115</v>
      </c>
      <c r="D4998">
        <v>2211156</v>
      </c>
    </row>
    <row r="4999" spans="1:4" x14ac:dyDescent="0.35">
      <c r="A4999" s="1">
        <v>1980</v>
      </c>
      <c r="B4999" t="s">
        <v>138</v>
      </c>
      <c r="C4999" t="s">
        <v>139</v>
      </c>
      <c r="D4999">
        <v>1185680</v>
      </c>
    </row>
    <row r="5000" spans="1:4" x14ac:dyDescent="0.35">
      <c r="A5000" s="1">
        <v>1980</v>
      </c>
      <c r="B5000" t="s">
        <v>116</v>
      </c>
      <c r="C5000" t="s">
        <v>117</v>
      </c>
      <c r="D5000">
        <v>843611</v>
      </c>
    </row>
    <row r="5001" spans="1:4" x14ac:dyDescent="0.35">
      <c r="A5001" s="1">
        <v>1980</v>
      </c>
      <c r="B5001" t="s">
        <v>118</v>
      </c>
      <c r="C5001" t="s">
        <v>119</v>
      </c>
      <c r="D5001">
        <v>1159303</v>
      </c>
    </row>
    <row r="5002" spans="1:4" x14ac:dyDescent="0.35">
      <c r="A5002" s="1">
        <v>1980</v>
      </c>
      <c r="B5002" t="s">
        <v>158</v>
      </c>
      <c r="C5002" t="s">
        <v>159</v>
      </c>
      <c r="D5002">
        <v>340806</v>
      </c>
    </row>
    <row r="5003" spans="1:4" x14ac:dyDescent="0.35">
      <c r="A5003" s="1">
        <v>1980</v>
      </c>
      <c r="B5003" t="s">
        <v>112</v>
      </c>
      <c r="C5003" t="s">
        <v>113</v>
      </c>
      <c r="D5003">
        <v>542285</v>
      </c>
    </row>
    <row r="5004" spans="1:4" x14ac:dyDescent="0.35">
      <c r="A5004" s="1">
        <v>1980</v>
      </c>
      <c r="B5004" t="s">
        <v>186</v>
      </c>
      <c r="C5004" t="s">
        <v>187</v>
      </c>
      <c r="D5004">
        <v>338941</v>
      </c>
    </row>
    <row r="5005" spans="1:4" x14ac:dyDescent="0.35">
      <c r="A5005" s="1">
        <v>1980</v>
      </c>
      <c r="B5005" t="s">
        <v>188</v>
      </c>
      <c r="C5005" t="s">
        <v>189</v>
      </c>
      <c r="D5005">
        <v>188299</v>
      </c>
    </row>
    <row r="5006" spans="1:4" x14ac:dyDescent="0.35">
      <c r="A5006" s="1">
        <v>1980</v>
      </c>
      <c r="B5006" t="s">
        <v>208</v>
      </c>
      <c r="C5006" t="s">
        <v>209</v>
      </c>
      <c r="D5006">
        <v>681695</v>
      </c>
    </row>
    <row r="5007" spans="1:4" x14ac:dyDescent="0.35">
      <c r="A5007" s="1">
        <v>1980</v>
      </c>
      <c r="B5007" t="s">
        <v>210</v>
      </c>
      <c r="C5007" t="s">
        <v>211</v>
      </c>
      <c r="D5007">
        <v>415291</v>
      </c>
    </row>
    <row r="5008" spans="1:4" x14ac:dyDescent="0.35">
      <c r="A5008" s="1">
        <v>1980</v>
      </c>
      <c r="B5008" t="s">
        <v>198</v>
      </c>
      <c r="C5008" t="s">
        <v>199</v>
      </c>
      <c r="D5008">
        <v>472725</v>
      </c>
    </row>
    <row r="5009" spans="1:4" x14ac:dyDescent="0.35">
      <c r="A5009" s="1">
        <v>1980</v>
      </c>
      <c r="B5009" t="s">
        <v>160</v>
      </c>
      <c r="C5009" t="s">
        <v>161</v>
      </c>
      <c r="D5009">
        <v>366876</v>
      </c>
    </row>
    <row r="5010" spans="1:4" x14ac:dyDescent="0.35">
      <c r="A5010" s="1">
        <v>1980</v>
      </c>
      <c r="B5010" t="s">
        <v>162</v>
      </c>
      <c r="C5010" t="s">
        <v>163</v>
      </c>
      <c r="D5010">
        <v>354457</v>
      </c>
    </row>
    <row r="5011" spans="1:4" x14ac:dyDescent="0.35">
      <c r="A5011" s="1">
        <v>1980</v>
      </c>
      <c r="B5011" t="s">
        <v>102</v>
      </c>
      <c r="C5011" t="s">
        <v>103</v>
      </c>
      <c r="D5011">
        <v>396341</v>
      </c>
    </row>
    <row r="5012" spans="1:4" x14ac:dyDescent="0.35">
      <c r="A5012" s="1">
        <v>1980</v>
      </c>
      <c r="B5012" t="s">
        <v>44</v>
      </c>
      <c r="C5012" t="s">
        <v>45</v>
      </c>
      <c r="D5012">
        <v>307130</v>
      </c>
    </row>
    <row r="5013" spans="1:4" x14ac:dyDescent="0.35">
      <c r="A5013" s="1">
        <v>1980</v>
      </c>
      <c r="B5013" t="s">
        <v>46</v>
      </c>
      <c r="C5013" t="s">
        <v>221</v>
      </c>
      <c r="D5013">
        <v>130772</v>
      </c>
    </row>
    <row r="5014" spans="1:4" x14ac:dyDescent="0.35">
      <c r="A5014" s="1">
        <v>1980</v>
      </c>
      <c r="B5014" t="s">
        <v>120</v>
      </c>
      <c r="C5014" t="s">
        <v>121</v>
      </c>
      <c r="D5014">
        <v>966809</v>
      </c>
    </row>
    <row r="5015" spans="1:4" x14ac:dyDescent="0.35">
      <c r="A5015" s="1">
        <v>1980</v>
      </c>
      <c r="B5015" t="s">
        <v>122</v>
      </c>
      <c r="C5015" t="s">
        <v>222</v>
      </c>
      <c r="D5015">
        <v>1400547</v>
      </c>
    </row>
    <row r="5016" spans="1:4" x14ac:dyDescent="0.35">
      <c r="A5016" s="1">
        <v>1980</v>
      </c>
      <c r="B5016" t="s">
        <v>124</v>
      </c>
      <c r="C5016" t="s">
        <v>125</v>
      </c>
      <c r="D5016">
        <v>1319560</v>
      </c>
    </row>
    <row r="5017" spans="1:4" x14ac:dyDescent="0.35">
      <c r="A5017" s="1">
        <v>1980</v>
      </c>
      <c r="B5017" t="s">
        <v>126</v>
      </c>
      <c r="C5017" t="s">
        <v>127</v>
      </c>
      <c r="D5017">
        <v>1197530</v>
      </c>
    </row>
    <row r="5018" spans="1:4" x14ac:dyDescent="0.35">
      <c r="A5018" s="1">
        <v>1980</v>
      </c>
      <c r="B5018" t="s">
        <v>128</v>
      </c>
      <c r="C5018" t="s">
        <v>129</v>
      </c>
      <c r="D5018">
        <v>893760</v>
      </c>
    </row>
    <row r="5019" spans="1:4" x14ac:dyDescent="0.35">
      <c r="A5019" s="1">
        <v>1980</v>
      </c>
      <c r="B5019" t="s">
        <v>257</v>
      </c>
      <c r="D5019">
        <v>53731387</v>
      </c>
    </row>
    <row r="5020" spans="1:4" x14ac:dyDescent="0.35">
      <c r="A5020" s="1">
        <v>1980</v>
      </c>
    </row>
    <row r="5021" spans="1:4" x14ac:dyDescent="0.35">
      <c r="A5021" s="1">
        <v>1980</v>
      </c>
      <c r="B5021" t="s">
        <v>240</v>
      </c>
    </row>
    <row r="5022" spans="1:4" x14ac:dyDescent="0.35">
      <c r="A5022" s="1">
        <v>1980</v>
      </c>
      <c r="B5022" t="s">
        <v>278</v>
      </c>
    </row>
    <row r="5023" spans="1:4" x14ac:dyDescent="0.35">
      <c r="A5023" s="1">
        <v>1979</v>
      </c>
      <c r="B5023" t="s">
        <v>251</v>
      </c>
    </row>
    <row r="5024" spans="1:4" x14ac:dyDescent="0.35">
      <c r="A5024" s="1">
        <v>1979</v>
      </c>
      <c r="B5024" t="s">
        <v>288</v>
      </c>
    </row>
    <row r="5025" spans="1:4" x14ac:dyDescent="0.35">
      <c r="A5025" s="1">
        <v>1979</v>
      </c>
    </row>
    <row r="5026" spans="1:4" x14ac:dyDescent="0.35">
      <c r="A5026" s="1">
        <v>1979</v>
      </c>
      <c r="B5026" t="s">
        <v>231</v>
      </c>
    </row>
    <row r="5027" spans="1:4" x14ac:dyDescent="0.35">
      <c r="A5027" s="1">
        <v>1979</v>
      </c>
      <c r="D5027" t="s">
        <v>232</v>
      </c>
    </row>
    <row r="5028" spans="1:4" x14ac:dyDescent="0.35">
      <c r="A5028" s="1">
        <v>1979</v>
      </c>
      <c r="B5028" t="s">
        <v>5</v>
      </c>
      <c r="C5028" t="s">
        <v>6</v>
      </c>
      <c r="D5028">
        <v>398343</v>
      </c>
    </row>
    <row r="5029" spans="1:4" x14ac:dyDescent="0.35">
      <c r="A5029" s="1">
        <v>1979</v>
      </c>
      <c r="B5029" t="s">
        <v>104</v>
      </c>
      <c r="C5029" t="s">
        <v>105</v>
      </c>
      <c r="D5029">
        <v>533396</v>
      </c>
    </row>
    <row r="5030" spans="1:4" x14ac:dyDescent="0.35">
      <c r="A5030" s="1">
        <v>1979</v>
      </c>
      <c r="B5030" t="s">
        <v>10</v>
      </c>
      <c r="C5030" t="s">
        <v>11</v>
      </c>
      <c r="D5030">
        <v>373532</v>
      </c>
    </row>
    <row r="5031" spans="1:4" x14ac:dyDescent="0.35">
      <c r="A5031" s="1">
        <v>1979</v>
      </c>
      <c r="B5031" t="s">
        <v>200</v>
      </c>
      <c r="C5031" t="s">
        <v>201</v>
      </c>
      <c r="D5031">
        <v>115781</v>
      </c>
    </row>
    <row r="5032" spans="1:4" x14ac:dyDescent="0.35">
      <c r="A5032" s="1">
        <v>1979</v>
      </c>
      <c r="B5032" t="s">
        <v>202</v>
      </c>
      <c r="C5032" t="s">
        <v>203</v>
      </c>
      <c r="D5032">
        <v>101664</v>
      </c>
    </row>
    <row r="5033" spans="1:4" x14ac:dyDescent="0.35">
      <c r="A5033" s="1">
        <v>1979</v>
      </c>
      <c r="B5033" t="s">
        <v>204</v>
      </c>
      <c r="C5033" t="s">
        <v>205</v>
      </c>
      <c r="D5033">
        <v>850607</v>
      </c>
    </row>
    <row r="5034" spans="1:4" x14ac:dyDescent="0.35">
      <c r="A5034" s="1">
        <v>1979</v>
      </c>
      <c r="B5034" t="s">
        <v>12</v>
      </c>
      <c r="C5034" t="s">
        <v>13</v>
      </c>
      <c r="D5034">
        <v>262858</v>
      </c>
    </row>
    <row r="5035" spans="1:4" x14ac:dyDescent="0.35">
      <c r="A5035" s="1">
        <v>1979</v>
      </c>
      <c r="B5035" t="s">
        <v>84</v>
      </c>
      <c r="C5035" t="s">
        <v>85</v>
      </c>
      <c r="D5035">
        <v>305352</v>
      </c>
    </row>
    <row r="5036" spans="1:4" x14ac:dyDescent="0.35">
      <c r="A5036" s="1">
        <v>1979</v>
      </c>
      <c r="B5036" t="s">
        <v>164</v>
      </c>
      <c r="C5036" t="s">
        <v>165</v>
      </c>
      <c r="D5036">
        <v>136535</v>
      </c>
    </row>
    <row r="5037" spans="1:4" x14ac:dyDescent="0.35">
      <c r="A5037" s="1">
        <v>1979</v>
      </c>
      <c r="B5037" t="s">
        <v>86</v>
      </c>
      <c r="C5037" t="s">
        <v>87</v>
      </c>
      <c r="D5037">
        <v>287238</v>
      </c>
    </row>
    <row r="5038" spans="1:4" x14ac:dyDescent="0.35">
      <c r="A5038" s="1">
        <v>1979</v>
      </c>
      <c r="B5038" t="s">
        <v>166</v>
      </c>
      <c r="C5038" t="s">
        <v>167</v>
      </c>
      <c r="D5038">
        <v>276578</v>
      </c>
    </row>
    <row r="5039" spans="1:4" x14ac:dyDescent="0.35">
      <c r="A5039" s="1">
        <v>1979</v>
      </c>
      <c r="B5039" t="s">
        <v>168</v>
      </c>
      <c r="C5039" t="s">
        <v>169</v>
      </c>
      <c r="D5039">
        <v>278503</v>
      </c>
    </row>
    <row r="5040" spans="1:4" x14ac:dyDescent="0.35">
      <c r="A5040" s="1">
        <v>1979</v>
      </c>
      <c r="B5040" t="s">
        <v>206</v>
      </c>
      <c r="C5040" t="s">
        <v>207</v>
      </c>
      <c r="D5040">
        <v>1682148</v>
      </c>
    </row>
    <row r="5041" spans="1:4" x14ac:dyDescent="0.35">
      <c r="A5041" s="1">
        <v>1979</v>
      </c>
      <c r="B5041" t="s">
        <v>130</v>
      </c>
      <c r="C5041" t="s">
        <v>131</v>
      </c>
      <c r="D5041">
        <v>576066</v>
      </c>
    </row>
    <row r="5042" spans="1:4" x14ac:dyDescent="0.35">
      <c r="A5042" s="1">
        <v>1979</v>
      </c>
      <c r="B5042" t="s">
        <v>14</v>
      </c>
      <c r="C5042" t="s">
        <v>15</v>
      </c>
      <c r="D5042">
        <v>164634</v>
      </c>
    </row>
    <row r="5043" spans="1:4" x14ac:dyDescent="0.35">
      <c r="A5043" s="1">
        <v>1979</v>
      </c>
      <c r="B5043" t="s">
        <v>140</v>
      </c>
      <c r="C5043" t="s">
        <v>141</v>
      </c>
      <c r="D5043">
        <v>339339</v>
      </c>
    </row>
    <row r="5044" spans="1:4" x14ac:dyDescent="0.35">
      <c r="A5044" s="1">
        <v>1979</v>
      </c>
      <c r="B5044" t="s">
        <v>142</v>
      </c>
      <c r="C5044" t="s">
        <v>143</v>
      </c>
      <c r="D5044">
        <v>505996</v>
      </c>
    </row>
    <row r="5045" spans="1:4" x14ac:dyDescent="0.35">
      <c r="A5045" s="1">
        <v>1979</v>
      </c>
      <c r="B5045" t="s">
        <v>56</v>
      </c>
      <c r="C5045" t="s">
        <v>57</v>
      </c>
      <c r="D5045">
        <v>318098</v>
      </c>
    </row>
    <row r="5046" spans="1:4" x14ac:dyDescent="0.35">
      <c r="A5046" s="1">
        <v>1979</v>
      </c>
      <c r="B5046" t="s">
        <v>144</v>
      </c>
      <c r="C5046" t="s">
        <v>145</v>
      </c>
      <c r="D5046">
        <v>241171</v>
      </c>
    </row>
    <row r="5047" spans="1:4" x14ac:dyDescent="0.35">
      <c r="A5047" s="1">
        <v>1979</v>
      </c>
      <c r="B5047" t="s">
        <v>68</v>
      </c>
      <c r="C5047" t="s">
        <v>69</v>
      </c>
      <c r="D5047">
        <v>105091</v>
      </c>
    </row>
    <row r="5048" spans="1:4" x14ac:dyDescent="0.35">
      <c r="A5048" s="1">
        <v>1979</v>
      </c>
      <c r="B5048" t="s">
        <v>70</v>
      </c>
      <c r="C5048" t="s">
        <v>71</v>
      </c>
      <c r="D5048">
        <v>128714</v>
      </c>
    </row>
    <row r="5049" spans="1:4" x14ac:dyDescent="0.35">
      <c r="A5049" s="1">
        <v>1979</v>
      </c>
      <c r="B5049" t="s">
        <v>32</v>
      </c>
      <c r="C5049" t="s">
        <v>219</v>
      </c>
      <c r="D5049">
        <v>465375</v>
      </c>
    </row>
    <row r="5050" spans="1:4" x14ac:dyDescent="0.35">
      <c r="A5050" s="1">
        <v>1979</v>
      </c>
      <c r="B5050" t="s">
        <v>48</v>
      </c>
      <c r="C5050" t="s">
        <v>220</v>
      </c>
      <c r="D5050">
        <v>532879</v>
      </c>
    </row>
    <row r="5051" spans="1:4" x14ac:dyDescent="0.35">
      <c r="A5051" s="1">
        <v>1979</v>
      </c>
      <c r="B5051" t="s">
        <v>146</v>
      </c>
      <c r="C5051" t="s">
        <v>147</v>
      </c>
      <c r="D5051">
        <v>142814</v>
      </c>
    </row>
    <row r="5052" spans="1:4" x14ac:dyDescent="0.35">
      <c r="A5052" s="1">
        <v>1979</v>
      </c>
      <c r="B5052" t="s">
        <v>148</v>
      </c>
      <c r="C5052" t="s">
        <v>149</v>
      </c>
      <c r="D5052">
        <v>375308</v>
      </c>
    </row>
    <row r="5053" spans="1:4" x14ac:dyDescent="0.35">
      <c r="A5053" s="1">
        <v>1979</v>
      </c>
      <c r="B5053" t="s">
        <v>34</v>
      </c>
      <c r="C5053" t="s">
        <v>35</v>
      </c>
      <c r="D5053">
        <v>473906</v>
      </c>
    </row>
    <row r="5054" spans="1:4" x14ac:dyDescent="0.35">
      <c r="A5054" s="1">
        <v>1979</v>
      </c>
      <c r="B5054" t="s">
        <v>16</v>
      </c>
      <c r="C5054" t="s">
        <v>17</v>
      </c>
      <c r="D5054">
        <v>376067</v>
      </c>
    </row>
    <row r="5055" spans="1:4" x14ac:dyDescent="0.35">
      <c r="A5055" s="1">
        <v>1979</v>
      </c>
      <c r="B5055" t="s">
        <v>132</v>
      </c>
      <c r="C5055" t="s">
        <v>133</v>
      </c>
      <c r="D5055">
        <v>443673</v>
      </c>
    </row>
    <row r="5056" spans="1:4" x14ac:dyDescent="0.35">
      <c r="A5056" s="1">
        <v>1979</v>
      </c>
      <c r="B5056" t="s">
        <v>58</v>
      </c>
      <c r="C5056" t="s">
        <v>59</v>
      </c>
      <c r="D5056">
        <v>349754</v>
      </c>
    </row>
    <row r="5057" spans="1:4" x14ac:dyDescent="0.35">
      <c r="A5057" s="1">
        <v>1979</v>
      </c>
      <c r="B5057" t="s">
        <v>50</v>
      </c>
      <c r="C5057" t="s">
        <v>51</v>
      </c>
      <c r="D5057">
        <v>817026</v>
      </c>
    </row>
    <row r="5058" spans="1:4" x14ac:dyDescent="0.35">
      <c r="A5058" s="1">
        <v>1979</v>
      </c>
      <c r="B5058" t="s">
        <v>170</v>
      </c>
      <c r="C5058" t="s">
        <v>171</v>
      </c>
      <c r="D5058">
        <v>512813</v>
      </c>
    </row>
    <row r="5059" spans="1:4" x14ac:dyDescent="0.35">
      <c r="A5059" s="1">
        <v>1979</v>
      </c>
      <c r="B5059" t="s">
        <v>172</v>
      </c>
      <c r="C5059" t="s">
        <v>173</v>
      </c>
      <c r="D5059">
        <v>802606</v>
      </c>
    </row>
    <row r="5060" spans="1:4" x14ac:dyDescent="0.35">
      <c r="A5060" s="1">
        <v>1979</v>
      </c>
      <c r="B5060" t="s">
        <v>174</v>
      </c>
      <c r="C5060" t="s">
        <v>175</v>
      </c>
      <c r="D5060">
        <v>174900</v>
      </c>
    </row>
    <row r="5061" spans="1:4" x14ac:dyDescent="0.35">
      <c r="A5061" s="1">
        <v>1979</v>
      </c>
      <c r="B5061" t="s">
        <v>150</v>
      </c>
      <c r="C5061" t="s">
        <v>151</v>
      </c>
      <c r="D5061">
        <v>1096876</v>
      </c>
    </row>
    <row r="5062" spans="1:4" x14ac:dyDescent="0.35">
      <c r="A5062" s="1">
        <v>1979</v>
      </c>
      <c r="B5062" t="s">
        <v>176</v>
      </c>
      <c r="C5062" t="s">
        <v>177</v>
      </c>
      <c r="D5062">
        <v>678453</v>
      </c>
    </row>
    <row r="5063" spans="1:4" x14ac:dyDescent="0.35">
      <c r="A5063" s="1">
        <v>1979</v>
      </c>
      <c r="B5063" t="s">
        <v>52</v>
      </c>
      <c r="C5063" t="s">
        <v>53</v>
      </c>
      <c r="D5063">
        <v>727871</v>
      </c>
    </row>
    <row r="5064" spans="1:4" x14ac:dyDescent="0.35">
      <c r="A5064" s="1">
        <v>1979</v>
      </c>
      <c r="B5064" t="s">
        <v>60</v>
      </c>
      <c r="C5064" t="s">
        <v>61</v>
      </c>
      <c r="D5064">
        <v>245904</v>
      </c>
    </row>
    <row r="5065" spans="1:4" x14ac:dyDescent="0.35">
      <c r="A5065" s="1">
        <v>1979</v>
      </c>
      <c r="B5065" t="s">
        <v>62</v>
      </c>
      <c r="C5065" t="s">
        <v>63</v>
      </c>
      <c r="D5065">
        <v>493654</v>
      </c>
    </row>
    <row r="5066" spans="1:4" x14ac:dyDescent="0.35">
      <c r="A5066" s="1">
        <v>1979</v>
      </c>
      <c r="B5066" t="s">
        <v>18</v>
      </c>
      <c r="C5066" t="s">
        <v>19</v>
      </c>
      <c r="D5066">
        <v>900657</v>
      </c>
    </row>
    <row r="5067" spans="1:4" x14ac:dyDescent="0.35">
      <c r="A5067" s="1">
        <v>1979</v>
      </c>
      <c r="B5067" t="s">
        <v>36</v>
      </c>
      <c r="C5067" t="s">
        <v>37</v>
      </c>
      <c r="D5067">
        <v>240882</v>
      </c>
    </row>
    <row r="5068" spans="1:4" x14ac:dyDescent="0.35">
      <c r="A5068" s="1">
        <v>1979</v>
      </c>
      <c r="B5068" t="s">
        <v>152</v>
      </c>
      <c r="C5068" t="s">
        <v>153</v>
      </c>
      <c r="D5068">
        <v>293227</v>
      </c>
    </row>
    <row r="5069" spans="1:4" x14ac:dyDescent="0.35">
      <c r="A5069" s="1">
        <v>1979</v>
      </c>
      <c r="B5069" t="s">
        <v>64</v>
      </c>
      <c r="C5069" t="s">
        <v>65</v>
      </c>
      <c r="D5069">
        <v>290853</v>
      </c>
    </row>
    <row r="5070" spans="1:4" x14ac:dyDescent="0.35">
      <c r="A5070" s="1">
        <v>1979</v>
      </c>
      <c r="B5070" t="s">
        <v>20</v>
      </c>
      <c r="C5070" t="s">
        <v>21</v>
      </c>
      <c r="D5070">
        <v>740300</v>
      </c>
    </row>
    <row r="5071" spans="1:4" x14ac:dyDescent="0.35">
      <c r="A5071" s="1">
        <v>1979</v>
      </c>
      <c r="B5071" t="s">
        <v>22</v>
      </c>
      <c r="C5071" t="s">
        <v>23</v>
      </c>
      <c r="D5071">
        <v>205788</v>
      </c>
    </row>
    <row r="5072" spans="1:4" x14ac:dyDescent="0.35">
      <c r="A5072" s="1">
        <v>1979</v>
      </c>
      <c r="B5072" t="s">
        <v>190</v>
      </c>
      <c r="C5072" t="s">
        <v>191</v>
      </c>
      <c r="D5072">
        <v>967252</v>
      </c>
    </row>
    <row r="5073" spans="1:4" x14ac:dyDescent="0.35">
      <c r="A5073" s="1">
        <v>1979</v>
      </c>
      <c r="B5073" t="s">
        <v>66</v>
      </c>
      <c r="C5073" t="s">
        <v>67</v>
      </c>
      <c r="D5073">
        <v>513944</v>
      </c>
    </row>
    <row r="5074" spans="1:4" x14ac:dyDescent="0.35">
      <c r="A5074" s="1">
        <v>1979</v>
      </c>
      <c r="B5074" t="s">
        <v>178</v>
      </c>
      <c r="C5074" t="s">
        <v>179</v>
      </c>
      <c r="D5074">
        <v>152669</v>
      </c>
    </row>
    <row r="5075" spans="1:4" x14ac:dyDescent="0.35">
      <c r="A5075" s="1">
        <v>1979</v>
      </c>
      <c r="B5075" t="s">
        <v>154</v>
      </c>
      <c r="C5075" t="s">
        <v>155</v>
      </c>
      <c r="D5075">
        <v>295535</v>
      </c>
    </row>
    <row r="5076" spans="1:4" x14ac:dyDescent="0.35">
      <c r="A5076" s="1">
        <v>1979</v>
      </c>
      <c r="B5076" t="s">
        <v>180</v>
      </c>
      <c r="C5076" t="s">
        <v>181</v>
      </c>
      <c r="D5076">
        <v>74460</v>
      </c>
    </row>
    <row r="5077" spans="1:4" x14ac:dyDescent="0.35">
      <c r="A5077" s="1">
        <v>1979</v>
      </c>
      <c r="B5077" t="s">
        <v>192</v>
      </c>
      <c r="C5077" t="s">
        <v>193</v>
      </c>
      <c r="D5077">
        <v>653800</v>
      </c>
    </row>
    <row r="5078" spans="1:4" x14ac:dyDescent="0.35">
      <c r="A5078" s="1">
        <v>1979</v>
      </c>
      <c r="B5078" t="s">
        <v>134</v>
      </c>
      <c r="C5078" t="s">
        <v>135</v>
      </c>
      <c r="D5078">
        <v>459164</v>
      </c>
    </row>
    <row r="5079" spans="1:4" x14ac:dyDescent="0.35">
      <c r="A5079" s="1">
        <v>1979</v>
      </c>
      <c r="B5079" t="s">
        <v>88</v>
      </c>
      <c r="C5079" t="s">
        <v>89</v>
      </c>
      <c r="D5079">
        <v>536583</v>
      </c>
    </row>
    <row r="5080" spans="1:4" x14ac:dyDescent="0.35">
      <c r="A5080" s="1">
        <v>1979</v>
      </c>
      <c r="B5080" t="s">
        <v>90</v>
      </c>
      <c r="C5080" t="s">
        <v>91</v>
      </c>
      <c r="D5080">
        <v>211190</v>
      </c>
    </row>
    <row r="5081" spans="1:4" x14ac:dyDescent="0.35">
      <c r="A5081" s="1">
        <v>1979</v>
      </c>
      <c r="B5081" t="s">
        <v>194</v>
      </c>
      <c r="C5081" t="s">
        <v>195</v>
      </c>
      <c r="D5081">
        <v>267197</v>
      </c>
    </row>
    <row r="5082" spans="1:4" x14ac:dyDescent="0.35">
      <c r="A5082" s="1">
        <v>1979</v>
      </c>
      <c r="B5082" t="s">
        <v>92</v>
      </c>
      <c r="C5082" t="s">
        <v>93</v>
      </c>
      <c r="D5082">
        <v>718640</v>
      </c>
    </row>
    <row r="5083" spans="1:4" x14ac:dyDescent="0.35">
      <c r="A5083" s="1">
        <v>1979</v>
      </c>
      <c r="B5083" t="s">
        <v>94</v>
      </c>
      <c r="C5083" t="s">
        <v>95</v>
      </c>
      <c r="D5083">
        <v>201862</v>
      </c>
    </row>
    <row r="5084" spans="1:4" x14ac:dyDescent="0.35">
      <c r="A5084" s="1">
        <v>1979</v>
      </c>
      <c r="B5084" t="s">
        <v>54</v>
      </c>
      <c r="C5084" t="s">
        <v>55</v>
      </c>
      <c r="D5084">
        <v>578529</v>
      </c>
    </row>
    <row r="5085" spans="1:4" x14ac:dyDescent="0.35">
      <c r="A5085" s="1">
        <v>1979</v>
      </c>
      <c r="B5085" t="s">
        <v>96</v>
      </c>
      <c r="C5085" t="s">
        <v>97</v>
      </c>
      <c r="D5085">
        <v>1005020</v>
      </c>
    </row>
    <row r="5086" spans="1:4" x14ac:dyDescent="0.35">
      <c r="A5086" s="1">
        <v>1979</v>
      </c>
      <c r="B5086" t="s">
        <v>38</v>
      </c>
      <c r="C5086" t="s">
        <v>39</v>
      </c>
      <c r="D5086">
        <v>242287</v>
      </c>
    </row>
    <row r="5087" spans="1:4" x14ac:dyDescent="0.35">
      <c r="A5087" s="1">
        <v>1979</v>
      </c>
      <c r="B5087" t="s">
        <v>106</v>
      </c>
      <c r="C5087" t="s">
        <v>107</v>
      </c>
      <c r="D5087">
        <v>2509918</v>
      </c>
    </row>
    <row r="5088" spans="1:4" x14ac:dyDescent="0.35">
      <c r="A5088" s="1">
        <v>1979</v>
      </c>
      <c r="B5088" t="s">
        <v>108</v>
      </c>
      <c r="C5088" t="s">
        <v>109</v>
      </c>
      <c r="D5088">
        <v>635413</v>
      </c>
    </row>
    <row r="5089" spans="1:4" x14ac:dyDescent="0.35">
      <c r="A5089" s="1">
        <v>1979</v>
      </c>
      <c r="B5089" t="s">
        <v>136</v>
      </c>
      <c r="C5089" t="s">
        <v>137</v>
      </c>
      <c r="D5089">
        <v>294484</v>
      </c>
    </row>
    <row r="5090" spans="1:4" x14ac:dyDescent="0.35">
      <c r="A5090" s="1">
        <v>1979</v>
      </c>
      <c r="B5090" t="s">
        <v>110</v>
      </c>
      <c r="C5090" t="s">
        <v>111</v>
      </c>
      <c r="D5090">
        <v>1406273</v>
      </c>
    </row>
    <row r="5091" spans="1:4" x14ac:dyDescent="0.35">
      <c r="A5091" s="1">
        <v>1979</v>
      </c>
      <c r="B5091" t="s">
        <v>24</v>
      </c>
      <c r="C5091" t="s">
        <v>25</v>
      </c>
      <c r="D5091">
        <v>587749</v>
      </c>
    </row>
    <row r="5092" spans="1:4" x14ac:dyDescent="0.35">
      <c r="A5092" s="1">
        <v>1979</v>
      </c>
      <c r="B5092" t="s">
        <v>156</v>
      </c>
      <c r="C5092" t="s">
        <v>157</v>
      </c>
      <c r="D5092">
        <v>546040</v>
      </c>
    </row>
    <row r="5093" spans="1:4" x14ac:dyDescent="0.35">
      <c r="A5093" s="1">
        <v>1979</v>
      </c>
      <c r="B5093" t="s">
        <v>182</v>
      </c>
      <c r="C5093" t="s">
        <v>183</v>
      </c>
      <c r="D5093">
        <v>227209</v>
      </c>
    </row>
    <row r="5094" spans="1:4" x14ac:dyDescent="0.35">
      <c r="A5094" s="1">
        <v>1979</v>
      </c>
      <c r="B5094" t="s">
        <v>184</v>
      </c>
      <c r="C5094" t="s">
        <v>185</v>
      </c>
      <c r="D5094">
        <v>318277</v>
      </c>
    </row>
    <row r="5095" spans="1:4" x14ac:dyDescent="0.35">
      <c r="A5095" s="1">
        <v>1979</v>
      </c>
      <c r="B5095" t="s">
        <v>98</v>
      </c>
      <c r="C5095" t="s">
        <v>99</v>
      </c>
      <c r="D5095">
        <v>898888</v>
      </c>
    </row>
    <row r="5096" spans="1:4" x14ac:dyDescent="0.35">
      <c r="A5096" s="1">
        <v>1979</v>
      </c>
      <c r="B5096" t="s">
        <v>100</v>
      </c>
      <c r="C5096" t="s">
        <v>101</v>
      </c>
      <c r="D5096">
        <v>642253</v>
      </c>
    </row>
    <row r="5097" spans="1:4" x14ac:dyDescent="0.35">
      <c r="A5097" s="1">
        <v>1979</v>
      </c>
      <c r="B5097" t="s">
        <v>26</v>
      </c>
      <c r="C5097" t="s">
        <v>27</v>
      </c>
      <c r="D5097">
        <v>1435584</v>
      </c>
    </row>
    <row r="5098" spans="1:4" x14ac:dyDescent="0.35">
      <c r="A5098" s="1">
        <v>1979</v>
      </c>
      <c r="B5098" t="s">
        <v>40</v>
      </c>
      <c r="C5098" t="s">
        <v>41</v>
      </c>
      <c r="D5098">
        <v>227352</v>
      </c>
    </row>
    <row r="5099" spans="1:4" x14ac:dyDescent="0.35">
      <c r="A5099" s="1">
        <v>1979</v>
      </c>
      <c r="B5099" t="s">
        <v>42</v>
      </c>
      <c r="C5099" t="s">
        <v>43</v>
      </c>
      <c r="D5099">
        <v>570742</v>
      </c>
    </row>
    <row r="5100" spans="1:4" x14ac:dyDescent="0.35">
      <c r="A5100" s="1">
        <v>1979</v>
      </c>
      <c r="B5100" t="s">
        <v>196</v>
      </c>
      <c r="C5100" t="s">
        <v>197</v>
      </c>
      <c r="D5100">
        <v>498605</v>
      </c>
    </row>
    <row r="5101" spans="1:4" x14ac:dyDescent="0.35">
      <c r="A5101" s="1">
        <v>1979</v>
      </c>
      <c r="B5101" t="s">
        <v>28</v>
      </c>
      <c r="C5101" t="s">
        <v>29</v>
      </c>
      <c r="D5101">
        <v>314843</v>
      </c>
    </row>
    <row r="5102" spans="1:4" x14ac:dyDescent="0.35">
      <c r="A5102" s="1">
        <v>1979</v>
      </c>
      <c r="B5102" t="s">
        <v>30</v>
      </c>
      <c r="C5102" t="s">
        <v>31</v>
      </c>
      <c r="D5102">
        <v>472146</v>
      </c>
    </row>
    <row r="5103" spans="1:4" x14ac:dyDescent="0.35">
      <c r="A5103" s="1">
        <v>1979</v>
      </c>
      <c r="B5103" t="s">
        <v>114</v>
      </c>
      <c r="C5103" t="s">
        <v>115</v>
      </c>
      <c r="D5103">
        <v>2229529</v>
      </c>
    </row>
    <row r="5104" spans="1:4" x14ac:dyDescent="0.35">
      <c r="A5104" s="1">
        <v>1979</v>
      </c>
      <c r="B5104" t="s">
        <v>138</v>
      </c>
      <c r="C5104" t="s">
        <v>139</v>
      </c>
      <c r="D5104">
        <v>1182570</v>
      </c>
    </row>
    <row r="5105" spans="1:4" x14ac:dyDescent="0.35">
      <c r="A5105" s="1">
        <v>1979</v>
      </c>
      <c r="B5105" t="s">
        <v>116</v>
      </c>
      <c r="C5105" t="s">
        <v>117</v>
      </c>
      <c r="D5105">
        <v>824625</v>
      </c>
    </row>
    <row r="5106" spans="1:4" x14ac:dyDescent="0.35">
      <c r="A5106" s="1">
        <v>1979</v>
      </c>
      <c r="B5106" t="s">
        <v>118</v>
      </c>
      <c r="C5106" t="s">
        <v>119</v>
      </c>
      <c r="D5106">
        <v>1142848</v>
      </c>
    </row>
    <row r="5107" spans="1:4" x14ac:dyDescent="0.35">
      <c r="A5107" s="1">
        <v>1979</v>
      </c>
      <c r="B5107" t="s">
        <v>158</v>
      </c>
      <c r="C5107" t="s">
        <v>159</v>
      </c>
      <c r="D5107">
        <v>339882</v>
      </c>
    </row>
    <row r="5108" spans="1:4" x14ac:dyDescent="0.35">
      <c r="A5108" s="1">
        <v>1979</v>
      </c>
      <c r="B5108" t="s">
        <v>112</v>
      </c>
      <c r="C5108" t="s">
        <v>113</v>
      </c>
      <c r="D5108">
        <v>541772</v>
      </c>
    </row>
    <row r="5109" spans="1:4" x14ac:dyDescent="0.35">
      <c r="A5109" s="1">
        <v>1979</v>
      </c>
      <c r="B5109" t="s">
        <v>186</v>
      </c>
      <c r="C5109" t="s">
        <v>187</v>
      </c>
      <c r="D5109">
        <v>338797</v>
      </c>
    </row>
    <row r="5110" spans="1:4" x14ac:dyDescent="0.35">
      <c r="A5110" s="1">
        <v>1979</v>
      </c>
      <c r="B5110" t="s">
        <v>188</v>
      </c>
      <c r="C5110" t="s">
        <v>189</v>
      </c>
      <c r="D5110">
        <v>187366</v>
      </c>
    </row>
    <row r="5111" spans="1:4" x14ac:dyDescent="0.35">
      <c r="A5111" s="1">
        <v>1979</v>
      </c>
      <c r="B5111" t="s">
        <v>208</v>
      </c>
      <c r="C5111" t="s">
        <v>209</v>
      </c>
      <c r="D5111">
        <v>669878</v>
      </c>
    </row>
    <row r="5112" spans="1:4" x14ac:dyDescent="0.35">
      <c r="A5112" s="1">
        <v>1979</v>
      </c>
      <c r="B5112" t="s">
        <v>210</v>
      </c>
      <c r="C5112" t="s">
        <v>211</v>
      </c>
      <c r="D5112">
        <v>409938</v>
      </c>
    </row>
    <row r="5113" spans="1:4" x14ac:dyDescent="0.35">
      <c r="A5113" s="1">
        <v>1979</v>
      </c>
      <c r="B5113" t="s">
        <v>198</v>
      </c>
      <c r="C5113" t="s">
        <v>199</v>
      </c>
      <c r="D5113">
        <v>468206</v>
      </c>
    </row>
    <row r="5114" spans="1:4" x14ac:dyDescent="0.35">
      <c r="A5114" s="1">
        <v>1979</v>
      </c>
      <c r="B5114" t="s">
        <v>160</v>
      </c>
      <c r="C5114" t="s">
        <v>161</v>
      </c>
      <c r="D5114">
        <v>364983</v>
      </c>
    </row>
    <row r="5115" spans="1:4" x14ac:dyDescent="0.35">
      <c r="A5115" s="1">
        <v>1979</v>
      </c>
      <c r="B5115" t="s">
        <v>162</v>
      </c>
      <c r="C5115" t="s">
        <v>163</v>
      </c>
      <c r="D5115">
        <v>354112</v>
      </c>
    </row>
    <row r="5116" spans="1:4" x14ac:dyDescent="0.35">
      <c r="A5116" s="1">
        <v>1979</v>
      </c>
      <c r="B5116" t="s">
        <v>102</v>
      </c>
      <c r="C5116" t="s">
        <v>103</v>
      </c>
      <c r="D5116">
        <v>396648</v>
      </c>
    </row>
    <row r="5117" spans="1:4" x14ac:dyDescent="0.35">
      <c r="A5117" s="1">
        <v>1979</v>
      </c>
      <c r="B5117" t="s">
        <v>44</v>
      </c>
      <c r="C5117" t="s">
        <v>45</v>
      </c>
      <c r="D5117">
        <v>305632</v>
      </c>
    </row>
    <row r="5118" spans="1:4" x14ac:dyDescent="0.35">
      <c r="A5118" s="1">
        <v>1979</v>
      </c>
      <c r="B5118" t="s">
        <v>46</v>
      </c>
      <c r="C5118" t="s">
        <v>221</v>
      </c>
      <c r="D5118">
        <v>130262</v>
      </c>
    </row>
    <row r="5119" spans="1:4" x14ac:dyDescent="0.35">
      <c r="A5119" s="1">
        <v>1979</v>
      </c>
      <c r="B5119" t="s">
        <v>120</v>
      </c>
      <c r="C5119" t="s">
        <v>121</v>
      </c>
      <c r="D5119">
        <v>956940</v>
      </c>
    </row>
    <row r="5120" spans="1:4" x14ac:dyDescent="0.35">
      <c r="A5120" s="1">
        <v>1979</v>
      </c>
      <c r="B5120" t="s">
        <v>122</v>
      </c>
      <c r="C5120" t="s">
        <v>222</v>
      </c>
      <c r="D5120">
        <v>1407750</v>
      </c>
    </row>
    <row r="5121" spans="1:4" x14ac:dyDescent="0.35">
      <c r="A5121" s="1">
        <v>1979</v>
      </c>
      <c r="B5121" t="s">
        <v>124</v>
      </c>
      <c r="C5121" t="s">
        <v>125</v>
      </c>
      <c r="D5121">
        <v>1319168</v>
      </c>
    </row>
    <row r="5122" spans="1:4" x14ac:dyDescent="0.35">
      <c r="A5122" s="1">
        <v>1979</v>
      </c>
      <c r="B5122" t="s">
        <v>126</v>
      </c>
      <c r="C5122" t="s">
        <v>127</v>
      </c>
      <c r="D5122">
        <v>1200664</v>
      </c>
    </row>
    <row r="5123" spans="1:4" x14ac:dyDescent="0.35">
      <c r="A5123" s="1">
        <v>1979</v>
      </c>
      <c r="B5123" t="s">
        <v>128</v>
      </c>
      <c r="C5123" t="s">
        <v>129</v>
      </c>
      <c r="D5123">
        <v>882365</v>
      </c>
    </row>
    <row r="5124" spans="1:4" x14ac:dyDescent="0.35">
      <c r="A5124" s="1">
        <v>1979</v>
      </c>
      <c r="B5124" t="s">
        <v>257</v>
      </c>
      <c r="D5124">
        <v>53481073</v>
      </c>
    </row>
    <row r="5125" spans="1:4" x14ac:dyDescent="0.35">
      <c r="A5125" s="1">
        <v>1979</v>
      </c>
    </row>
    <row r="5126" spans="1:4" x14ac:dyDescent="0.35">
      <c r="A5126" s="1">
        <v>1979</v>
      </c>
      <c r="B5126" t="s">
        <v>240</v>
      </c>
    </row>
    <row r="5127" spans="1:4" x14ac:dyDescent="0.35">
      <c r="A5127" s="1">
        <v>1979</v>
      </c>
      <c r="B5127" t="s">
        <v>278</v>
      </c>
    </row>
    <row r="5128" spans="1:4" x14ac:dyDescent="0.35">
      <c r="A5128" s="1">
        <v>1978</v>
      </c>
      <c r="B5128" t="s">
        <v>251</v>
      </c>
    </row>
    <row r="5129" spans="1:4" x14ac:dyDescent="0.35">
      <c r="A5129" s="1">
        <v>1978</v>
      </c>
      <c r="B5129" t="s">
        <v>289</v>
      </c>
    </row>
    <row r="5130" spans="1:4" x14ac:dyDescent="0.35">
      <c r="A5130" s="1">
        <v>1978</v>
      </c>
    </row>
    <row r="5131" spans="1:4" x14ac:dyDescent="0.35">
      <c r="A5131" s="1">
        <v>1978</v>
      </c>
      <c r="B5131" t="s">
        <v>231</v>
      </c>
    </row>
    <row r="5132" spans="1:4" x14ac:dyDescent="0.35">
      <c r="A5132" s="1">
        <v>1978</v>
      </c>
      <c r="D5132" t="s">
        <v>232</v>
      </c>
    </row>
    <row r="5133" spans="1:4" x14ac:dyDescent="0.35">
      <c r="A5133" s="1">
        <v>1978</v>
      </c>
      <c r="B5133" t="s">
        <v>5</v>
      </c>
      <c r="C5133" t="s">
        <v>6</v>
      </c>
      <c r="D5133">
        <v>392980</v>
      </c>
    </row>
    <row r="5134" spans="1:4" x14ac:dyDescent="0.35">
      <c r="A5134" s="1">
        <v>1978</v>
      </c>
      <c r="B5134" t="s">
        <v>104</v>
      </c>
      <c r="C5134" t="s">
        <v>105</v>
      </c>
      <c r="D5134">
        <v>533919</v>
      </c>
    </row>
    <row r="5135" spans="1:4" x14ac:dyDescent="0.35">
      <c r="A5135" s="1">
        <v>1978</v>
      </c>
      <c r="B5135" t="s">
        <v>10</v>
      </c>
      <c r="C5135" t="s">
        <v>11</v>
      </c>
      <c r="D5135">
        <v>374808</v>
      </c>
    </row>
    <row r="5136" spans="1:4" x14ac:dyDescent="0.35">
      <c r="A5136" s="1">
        <v>1978</v>
      </c>
      <c r="B5136" t="s">
        <v>200</v>
      </c>
      <c r="C5136" t="s">
        <v>201</v>
      </c>
      <c r="D5136">
        <v>114927</v>
      </c>
    </row>
    <row r="5137" spans="1:4" x14ac:dyDescent="0.35">
      <c r="A5137" s="1">
        <v>1978</v>
      </c>
      <c r="B5137" t="s">
        <v>202</v>
      </c>
      <c r="C5137" t="s">
        <v>203</v>
      </c>
      <c r="D5137">
        <v>100572</v>
      </c>
    </row>
    <row r="5138" spans="1:4" x14ac:dyDescent="0.35">
      <c r="A5138" s="1">
        <v>1978</v>
      </c>
      <c r="B5138" t="s">
        <v>204</v>
      </c>
      <c r="C5138" t="s">
        <v>205</v>
      </c>
      <c r="D5138">
        <v>841877</v>
      </c>
    </row>
    <row r="5139" spans="1:4" x14ac:dyDescent="0.35">
      <c r="A5139" s="1">
        <v>1978</v>
      </c>
      <c r="B5139" t="s">
        <v>12</v>
      </c>
      <c r="C5139" t="s">
        <v>13</v>
      </c>
      <c r="D5139">
        <v>261440</v>
      </c>
    </row>
    <row r="5140" spans="1:4" x14ac:dyDescent="0.35">
      <c r="A5140" s="1">
        <v>1978</v>
      </c>
      <c r="B5140" t="s">
        <v>84</v>
      </c>
      <c r="C5140" t="s">
        <v>85</v>
      </c>
      <c r="D5140">
        <v>306674</v>
      </c>
    </row>
    <row r="5141" spans="1:4" x14ac:dyDescent="0.35">
      <c r="A5141" s="1">
        <v>1978</v>
      </c>
      <c r="B5141" t="s">
        <v>164</v>
      </c>
      <c r="C5141" t="s">
        <v>165</v>
      </c>
      <c r="D5141">
        <v>136898</v>
      </c>
    </row>
    <row r="5142" spans="1:4" x14ac:dyDescent="0.35">
      <c r="A5142" s="1">
        <v>1978</v>
      </c>
      <c r="B5142" t="s">
        <v>86</v>
      </c>
      <c r="C5142" t="s">
        <v>87</v>
      </c>
      <c r="D5142">
        <v>286734</v>
      </c>
    </row>
    <row r="5143" spans="1:4" x14ac:dyDescent="0.35">
      <c r="A5143" s="1">
        <v>1978</v>
      </c>
      <c r="B5143" t="s">
        <v>166</v>
      </c>
      <c r="C5143" t="s">
        <v>167</v>
      </c>
      <c r="D5143">
        <v>275783</v>
      </c>
    </row>
    <row r="5144" spans="1:4" x14ac:dyDescent="0.35">
      <c r="A5144" s="1">
        <v>1978</v>
      </c>
      <c r="B5144" t="s">
        <v>168</v>
      </c>
      <c r="C5144" t="s">
        <v>169</v>
      </c>
      <c r="D5144">
        <v>278594</v>
      </c>
    </row>
    <row r="5145" spans="1:4" x14ac:dyDescent="0.35">
      <c r="A5145" s="1">
        <v>1978</v>
      </c>
      <c r="B5145" t="s">
        <v>206</v>
      </c>
      <c r="C5145" t="s">
        <v>207</v>
      </c>
      <c r="D5145">
        <v>1669517</v>
      </c>
    </row>
    <row r="5146" spans="1:4" x14ac:dyDescent="0.35">
      <c r="A5146" s="1">
        <v>1978</v>
      </c>
      <c r="B5146" t="s">
        <v>130</v>
      </c>
      <c r="C5146" t="s">
        <v>131</v>
      </c>
      <c r="D5146">
        <v>572295</v>
      </c>
    </row>
    <row r="5147" spans="1:4" x14ac:dyDescent="0.35">
      <c r="A5147" s="1">
        <v>1978</v>
      </c>
      <c r="B5147" t="s">
        <v>14</v>
      </c>
      <c r="C5147" t="s">
        <v>15</v>
      </c>
      <c r="D5147">
        <v>165307</v>
      </c>
    </row>
    <row r="5148" spans="1:4" x14ac:dyDescent="0.35">
      <c r="A5148" s="1">
        <v>1978</v>
      </c>
      <c r="B5148" t="s">
        <v>140</v>
      </c>
      <c r="C5148" t="s">
        <v>141</v>
      </c>
      <c r="D5148">
        <v>338965</v>
      </c>
    </row>
    <row r="5149" spans="1:4" x14ac:dyDescent="0.35">
      <c r="A5149" s="1">
        <v>1978</v>
      </c>
      <c r="B5149" t="s">
        <v>142</v>
      </c>
      <c r="C5149" t="s">
        <v>143</v>
      </c>
      <c r="D5149">
        <v>504081</v>
      </c>
    </row>
    <row r="5150" spans="1:4" x14ac:dyDescent="0.35">
      <c r="A5150" s="1">
        <v>1978</v>
      </c>
      <c r="B5150" t="s">
        <v>56</v>
      </c>
      <c r="C5150" t="s">
        <v>57</v>
      </c>
      <c r="D5150">
        <v>317831</v>
      </c>
    </row>
    <row r="5151" spans="1:4" x14ac:dyDescent="0.35">
      <c r="A5151" s="1">
        <v>1978</v>
      </c>
      <c r="B5151" t="s">
        <v>144</v>
      </c>
      <c r="C5151" t="s">
        <v>145</v>
      </c>
      <c r="D5151">
        <v>241215</v>
      </c>
    </row>
    <row r="5152" spans="1:4" x14ac:dyDescent="0.35">
      <c r="A5152" s="1">
        <v>1978</v>
      </c>
      <c r="B5152" t="s">
        <v>68</v>
      </c>
      <c r="C5152" t="s">
        <v>69</v>
      </c>
      <c r="D5152">
        <v>104333</v>
      </c>
    </row>
    <row r="5153" spans="1:4" x14ac:dyDescent="0.35">
      <c r="A5153" s="1">
        <v>1978</v>
      </c>
      <c r="B5153" t="s">
        <v>70</v>
      </c>
      <c r="C5153" t="s">
        <v>71</v>
      </c>
      <c r="D5153">
        <v>128022</v>
      </c>
    </row>
    <row r="5154" spans="1:4" x14ac:dyDescent="0.35">
      <c r="A5154" s="1">
        <v>1978</v>
      </c>
      <c r="B5154" t="s">
        <v>32</v>
      </c>
      <c r="C5154" t="s">
        <v>219</v>
      </c>
      <c r="D5154">
        <v>463018</v>
      </c>
    </row>
    <row r="5155" spans="1:4" x14ac:dyDescent="0.35">
      <c r="A5155" s="1">
        <v>1978</v>
      </c>
      <c r="B5155" t="s">
        <v>48</v>
      </c>
      <c r="C5155" t="s">
        <v>220</v>
      </c>
      <c r="D5155">
        <v>531240</v>
      </c>
    </row>
    <row r="5156" spans="1:4" x14ac:dyDescent="0.35">
      <c r="A5156" s="1">
        <v>1978</v>
      </c>
      <c r="B5156" t="s">
        <v>146</v>
      </c>
      <c r="C5156" t="s">
        <v>147</v>
      </c>
      <c r="D5156">
        <v>143813</v>
      </c>
    </row>
    <row r="5157" spans="1:4" x14ac:dyDescent="0.35">
      <c r="A5157" s="1">
        <v>1978</v>
      </c>
      <c r="B5157" t="s">
        <v>148</v>
      </c>
      <c r="C5157" t="s">
        <v>149</v>
      </c>
      <c r="D5157">
        <v>374971</v>
      </c>
    </row>
    <row r="5158" spans="1:4" x14ac:dyDescent="0.35">
      <c r="A5158" s="1">
        <v>1978</v>
      </c>
      <c r="B5158" t="s">
        <v>34</v>
      </c>
      <c r="C5158" t="s">
        <v>35</v>
      </c>
      <c r="D5158">
        <v>473541</v>
      </c>
    </row>
    <row r="5159" spans="1:4" x14ac:dyDescent="0.35">
      <c r="A5159" s="1">
        <v>1978</v>
      </c>
      <c r="B5159" t="s">
        <v>16</v>
      </c>
      <c r="C5159" t="s">
        <v>17</v>
      </c>
      <c r="D5159">
        <v>372333</v>
      </c>
    </row>
    <row r="5160" spans="1:4" x14ac:dyDescent="0.35">
      <c r="A5160" s="1">
        <v>1978</v>
      </c>
      <c r="B5160" t="s">
        <v>132</v>
      </c>
      <c r="C5160" t="s">
        <v>133</v>
      </c>
      <c r="D5160">
        <v>438373</v>
      </c>
    </row>
    <row r="5161" spans="1:4" x14ac:dyDescent="0.35">
      <c r="A5161" s="1">
        <v>1978</v>
      </c>
      <c r="B5161" t="s">
        <v>58</v>
      </c>
      <c r="C5161" t="s">
        <v>59</v>
      </c>
      <c r="D5161">
        <v>346042</v>
      </c>
    </row>
    <row r="5162" spans="1:4" x14ac:dyDescent="0.35">
      <c r="A5162" s="1">
        <v>1978</v>
      </c>
      <c r="B5162" t="s">
        <v>50</v>
      </c>
      <c r="C5162" t="s">
        <v>51</v>
      </c>
      <c r="D5162">
        <v>813911</v>
      </c>
    </row>
    <row r="5163" spans="1:4" x14ac:dyDescent="0.35">
      <c r="A5163" s="1">
        <v>1978</v>
      </c>
      <c r="B5163" t="s">
        <v>170</v>
      </c>
      <c r="C5163" t="s">
        <v>171</v>
      </c>
      <c r="D5163">
        <v>508339</v>
      </c>
    </row>
    <row r="5164" spans="1:4" x14ac:dyDescent="0.35">
      <c r="A5164" s="1">
        <v>1978</v>
      </c>
      <c r="B5164" t="s">
        <v>172</v>
      </c>
      <c r="C5164" t="s">
        <v>173</v>
      </c>
      <c r="D5164">
        <v>796513</v>
      </c>
    </row>
    <row r="5165" spans="1:4" x14ac:dyDescent="0.35">
      <c r="A5165" s="1">
        <v>1978</v>
      </c>
      <c r="B5165" t="s">
        <v>174</v>
      </c>
      <c r="C5165" t="s">
        <v>175</v>
      </c>
      <c r="D5165">
        <v>175219</v>
      </c>
    </row>
    <row r="5166" spans="1:4" x14ac:dyDescent="0.35">
      <c r="A5166" s="1">
        <v>1978</v>
      </c>
      <c r="B5166" t="s">
        <v>150</v>
      </c>
      <c r="C5166" t="s">
        <v>151</v>
      </c>
      <c r="D5166">
        <v>1088355</v>
      </c>
    </row>
    <row r="5167" spans="1:4" x14ac:dyDescent="0.35">
      <c r="A5167" s="1">
        <v>1978</v>
      </c>
      <c r="B5167" t="s">
        <v>176</v>
      </c>
      <c r="C5167" t="s">
        <v>177</v>
      </c>
      <c r="D5167">
        <v>671090</v>
      </c>
    </row>
    <row r="5168" spans="1:4" x14ac:dyDescent="0.35">
      <c r="A5168" s="1">
        <v>1978</v>
      </c>
      <c r="B5168" t="s">
        <v>52</v>
      </c>
      <c r="C5168" t="s">
        <v>53</v>
      </c>
      <c r="D5168">
        <v>721473</v>
      </c>
    </row>
    <row r="5169" spans="1:4" x14ac:dyDescent="0.35">
      <c r="A5169" s="1">
        <v>1978</v>
      </c>
      <c r="B5169" t="s">
        <v>60</v>
      </c>
      <c r="C5169" t="s">
        <v>61</v>
      </c>
      <c r="D5169">
        <v>246754</v>
      </c>
    </row>
    <row r="5170" spans="1:4" x14ac:dyDescent="0.35">
      <c r="A5170" s="1">
        <v>1978</v>
      </c>
      <c r="B5170" t="s">
        <v>62</v>
      </c>
      <c r="C5170" t="s">
        <v>63</v>
      </c>
      <c r="D5170">
        <v>490005</v>
      </c>
    </row>
    <row r="5171" spans="1:4" x14ac:dyDescent="0.35">
      <c r="A5171" s="1">
        <v>1978</v>
      </c>
      <c r="B5171" t="s">
        <v>18</v>
      </c>
      <c r="C5171" t="s">
        <v>19</v>
      </c>
      <c r="D5171">
        <v>890555</v>
      </c>
    </row>
    <row r="5172" spans="1:4" x14ac:dyDescent="0.35">
      <c r="A5172" s="1">
        <v>1978</v>
      </c>
      <c r="B5172" t="s">
        <v>36</v>
      </c>
      <c r="C5172" t="s">
        <v>37</v>
      </c>
      <c r="D5172">
        <v>240582</v>
      </c>
    </row>
    <row r="5173" spans="1:4" x14ac:dyDescent="0.35">
      <c r="A5173" s="1">
        <v>1978</v>
      </c>
      <c r="B5173" t="s">
        <v>152</v>
      </c>
      <c r="C5173" t="s">
        <v>153</v>
      </c>
      <c r="D5173">
        <v>292127</v>
      </c>
    </row>
    <row r="5174" spans="1:4" x14ac:dyDescent="0.35">
      <c r="A5174" s="1">
        <v>1978</v>
      </c>
      <c r="B5174" t="s">
        <v>64</v>
      </c>
      <c r="C5174" t="s">
        <v>65</v>
      </c>
      <c r="D5174">
        <v>289183</v>
      </c>
    </row>
    <row r="5175" spans="1:4" x14ac:dyDescent="0.35">
      <c r="A5175" s="1">
        <v>1978</v>
      </c>
      <c r="B5175" t="s">
        <v>20</v>
      </c>
      <c r="C5175" t="s">
        <v>21</v>
      </c>
      <c r="D5175">
        <v>741316</v>
      </c>
    </row>
    <row r="5176" spans="1:4" x14ac:dyDescent="0.35">
      <c r="A5176" s="1">
        <v>1978</v>
      </c>
      <c r="B5176" t="s">
        <v>22</v>
      </c>
      <c r="C5176" t="s">
        <v>23</v>
      </c>
      <c r="D5176">
        <v>205872</v>
      </c>
    </row>
    <row r="5177" spans="1:4" x14ac:dyDescent="0.35">
      <c r="A5177" s="1">
        <v>1978</v>
      </c>
      <c r="B5177" t="s">
        <v>190</v>
      </c>
      <c r="C5177" t="s">
        <v>191</v>
      </c>
      <c r="D5177">
        <v>958981</v>
      </c>
    </row>
    <row r="5178" spans="1:4" x14ac:dyDescent="0.35">
      <c r="A5178" s="1">
        <v>1978</v>
      </c>
      <c r="B5178" t="s">
        <v>66</v>
      </c>
      <c r="C5178" t="s">
        <v>67</v>
      </c>
      <c r="D5178">
        <v>507999</v>
      </c>
    </row>
    <row r="5179" spans="1:4" x14ac:dyDescent="0.35">
      <c r="A5179" s="1">
        <v>1978</v>
      </c>
      <c r="B5179" t="s">
        <v>178</v>
      </c>
      <c r="C5179" t="s">
        <v>179</v>
      </c>
      <c r="D5179">
        <v>152320</v>
      </c>
    </row>
    <row r="5180" spans="1:4" x14ac:dyDescent="0.35">
      <c r="A5180" s="1">
        <v>1978</v>
      </c>
      <c r="B5180" t="s">
        <v>154</v>
      </c>
      <c r="C5180" t="s">
        <v>155</v>
      </c>
      <c r="D5180">
        <v>294883</v>
      </c>
    </row>
    <row r="5181" spans="1:4" x14ac:dyDescent="0.35">
      <c r="A5181" s="1">
        <v>1978</v>
      </c>
      <c r="B5181" t="s">
        <v>180</v>
      </c>
      <c r="C5181" t="s">
        <v>181</v>
      </c>
      <c r="D5181">
        <v>74496</v>
      </c>
    </row>
    <row r="5182" spans="1:4" x14ac:dyDescent="0.35">
      <c r="A5182" s="1">
        <v>1978</v>
      </c>
      <c r="B5182" t="s">
        <v>192</v>
      </c>
      <c r="C5182" t="s">
        <v>193</v>
      </c>
      <c r="D5182">
        <v>647908</v>
      </c>
    </row>
    <row r="5183" spans="1:4" x14ac:dyDescent="0.35">
      <c r="A5183" s="1">
        <v>1978</v>
      </c>
      <c r="B5183" t="s">
        <v>134</v>
      </c>
      <c r="C5183" t="s">
        <v>135</v>
      </c>
      <c r="D5183">
        <v>457339</v>
      </c>
    </row>
    <row r="5184" spans="1:4" x14ac:dyDescent="0.35">
      <c r="A5184" s="1">
        <v>1978</v>
      </c>
      <c r="B5184" t="s">
        <v>88</v>
      </c>
      <c r="C5184" t="s">
        <v>89</v>
      </c>
      <c r="D5184">
        <v>534917</v>
      </c>
    </row>
    <row r="5185" spans="1:4" x14ac:dyDescent="0.35">
      <c r="A5185" s="1">
        <v>1978</v>
      </c>
      <c r="B5185" t="s">
        <v>90</v>
      </c>
      <c r="C5185" t="s">
        <v>91</v>
      </c>
      <c r="D5185">
        <v>211543</v>
      </c>
    </row>
    <row r="5186" spans="1:4" x14ac:dyDescent="0.35">
      <c r="A5186" s="1">
        <v>1978</v>
      </c>
      <c r="B5186" t="s">
        <v>194</v>
      </c>
      <c r="C5186" t="s">
        <v>195</v>
      </c>
      <c r="D5186">
        <v>265896</v>
      </c>
    </row>
    <row r="5187" spans="1:4" x14ac:dyDescent="0.35">
      <c r="A5187" s="1">
        <v>1978</v>
      </c>
      <c r="B5187" t="s">
        <v>92</v>
      </c>
      <c r="C5187" t="s">
        <v>93</v>
      </c>
      <c r="D5187">
        <v>720078</v>
      </c>
    </row>
    <row r="5188" spans="1:4" x14ac:dyDescent="0.35">
      <c r="A5188" s="1">
        <v>1978</v>
      </c>
      <c r="B5188" t="s">
        <v>94</v>
      </c>
      <c r="C5188" t="s">
        <v>95</v>
      </c>
      <c r="D5188">
        <v>202564</v>
      </c>
    </row>
    <row r="5189" spans="1:4" x14ac:dyDescent="0.35">
      <c r="A5189" s="1">
        <v>1978</v>
      </c>
      <c r="B5189" t="s">
        <v>54</v>
      </c>
      <c r="C5189" t="s">
        <v>55</v>
      </c>
      <c r="D5189">
        <v>574555</v>
      </c>
    </row>
    <row r="5190" spans="1:4" x14ac:dyDescent="0.35">
      <c r="A5190" s="1">
        <v>1978</v>
      </c>
      <c r="B5190" t="s">
        <v>96</v>
      </c>
      <c r="C5190" t="s">
        <v>97</v>
      </c>
      <c r="D5190">
        <v>1005883</v>
      </c>
    </row>
    <row r="5191" spans="1:4" x14ac:dyDescent="0.35">
      <c r="A5191" s="1">
        <v>1978</v>
      </c>
      <c r="B5191" t="s">
        <v>38</v>
      </c>
      <c r="C5191" t="s">
        <v>39</v>
      </c>
      <c r="D5191">
        <v>243267</v>
      </c>
    </row>
    <row r="5192" spans="1:4" x14ac:dyDescent="0.35">
      <c r="A5192" s="1">
        <v>1978</v>
      </c>
      <c r="B5192" t="s">
        <v>106</v>
      </c>
      <c r="C5192" t="s">
        <v>107</v>
      </c>
      <c r="D5192">
        <v>2510976</v>
      </c>
    </row>
    <row r="5193" spans="1:4" x14ac:dyDescent="0.35">
      <c r="A5193" s="1">
        <v>1978</v>
      </c>
      <c r="B5193" t="s">
        <v>108</v>
      </c>
      <c r="C5193" t="s">
        <v>109</v>
      </c>
      <c r="D5193">
        <v>628103</v>
      </c>
    </row>
    <row r="5194" spans="1:4" x14ac:dyDescent="0.35">
      <c r="A5194" s="1">
        <v>1978</v>
      </c>
      <c r="B5194" t="s">
        <v>136</v>
      </c>
      <c r="C5194" t="s">
        <v>137</v>
      </c>
      <c r="D5194">
        <v>294420</v>
      </c>
    </row>
    <row r="5195" spans="1:4" x14ac:dyDescent="0.35">
      <c r="A5195" s="1">
        <v>1978</v>
      </c>
      <c r="B5195" t="s">
        <v>110</v>
      </c>
      <c r="C5195" t="s">
        <v>111</v>
      </c>
      <c r="D5195">
        <v>1406375</v>
      </c>
    </row>
    <row r="5196" spans="1:4" x14ac:dyDescent="0.35">
      <c r="A5196" s="1">
        <v>1978</v>
      </c>
      <c r="B5196" t="s">
        <v>24</v>
      </c>
      <c r="C5196" t="s">
        <v>25</v>
      </c>
      <c r="D5196">
        <v>585699</v>
      </c>
    </row>
    <row r="5197" spans="1:4" x14ac:dyDescent="0.35">
      <c r="A5197" s="1">
        <v>1978</v>
      </c>
      <c r="B5197" t="s">
        <v>156</v>
      </c>
      <c r="C5197" t="s">
        <v>157</v>
      </c>
      <c r="D5197">
        <v>543473</v>
      </c>
    </row>
    <row r="5198" spans="1:4" x14ac:dyDescent="0.35">
      <c r="A5198" s="1">
        <v>1978</v>
      </c>
      <c r="B5198" t="s">
        <v>182</v>
      </c>
      <c r="C5198" t="s">
        <v>183</v>
      </c>
      <c r="D5198">
        <v>227302</v>
      </c>
    </row>
    <row r="5199" spans="1:4" x14ac:dyDescent="0.35">
      <c r="A5199" s="1">
        <v>1978</v>
      </c>
      <c r="B5199" t="s">
        <v>184</v>
      </c>
      <c r="C5199" t="s">
        <v>185</v>
      </c>
      <c r="D5199">
        <v>313931</v>
      </c>
    </row>
    <row r="5200" spans="1:4" x14ac:dyDescent="0.35">
      <c r="A5200" s="1">
        <v>1978</v>
      </c>
      <c r="B5200" t="s">
        <v>98</v>
      </c>
      <c r="C5200" t="s">
        <v>99</v>
      </c>
      <c r="D5200">
        <v>894737</v>
      </c>
    </row>
    <row r="5201" spans="1:4" x14ac:dyDescent="0.35">
      <c r="A5201" s="1">
        <v>1978</v>
      </c>
      <c r="B5201" t="s">
        <v>100</v>
      </c>
      <c r="C5201" t="s">
        <v>101</v>
      </c>
      <c r="D5201">
        <v>640591</v>
      </c>
    </row>
    <row r="5202" spans="1:4" x14ac:dyDescent="0.35">
      <c r="A5202" s="1">
        <v>1978</v>
      </c>
      <c r="B5202" t="s">
        <v>26</v>
      </c>
      <c r="C5202" t="s">
        <v>27</v>
      </c>
      <c r="D5202">
        <v>1433904</v>
      </c>
    </row>
    <row r="5203" spans="1:4" x14ac:dyDescent="0.35">
      <c r="A5203" s="1">
        <v>1978</v>
      </c>
      <c r="B5203" t="s">
        <v>40</v>
      </c>
      <c r="C5203" t="s">
        <v>41</v>
      </c>
      <c r="D5203">
        <v>226113</v>
      </c>
    </row>
    <row r="5204" spans="1:4" x14ac:dyDescent="0.35">
      <c r="A5204" s="1">
        <v>1978</v>
      </c>
      <c r="B5204" t="s">
        <v>42</v>
      </c>
      <c r="C5204" t="s">
        <v>43</v>
      </c>
      <c r="D5204">
        <v>570781</v>
      </c>
    </row>
    <row r="5205" spans="1:4" x14ac:dyDescent="0.35">
      <c r="A5205" s="1">
        <v>1978</v>
      </c>
      <c r="B5205" t="s">
        <v>196</v>
      </c>
      <c r="C5205" t="s">
        <v>197</v>
      </c>
      <c r="D5205">
        <v>496688</v>
      </c>
    </row>
    <row r="5206" spans="1:4" x14ac:dyDescent="0.35">
      <c r="A5206" s="1">
        <v>1978</v>
      </c>
      <c r="B5206" t="s">
        <v>28</v>
      </c>
      <c r="C5206" t="s">
        <v>29</v>
      </c>
      <c r="D5206">
        <v>312475</v>
      </c>
    </row>
    <row r="5207" spans="1:4" x14ac:dyDescent="0.35">
      <c r="A5207" s="1">
        <v>1978</v>
      </c>
      <c r="B5207" t="s">
        <v>30</v>
      </c>
      <c r="C5207" t="s">
        <v>31</v>
      </c>
      <c r="D5207">
        <v>465899</v>
      </c>
    </row>
    <row r="5208" spans="1:4" x14ac:dyDescent="0.35">
      <c r="A5208" s="1">
        <v>1978</v>
      </c>
      <c r="B5208" t="s">
        <v>114</v>
      </c>
      <c r="C5208" t="s">
        <v>115</v>
      </c>
      <c r="D5208">
        <v>2249644</v>
      </c>
    </row>
    <row r="5209" spans="1:4" x14ac:dyDescent="0.35">
      <c r="A5209" s="1">
        <v>1978</v>
      </c>
      <c r="B5209" t="s">
        <v>138</v>
      </c>
      <c r="C5209" t="s">
        <v>139</v>
      </c>
      <c r="D5209">
        <v>1180672</v>
      </c>
    </row>
    <row r="5210" spans="1:4" x14ac:dyDescent="0.35">
      <c r="A5210" s="1">
        <v>1978</v>
      </c>
      <c r="B5210" t="s">
        <v>116</v>
      </c>
      <c r="C5210" t="s">
        <v>117</v>
      </c>
      <c r="D5210">
        <v>807158</v>
      </c>
    </row>
    <row r="5211" spans="1:4" x14ac:dyDescent="0.35">
      <c r="A5211" s="1">
        <v>1978</v>
      </c>
      <c r="B5211" t="s">
        <v>118</v>
      </c>
      <c r="C5211" t="s">
        <v>119</v>
      </c>
      <c r="D5211">
        <v>1126479</v>
      </c>
    </row>
    <row r="5212" spans="1:4" x14ac:dyDescent="0.35">
      <c r="A5212" s="1">
        <v>1978</v>
      </c>
      <c r="B5212" t="s">
        <v>158</v>
      </c>
      <c r="C5212" t="s">
        <v>159</v>
      </c>
      <c r="D5212">
        <v>339064</v>
      </c>
    </row>
    <row r="5213" spans="1:4" x14ac:dyDescent="0.35">
      <c r="A5213" s="1">
        <v>1978</v>
      </c>
      <c r="B5213" t="s">
        <v>112</v>
      </c>
      <c r="C5213" t="s">
        <v>113</v>
      </c>
      <c r="D5213">
        <v>541247</v>
      </c>
    </row>
    <row r="5214" spans="1:4" x14ac:dyDescent="0.35">
      <c r="A5214" s="1">
        <v>1978</v>
      </c>
      <c r="B5214" t="s">
        <v>186</v>
      </c>
      <c r="C5214" t="s">
        <v>187</v>
      </c>
      <c r="D5214">
        <v>338791</v>
      </c>
    </row>
    <row r="5215" spans="1:4" x14ac:dyDescent="0.35">
      <c r="A5215" s="1">
        <v>1978</v>
      </c>
      <c r="B5215" t="s">
        <v>188</v>
      </c>
      <c r="C5215" t="s">
        <v>189</v>
      </c>
      <c r="D5215">
        <v>186553</v>
      </c>
    </row>
    <row r="5216" spans="1:4" x14ac:dyDescent="0.35">
      <c r="A5216" s="1">
        <v>1978</v>
      </c>
      <c r="B5216" t="s">
        <v>208</v>
      </c>
      <c r="C5216" t="s">
        <v>209</v>
      </c>
      <c r="D5216">
        <v>659141</v>
      </c>
    </row>
    <row r="5217" spans="1:4" x14ac:dyDescent="0.35">
      <c r="A5217" s="1">
        <v>1978</v>
      </c>
      <c r="B5217" t="s">
        <v>210</v>
      </c>
      <c r="C5217" t="s">
        <v>211</v>
      </c>
      <c r="D5217">
        <v>405097</v>
      </c>
    </row>
    <row r="5218" spans="1:4" x14ac:dyDescent="0.35">
      <c r="A5218" s="1">
        <v>1978</v>
      </c>
      <c r="B5218" t="s">
        <v>198</v>
      </c>
      <c r="C5218" t="s">
        <v>199</v>
      </c>
      <c r="D5218">
        <v>463787</v>
      </c>
    </row>
    <row r="5219" spans="1:4" x14ac:dyDescent="0.35">
      <c r="A5219" s="1">
        <v>1978</v>
      </c>
      <c r="B5219" t="s">
        <v>160</v>
      </c>
      <c r="C5219" t="s">
        <v>161</v>
      </c>
      <c r="D5219">
        <v>363203</v>
      </c>
    </row>
    <row r="5220" spans="1:4" x14ac:dyDescent="0.35">
      <c r="A5220" s="1">
        <v>1978</v>
      </c>
      <c r="B5220" t="s">
        <v>162</v>
      </c>
      <c r="C5220" t="s">
        <v>163</v>
      </c>
      <c r="D5220">
        <v>353800</v>
      </c>
    </row>
    <row r="5221" spans="1:4" x14ac:dyDescent="0.35">
      <c r="A5221" s="1">
        <v>1978</v>
      </c>
      <c r="B5221" t="s">
        <v>102</v>
      </c>
      <c r="C5221" t="s">
        <v>103</v>
      </c>
      <c r="D5221">
        <v>397286</v>
      </c>
    </row>
    <row r="5222" spans="1:4" x14ac:dyDescent="0.35">
      <c r="A5222" s="1">
        <v>1978</v>
      </c>
      <c r="B5222" t="s">
        <v>44</v>
      </c>
      <c r="C5222" t="s">
        <v>45</v>
      </c>
      <c r="D5222">
        <v>304352</v>
      </c>
    </row>
    <row r="5223" spans="1:4" x14ac:dyDescent="0.35">
      <c r="A5223" s="1">
        <v>1978</v>
      </c>
      <c r="B5223" t="s">
        <v>46</v>
      </c>
      <c r="C5223" t="s">
        <v>221</v>
      </c>
      <c r="D5223">
        <v>129846</v>
      </c>
    </row>
    <row r="5224" spans="1:4" x14ac:dyDescent="0.35">
      <c r="A5224" s="1">
        <v>1978</v>
      </c>
      <c r="B5224" t="s">
        <v>120</v>
      </c>
      <c r="C5224" t="s">
        <v>121</v>
      </c>
      <c r="D5224">
        <v>947769</v>
      </c>
    </row>
    <row r="5225" spans="1:4" x14ac:dyDescent="0.35">
      <c r="A5225" s="1">
        <v>1978</v>
      </c>
      <c r="B5225" t="s">
        <v>122</v>
      </c>
      <c r="C5225" t="s">
        <v>222</v>
      </c>
      <c r="D5225">
        <v>1416243</v>
      </c>
    </row>
    <row r="5226" spans="1:4" x14ac:dyDescent="0.35">
      <c r="A5226" s="1">
        <v>1978</v>
      </c>
      <c r="B5226" t="s">
        <v>124</v>
      </c>
      <c r="C5226" t="s">
        <v>125</v>
      </c>
      <c r="D5226">
        <v>1319756</v>
      </c>
    </row>
    <row r="5227" spans="1:4" x14ac:dyDescent="0.35">
      <c r="A5227" s="1">
        <v>1978</v>
      </c>
      <c r="B5227" t="s">
        <v>126</v>
      </c>
      <c r="C5227" t="s">
        <v>127</v>
      </c>
      <c r="D5227">
        <v>1204660</v>
      </c>
    </row>
    <row r="5228" spans="1:4" x14ac:dyDescent="0.35">
      <c r="A5228" s="1">
        <v>1978</v>
      </c>
      <c r="B5228" t="s">
        <v>128</v>
      </c>
      <c r="C5228" t="s">
        <v>129</v>
      </c>
      <c r="D5228">
        <v>871525</v>
      </c>
    </row>
    <row r="5229" spans="1:4" x14ac:dyDescent="0.35">
      <c r="A5229" s="1">
        <v>1978</v>
      </c>
      <c r="B5229" t="s">
        <v>257</v>
      </c>
      <c r="D5229">
        <v>53271566</v>
      </c>
    </row>
    <row r="5230" spans="1:4" x14ac:dyDescent="0.35">
      <c r="A5230" s="1">
        <v>1978</v>
      </c>
    </row>
    <row r="5231" spans="1:4" x14ac:dyDescent="0.35">
      <c r="A5231" s="1">
        <v>1978</v>
      </c>
      <c r="B5231" t="s">
        <v>240</v>
      </c>
    </row>
    <row r="5232" spans="1:4" x14ac:dyDescent="0.35">
      <c r="A5232" s="1">
        <v>1978</v>
      </c>
      <c r="B5232" t="s">
        <v>278</v>
      </c>
    </row>
    <row r="5233" spans="1:4" x14ac:dyDescent="0.35">
      <c r="A5233" s="1">
        <v>1977</v>
      </c>
      <c r="B5233" t="s">
        <v>251</v>
      </c>
    </row>
    <row r="5234" spans="1:4" x14ac:dyDescent="0.35">
      <c r="A5234" s="1">
        <v>1977</v>
      </c>
      <c r="B5234" t="s">
        <v>290</v>
      </c>
    </row>
    <row r="5235" spans="1:4" x14ac:dyDescent="0.35">
      <c r="A5235" s="1">
        <v>1977</v>
      </c>
    </row>
    <row r="5236" spans="1:4" x14ac:dyDescent="0.35">
      <c r="A5236" s="1">
        <v>1977</v>
      </c>
      <c r="B5236" t="s">
        <v>231</v>
      </c>
    </row>
    <row r="5237" spans="1:4" x14ac:dyDescent="0.35">
      <c r="A5237" s="1">
        <v>1977</v>
      </c>
      <c r="D5237" t="s">
        <v>232</v>
      </c>
    </row>
    <row r="5238" spans="1:4" x14ac:dyDescent="0.35">
      <c r="A5238" s="1">
        <v>1977</v>
      </c>
      <c r="B5238" t="s">
        <v>5</v>
      </c>
      <c r="C5238" t="s">
        <v>6</v>
      </c>
      <c r="D5238">
        <v>387207</v>
      </c>
    </row>
    <row r="5239" spans="1:4" x14ac:dyDescent="0.35">
      <c r="A5239" s="1">
        <v>1977</v>
      </c>
      <c r="B5239" t="s">
        <v>104</v>
      </c>
      <c r="C5239" t="s">
        <v>105</v>
      </c>
      <c r="D5239">
        <v>533935</v>
      </c>
    </row>
    <row r="5240" spans="1:4" x14ac:dyDescent="0.35">
      <c r="A5240" s="1">
        <v>1977</v>
      </c>
      <c r="B5240" t="s">
        <v>10</v>
      </c>
      <c r="C5240" t="s">
        <v>11</v>
      </c>
      <c r="D5240">
        <v>376148</v>
      </c>
    </row>
    <row r="5241" spans="1:4" x14ac:dyDescent="0.35">
      <c r="A5241" s="1">
        <v>1977</v>
      </c>
      <c r="B5241" t="s">
        <v>200</v>
      </c>
      <c r="C5241" t="s">
        <v>201</v>
      </c>
      <c r="D5241">
        <v>113945</v>
      </c>
    </row>
    <row r="5242" spans="1:4" x14ac:dyDescent="0.35">
      <c r="A5242" s="1">
        <v>1977</v>
      </c>
      <c r="B5242" t="s">
        <v>202</v>
      </c>
      <c r="C5242" t="s">
        <v>203</v>
      </c>
      <c r="D5242">
        <v>99433</v>
      </c>
    </row>
    <row r="5243" spans="1:4" x14ac:dyDescent="0.35">
      <c r="A5243" s="1">
        <v>1977</v>
      </c>
      <c r="B5243" t="s">
        <v>204</v>
      </c>
      <c r="C5243" t="s">
        <v>205</v>
      </c>
      <c r="D5243">
        <v>832611</v>
      </c>
    </row>
    <row r="5244" spans="1:4" x14ac:dyDescent="0.35">
      <c r="A5244" s="1">
        <v>1977</v>
      </c>
      <c r="B5244" t="s">
        <v>12</v>
      </c>
      <c r="C5244" t="s">
        <v>13</v>
      </c>
      <c r="D5244">
        <v>259976</v>
      </c>
    </row>
    <row r="5245" spans="1:4" x14ac:dyDescent="0.35">
      <c r="A5245" s="1">
        <v>1977</v>
      </c>
      <c r="B5245" t="s">
        <v>84</v>
      </c>
      <c r="C5245" t="s">
        <v>85</v>
      </c>
      <c r="D5245">
        <v>307469</v>
      </c>
    </row>
    <row r="5246" spans="1:4" x14ac:dyDescent="0.35">
      <c r="A5246" s="1">
        <v>1977</v>
      </c>
      <c r="B5246" t="s">
        <v>164</v>
      </c>
      <c r="C5246" t="s">
        <v>165</v>
      </c>
      <c r="D5246">
        <v>137241</v>
      </c>
    </row>
    <row r="5247" spans="1:4" x14ac:dyDescent="0.35">
      <c r="A5247" s="1">
        <v>1977</v>
      </c>
      <c r="B5247" t="s">
        <v>86</v>
      </c>
      <c r="C5247" t="s">
        <v>87</v>
      </c>
      <c r="D5247">
        <v>286209</v>
      </c>
    </row>
    <row r="5248" spans="1:4" x14ac:dyDescent="0.35">
      <c r="A5248" s="1">
        <v>1977</v>
      </c>
      <c r="B5248" t="s">
        <v>166</v>
      </c>
      <c r="C5248" t="s">
        <v>167</v>
      </c>
      <c r="D5248">
        <v>274608</v>
      </c>
    </row>
    <row r="5249" spans="1:4" x14ac:dyDescent="0.35">
      <c r="A5249" s="1">
        <v>1977</v>
      </c>
      <c r="B5249" t="s">
        <v>168</v>
      </c>
      <c r="C5249" t="s">
        <v>169</v>
      </c>
      <c r="D5249">
        <v>278584</v>
      </c>
    </row>
    <row r="5250" spans="1:4" x14ac:dyDescent="0.35">
      <c r="A5250" s="1">
        <v>1977</v>
      </c>
      <c r="B5250" t="s">
        <v>206</v>
      </c>
      <c r="C5250" t="s">
        <v>207</v>
      </c>
      <c r="D5250">
        <v>1656202</v>
      </c>
    </row>
    <row r="5251" spans="1:4" x14ac:dyDescent="0.35">
      <c r="A5251" s="1">
        <v>1977</v>
      </c>
      <c r="B5251" t="s">
        <v>130</v>
      </c>
      <c r="C5251" t="s">
        <v>131</v>
      </c>
      <c r="D5251">
        <v>568308</v>
      </c>
    </row>
    <row r="5252" spans="1:4" x14ac:dyDescent="0.35">
      <c r="A5252" s="1">
        <v>1977</v>
      </c>
      <c r="B5252" t="s">
        <v>14</v>
      </c>
      <c r="C5252" t="s">
        <v>15</v>
      </c>
      <c r="D5252">
        <v>165659</v>
      </c>
    </row>
    <row r="5253" spans="1:4" x14ac:dyDescent="0.35">
      <c r="A5253" s="1">
        <v>1977</v>
      </c>
      <c r="B5253" t="s">
        <v>140</v>
      </c>
      <c r="C5253" t="s">
        <v>141</v>
      </c>
      <c r="D5253">
        <v>338272</v>
      </c>
    </row>
    <row r="5254" spans="1:4" x14ac:dyDescent="0.35">
      <c r="A5254" s="1">
        <v>1977</v>
      </c>
      <c r="B5254" t="s">
        <v>142</v>
      </c>
      <c r="C5254" t="s">
        <v>143</v>
      </c>
      <c r="D5254">
        <v>501921</v>
      </c>
    </row>
    <row r="5255" spans="1:4" x14ac:dyDescent="0.35">
      <c r="A5255" s="1">
        <v>1977</v>
      </c>
      <c r="B5255" t="s">
        <v>56</v>
      </c>
      <c r="C5255" t="s">
        <v>57</v>
      </c>
      <c r="D5255">
        <v>317351</v>
      </c>
    </row>
    <row r="5256" spans="1:4" x14ac:dyDescent="0.35">
      <c r="A5256" s="1">
        <v>1977</v>
      </c>
      <c r="B5256" t="s">
        <v>144</v>
      </c>
      <c r="C5256" t="s">
        <v>145</v>
      </c>
      <c r="D5256">
        <v>241028</v>
      </c>
    </row>
    <row r="5257" spans="1:4" x14ac:dyDescent="0.35">
      <c r="A5257" s="1">
        <v>1977</v>
      </c>
      <c r="B5257" t="s">
        <v>68</v>
      </c>
      <c r="C5257" t="s">
        <v>69</v>
      </c>
      <c r="D5257">
        <v>103340</v>
      </c>
    </row>
    <row r="5258" spans="1:4" x14ac:dyDescent="0.35">
      <c r="A5258" s="1">
        <v>1977</v>
      </c>
      <c r="B5258" t="s">
        <v>70</v>
      </c>
      <c r="C5258" t="s">
        <v>71</v>
      </c>
      <c r="D5258">
        <v>127099</v>
      </c>
    </row>
    <row r="5259" spans="1:4" x14ac:dyDescent="0.35">
      <c r="A5259" s="1">
        <v>1977</v>
      </c>
      <c r="B5259" t="s">
        <v>32</v>
      </c>
      <c r="C5259" t="s">
        <v>219</v>
      </c>
      <c r="D5259">
        <v>460308</v>
      </c>
    </row>
    <row r="5260" spans="1:4" x14ac:dyDescent="0.35">
      <c r="A5260" s="1">
        <v>1977</v>
      </c>
      <c r="B5260" t="s">
        <v>48</v>
      </c>
      <c r="C5260" t="s">
        <v>220</v>
      </c>
      <c r="D5260">
        <v>529349</v>
      </c>
    </row>
    <row r="5261" spans="1:4" x14ac:dyDescent="0.35">
      <c r="A5261" s="1">
        <v>1977</v>
      </c>
      <c r="B5261" t="s">
        <v>146</v>
      </c>
      <c r="C5261" t="s">
        <v>147</v>
      </c>
      <c r="D5261">
        <v>144627</v>
      </c>
    </row>
    <row r="5262" spans="1:4" x14ac:dyDescent="0.35">
      <c r="A5262" s="1">
        <v>1977</v>
      </c>
      <c r="B5262" t="s">
        <v>148</v>
      </c>
      <c r="C5262" t="s">
        <v>149</v>
      </c>
      <c r="D5262">
        <v>374278</v>
      </c>
    </row>
    <row r="5263" spans="1:4" x14ac:dyDescent="0.35">
      <c r="A5263" s="1">
        <v>1977</v>
      </c>
      <c r="B5263" t="s">
        <v>34</v>
      </c>
      <c r="C5263" t="s">
        <v>35</v>
      </c>
      <c r="D5263">
        <v>472527</v>
      </c>
    </row>
    <row r="5264" spans="1:4" x14ac:dyDescent="0.35">
      <c r="A5264" s="1">
        <v>1977</v>
      </c>
      <c r="B5264" t="s">
        <v>16</v>
      </c>
      <c r="C5264" t="s">
        <v>17</v>
      </c>
      <c r="D5264">
        <v>368561</v>
      </c>
    </row>
    <row r="5265" spans="1:4" x14ac:dyDescent="0.35">
      <c r="A5265" s="1">
        <v>1977</v>
      </c>
      <c r="B5265" t="s">
        <v>132</v>
      </c>
      <c r="C5265" t="s">
        <v>133</v>
      </c>
      <c r="D5265">
        <v>433059</v>
      </c>
    </row>
    <row r="5266" spans="1:4" x14ac:dyDescent="0.35">
      <c r="A5266" s="1">
        <v>1977</v>
      </c>
      <c r="B5266" t="s">
        <v>58</v>
      </c>
      <c r="C5266" t="s">
        <v>59</v>
      </c>
      <c r="D5266">
        <v>342028</v>
      </c>
    </row>
    <row r="5267" spans="1:4" x14ac:dyDescent="0.35">
      <c r="A5267" s="1">
        <v>1977</v>
      </c>
      <c r="B5267" t="s">
        <v>50</v>
      </c>
      <c r="C5267" t="s">
        <v>51</v>
      </c>
      <c r="D5267">
        <v>810270</v>
      </c>
    </row>
    <row r="5268" spans="1:4" x14ac:dyDescent="0.35">
      <c r="A5268" s="1">
        <v>1977</v>
      </c>
      <c r="B5268" t="s">
        <v>170</v>
      </c>
      <c r="C5268" t="s">
        <v>171</v>
      </c>
      <c r="D5268">
        <v>503583</v>
      </c>
    </row>
    <row r="5269" spans="1:4" x14ac:dyDescent="0.35">
      <c r="A5269" s="1">
        <v>1977</v>
      </c>
      <c r="B5269" t="s">
        <v>172</v>
      </c>
      <c r="C5269" t="s">
        <v>173</v>
      </c>
      <c r="D5269">
        <v>789636</v>
      </c>
    </row>
    <row r="5270" spans="1:4" x14ac:dyDescent="0.35">
      <c r="A5270" s="1">
        <v>1977</v>
      </c>
      <c r="B5270" t="s">
        <v>174</v>
      </c>
      <c r="C5270" t="s">
        <v>175</v>
      </c>
      <c r="D5270">
        <v>175382</v>
      </c>
    </row>
    <row r="5271" spans="1:4" x14ac:dyDescent="0.35">
      <c r="A5271" s="1">
        <v>1977</v>
      </c>
      <c r="B5271" t="s">
        <v>150</v>
      </c>
      <c r="C5271" t="s">
        <v>151</v>
      </c>
      <c r="D5271">
        <v>1079046</v>
      </c>
    </row>
    <row r="5272" spans="1:4" x14ac:dyDescent="0.35">
      <c r="A5272" s="1">
        <v>1977</v>
      </c>
      <c r="B5272" t="s">
        <v>176</v>
      </c>
      <c r="C5272" t="s">
        <v>177</v>
      </c>
      <c r="D5272">
        <v>662975</v>
      </c>
    </row>
    <row r="5273" spans="1:4" x14ac:dyDescent="0.35">
      <c r="A5273" s="1">
        <v>1977</v>
      </c>
      <c r="B5273" t="s">
        <v>52</v>
      </c>
      <c r="C5273" t="s">
        <v>53</v>
      </c>
      <c r="D5273">
        <v>714814</v>
      </c>
    </row>
    <row r="5274" spans="1:4" x14ac:dyDescent="0.35">
      <c r="A5274" s="1">
        <v>1977</v>
      </c>
      <c r="B5274" t="s">
        <v>60</v>
      </c>
      <c r="C5274" t="s">
        <v>61</v>
      </c>
      <c r="D5274">
        <v>247389</v>
      </c>
    </row>
    <row r="5275" spans="1:4" x14ac:dyDescent="0.35">
      <c r="A5275" s="1">
        <v>1977</v>
      </c>
      <c r="B5275" t="s">
        <v>62</v>
      </c>
      <c r="C5275" t="s">
        <v>63</v>
      </c>
      <c r="D5275">
        <v>486110</v>
      </c>
    </row>
    <row r="5276" spans="1:4" x14ac:dyDescent="0.35">
      <c r="A5276" s="1">
        <v>1977</v>
      </c>
      <c r="B5276" t="s">
        <v>18</v>
      </c>
      <c r="C5276" t="s">
        <v>19</v>
      </c>
      <c r="D5276">
        <v>880010</v>
      </c>
    </row>
    <row r="5277" spans="1:4" x14ac:dyDescent="0.35">
      <c r="A5277" s="1">
        <v>1977</v>
      </c>
      <c r="B5277" t="s">
        <v>36</v>
      </c>
      <c r="C5277" t="s">
        <v>37</v>
      </c>
      <c r="D5277">
        <v>240081</v>
      </c>
    </row>
    <row r="5278" spans="1:4" x14ac:dyDescent="0.35">
      <c r="A5278" s="1">
        <v>1977</v>
      </c>
      <c r="B5278" t="s">
        <v>152</v>
      </c>
      <c r="C5278" t="s">
        <v>153</v>
      </c>
      <c r="D5278">
        <v>290778</v>
      </c>
    </row>
    <row r="5279" spans="1:4" x14ac:dyDescent="0.35">
      <c r="A5279" s="1">
        <v>1977</v>
      </c>
      <c r="B5279" t="s">
        <v>64</v>
      </c>
      <c r="C5279" t="s">
        <v>65</v>
      </c>
      <c r="D5279">
        <v>287234</v>
      </c>
    </row>
    <row r="5280" spans="1:4" x14ac:dyDescent="0.35">
      <c r="A5280" s="1">
        <v>1977</v>
      </c>
      <c r="B5280" t="s">
        <v>20</v>
      </c>
      <c r="C5280" t="s">
        <v>21</v>
      </c>
      <c r="D5280">
        <v>741546</v>
      </c>
    </row>
    <row r="5281" spans="1:4" x14ac:dyDescent="0.35">
      <c r="A5281" s="1">
        <v>1977</v>
      </c>
      <c r="B5281" t="s">
        <v>22</v>
      </c>
      <c r="C5281" t="s">
        <v>23</v>
      </c>
      <c r="D5281">
        <v>205667</v>
      </c>
    </row>
    <row r="5282" spans="1:4" x14ac:dyDescent="0.35">
      <c r="A5282" s="1">
        <v>1977</v>
      </c>
      <c r="B5282" t="s">
        <v>190</v>
      </c>
      <c r="C5282" t="s">
        <v>191</v>
      </c>
      <c r="D5282">
        <v>950393</v>
      </c>
    </row>
    <row r="5283" spans="1:4" x14ac:dyDescent="0.35">
      <c r="A5283" s="1">
        <v>1977</v>
      </c>
      <c r="B5283" t="s">
        <v>66</v>
      </c>
      <c r="C5283" t="s">
        <v>67</v>
      </c>
      <c r="D5283">
        <v>501410</v>
      </c>
    </row>
    <row r="5284" spans="1:4" x14ac:dyDescent="0.35">
      <c r="A5284" s="1">
        <v>1977</v>
      </c>
      <c r="B5284" t="s">
        <v>178</v>
      </c>
      <c r="C5284" t="s">
        <v>179</v>
      </c>
      <c r="D5284">
        <v>151728</v>
      </c>
    </row>
    <row r="5285" spans="1:4" x14ac:dyDescent="0.35">
      <c r="A5285" s="1">
        <v>1977</v>
      </c>
      <c r="B5285" t="s">
        <v>154</v>
      </c>
      <c r="C5285" t="s">
        <v>155</v>
      </c>
      <c r="D5285">
        <v>294141</v>
      </c>
    </row>
    <row r="5286" spans="1:4" x14ac:dyDescent="0.35">
      <c r="A5286" s="1">
        <v>1977</v>
      </c>
      <c r="B5286" t="s">
        <v>180</v>
      </c>
      <c r="C5286" t="s">
        <v>181</v>
      </c>
      <c r="D5286">
        <v>74601</v>
      </c>
    </row>
    <row r="5287" spans="1:4" x14ac:dyDescent="0.35">
      <c r="A5287" s="1">
        <v>1977</v>
      </c>
      <c r="B5287" t="s">
        <v>192</v>
      </c>
      <c r="C5287" t="s">
        <v>193</v>
      </c>
      <c r="D5287">
        <v>641492</v>
      </c>
    </row>
    <row r="5288" spans="1:4" x14ac:dyDescent="0.35">
      <c r="A5288" s="1">
        <v>1977</v>
      </c>
      <c r="B5288" t="s">
        <v>134</v>
      </c>
      <c r="C5288" t="s">
        <v>135</v>
      </c>
      <c r="D5288">
        <v>455612</v>
      </c>
    </row>
    <row r="5289" spans="1:4" x14ac:dyDescent="0.35">
      <c r="A5289" s="1">
        <v>1977</v>
      </c>
      <c r="B5289" t="s">
        <v>88</v>
      </c>
      <c r="C5289" t="s">
        <v>89</v>
      </c>
      <c r="D5289">
        <v>533086</v>
      </c>
    </row>
    <row r="5290" spans="1:4" x14ac:dyDescent="0.35">
      <c r="A5290" s="1">
        <v>1977</v>
      </c>
      <c r="B5290" t="s">
        <v>90</v>
      </c>
      <c r="C5290" t="s">
        <v>91</v>
      </c>
      <c r="D5290">
        <v>211744</v>
      </c>
    </row>
    <row r="5291" spans="1:4" x14ac:dyDescent="0.35">
      <c r="A5291" s="1">
        <v>1977</v>
      </c>
      <c r="B5291" t="s">
        <v>194</v>
      </c>
      <c r="C5291" t="s">
        <v>195</v>
      </c>
      <c r="D5291">
        <v>264429</v>
      </c>
    </row>
    <row r="5292" spans="1:4" x14ac:dyDescent="0.35">
      <c r="A5292" s="1">
        <v>1977</v>
      </c>
      <c r="B5292" t="s">
        <v>92</v>
      </c>
      <c r="C5292" t="s">
        <v>93</v>
      </c>
      <c r="D5292">
        <v>720599</v>
      </c>
    </row>
    <row r="5293" spans="1:4" x14ac:dyDescent="0.35">
      <c r="A5293" s="1">
        <v>1977</v>
      </c>
      <c r="B5293" t="s">
        <v>94</v>
      </c>
      <c r="C5293" t="s">
        <v>95</v>
      </c>
      <c r="D5293">
        <v>203117</v>
      </c>
    </row>
    <row r="5294" spans="1:4" x14ac:dyDescent="0.35">
      <c r="A5294" s="1">
        <v>1977</v>
      </c>
      <c r="B5294" t="s">
        <v>54</v>
      </c>
      <c r="C5294" t="s">
        <v>55</v>
      </c>
      <c r="D5294">
        <v>570899</v>
      </c>
    </row>
    <row r="5295" spans="1:4" x14ac:dyDescent="0.35">
      <c r="A5295" s="1">
        <v>1977</v>
      </c>
      <c r="B5295" t="s">
        <v>96</v>
      </c>
      <c r="C5295" t="s">
        <v>97</v>
      </c>
      <c r="D5295">
        <v>1005648</v>
      </c>
    </row>
    <row r="5296" spans="1:4" x14ac:dyDescent="0.35">
      <c r="A5296" s="1">
        <v>1977</v>
      </c>
      <c r="B5296" t="s">
        <v>38</v>
      </c>
      <c r="C5296" t="s">
        <v>39</v>
      </c>
      <c r="D5296">
        <v>243920</v>
      </c>
    </row>
    <row r="5297" spans="1:4" x14ac:dyDescent="0.35">
      <c r="A5297" s="1">
        <v>1977</v>
      </c>
      <c r="B5297" t="s">
        <v>106</v>
      </c>
      <c r="C5297" t="s">
        <v>107</v>
      </c>
      <c r="D5297">
        <v>2510107</v>
      </c>
    </row>
    <row r="5298" spans="1:4" x14ac:dyDescent="0.35">
      <c r="A5298" s="1">
        <v>1977</v>
      </c>
      <c r="B5298" t="s">
        <v>108</v>
      </c>
      <c r="C5298" t="s">
        <v>109</v>
      </c>
      <c r="D5298">
        <v>620280</v>
      </c>
    </row>
    <row r="5299" spans="1:4" x14ac:dyDescent="0.35">
      <c r="A5299" s="1">
        <v>1977</v>
      </c>
      <c r="B5299" t="s">
        <v>136</v>
      </c>
      <c r="C5299" t="s">
        <v>137</v>
      </c>
      <c r="D5299">
        <v>294054</v>
      </c>
    </row>
    <row r="5300" spans="1:4" x14ac:dyDescent="0.35">
      <c r="A5300" s="1">
        <v>1977</v>
      </c>
      <c r="B5300" t="s">
        <v>110</v>
      </c>
      <c r="C5300" t="s">
        <v>111</v>
      </c>
      <c r="D5300">
        <v>1405182</v>
      </c>
    </row>
    <row r="5301" spans="1:4" x14ac:dyDescent="0.35">
      <c r="A5301" s="1">
        <v>1977</v>
      </c>
      <c r="B5301" t="s">
        <v>24</v>
      </c>
      <c r="C5301" t="s">
        <v>25</v>
      </c>
      <c r="D5301">
        <v>583725</v>
      </c>
    </row>
    <row r="5302" spans="1:4" x14ac:dyDescent="0.35">
      <c r="A5302" s="1">
        <v>1977</v>
      </c>
      <c r="B5302" t="s">
        <v>156</v>
      </c>
      <c r="C5302" t="s">
        <v>157</v>
      </c>
      <c r="D5302">
        <v>540382</v>
      </c>
    </row>
    <row r="5303" spans="1:4" x14ac:dyDescent="0.35">
      <c r="A5303" s="1">
        <v>1977</v>
      </c>
      <c r="B5303" t="s">
        <v>182</v>
      </c>
      <c r="C5303" t="s">
        <v>183</v>
      </c>
      <c r="D5303">
        <v>227250</v>
      </c>
    </row>
    <row r="5304" spans="1:4" x14ac:dyDescent="0.35">
      <c r="A5304" s="1">
        <v>1977</v>
      </c>
      <c r="B5304" t="s">
        <v>184</v>
      </c>
      <c r="C5304" t="s">
        <v>185</v>
      </c>
      <c r="D5304">
        <v>308876</v>
      </c>
    </row>
    <row r="5305" spans="1:4" x14ac:dyDescent="0.35">
      <c r="A5305" s="1">
        <v>1977</v>
      </c>
      <c r="B5305" t="s">
        <v>98</v>
      </c>
      <c r="C5305" t="s">
        <v>99</v>
      </c>
      <c r="D5305">
        <v>890110</v>
      </c>
    </row>
    <row r="5306" spans="1:4" x14ac:dyDescent="0.35">
      <c r="A5306" s="1">
        <v>1977</v>
      </c>
      <c r="B5306" t="s">
        <v>100</v>
      </c>
      <c r="C5306" t="s">
        <v>101</v>
      </c>
      <c r="D5306">
        <v>638481</v>
      </c>
    </row>
    <row r="5307" spans="1:4" x14ac:dyDescent="0.35">
      <c r="A5307" s="1">
        <v>1977</v>
      </c>
      <c r="B5307" t="s">
        <v>26</v>
      </c>
      <c r="C5307" t="s">
        <v>27</v>
      </c>
      <c r="D5307">
        <v>1431537</v>
      </c>
    </row>
    <row r="5308" spans="1:4" x14ac:dyDescent="0.35">
      <c r="A5308" s="1">
        <v>1977</v>
      </c>
      <c r="B5308" t="s">
        <v>40</v>
      </c>
      <c r="C5308" t="s">
        <v>41</v>
      </c>
      <c r="D5308">
        <v>224807</v>
      </c>
    </row>
    <row r="5309" spans="1:4" x14ac:dyDescent="0.35">
      <c r="A5309" s="1">
        <v>1977</v>
      </c>
      <c r="B5309" t="s">
        <v>42</v>
      </c>
      <c r="C5309" t="s">
        <v>43</v>
      </c>
      <c r="D5309">
        <v>570384</v>
      </c>
    </row>
    <row r="5310" spans="1:4" x14ac:dyDescent="0.35">
      <c r="A5310" s="1">
        <v>1977</v>
      </c>
      <c r="B5310" t="s">
        <v>196</v>
      </c>
      <c r="C5310" t="s">
        <v>197</v>
      </c>
      <c r="D5310">
        <v>494670</v>
      </c>
    </row>
    <row r="5311" spans="1:4" x14ac:dyDescent="0.35">
      <c r="A5311" s="1">
        <v>1977</v>
      </c>
      <c r="B5311" t="s">
        <v>28</v>
      </c>
      <c r="C5311" t="s">
        <v>29</v>
      </c>
      <c r="D5311">
        <v>309770</v>
      </c>
    </row>
    <row r="5312" spans="1:4" x14ac:dyDescent="0.35">
      <c r="A5312" s="1">
        <v>1977</v>
      </c>
      <c r="B5312" t="s">
        <v>30</v>
      </c>
      <c r="C5312" t="s">
        <v>31</v>
      </c>
      <c r="D5312">
        <v>459250</v>
      </c>
    </row>
    <row r="5313" spans="1:4" x14ac:dyDescent="0.35">
      <c r="A5313" s="1">
        <v>1977</v>
      </c>
      <c r="B5313" t="s">
        <v>114</v>
      </c>
      <c r="C5313" t="s">
        <v>115</v>
      </c>
      <c r="D5313">
        <v>2267113</v>
      </c>
    </row>
    <row r="5314" spans="1:4" x14ac:dyDescent="0.35">
      <c r="A5314" s="1">
        <v>1977</v>
      </c>
      <c r="B5314" t="s">
        <v>138</v>
      </c>
      <c r="C5314" t="s">
        <v>139</v>
      </c>
      <c r="D5314">
        <v>1177709</v>
      </c>
    </row>
    <row r="5315" spans="1:4" x14ac:dyDescent="0.35">
      <c r="A5315" s="1">
        <v>1977</v>
      </c>
      <c r="B5315" t="s">
        <v>116</v>
      </c>
      <c r="C5315" t="s">
        <v>117</v>
      </c>
      <c r="D5315">
        <v>788101</v>
      </c>
    </row>
    <row r="5316" spans="1:4" x14ac:dyDescent="0.35">
      <c r="A5316" s="1">
        <v>1977</v>
      </c>
      <c r="B5316" t="s">
        <v>118</v>
      </c>
      <c r="C5316" t="s">
        <v>119</v>
      </c>
      <c r="D5316">
        <v>1109435</v>
      </c>
    </row>
    <row r="5317" spans="1:4" x14ac:dyDescent="0.35">
      <c r="A5317" s="1">
        <v>1977</v>
      </c>
      <c r="B5317" t="s">
        <v>158</v>
      </c>
      <c r="C5317" t="s">
        <v>159</v>
      </c>
      <c r="D5317">
        <v>337952</v>
      </c>
    </row>
    <row r="5318" spans="1:4" x14ac:dyDescent="0.35">
      <c r="A5318" s="1">
        <v>1977</v>
      </c>
      <c r="B5318" t="s">
        <v>112</v>
      </c>
      <c r="C5318" t="s">
        <v>113</v>
      </c>
      <c r="D5318">
        <v>540249</v>
      </c>
    </row>
    <row r="5319" spans="1:4" x14ac:dyDescent="0.35">
      <c r="A5319" s="1">
        <v>1977</v>
      </c>
      <c r="B5319" t="s">
        <v>186</v>
      </c>
      <c r="C5319" t="s">
        <v>187</v>
      </c>
      <c r="D5319">
        <v>338521</v>
      </c>
    </row>
    <row r="5320" spans="1:4" x14ac:dyDescent="0.35">
      <c r="A5320" s="1">
        <v>1977</v>
      </c>
      <c r="B5320" t="s">
        <v>188</v>
      </c>
      <c r="C5320" t="s">
        <v>189</v>
      </c>
      <c r="D5320">
        <v>185441</v>
      </c>
    </row>
    <row r="5321" spans="1:4" x14ac:dyDescent="0.35">
      <c r="A5321" s="1">
        <v>1977</v>
      </c>
      <c r="B5321" t="s">
        <v>208</v>
      </c>
      <c r="C5321" t="s">
        <v>209</v>
      </c>
      <c r="D5321">
        <v>647299</v>
      </c>
    </row>
    <row r="5322" spans="1:4" x14ac:dyDescent="0.35">
      <c r="A5322" s="1">
        <v>1977</v>
      </c>
      <c r="B5322" t="s">
        <v>210</v>
      </c>
      <c r="C5322" t="s">
        <v>211</v>
      </c>
      <c r="D5322">
        <v>400019</v>
      </c>
    </row>
    <row r="5323" spans="1:4" x14ac:dyDescent="0.35">
      <c r="A5323" s="1">
        <v>1977</v>
      </c>
      <c r="B5323" t="s">
        <v>198</v>
      </c>
      <c r="C5323" t="s">
        <v>199</v>
      </c>
      <c r="D5323">
        <v>459245</v>
      </c>
    </row>
    <row r="5324" spans="1:4" x14ac:dyDescent="0.35">
      <c r="A5324" s="1">
        <v>1977</v>
      </c>
      <c r="B5324" t="s">
        <v>160</v>
      </c>
      <c r="C5324" t="s">
        <v>161</v>
      </c>
      <c r="D5324">
        <v>361113</v>
      </c>
    </row>
    <row r="5325" spans="1:4" x14ac:dyDescent="0.35">
      <c r="A5325" s="1">
        <v>1977</v>
      </c>
      <c r="B5325" t="s">
        <v>162</v>
      </c>
      <c r="C5325" t="s">
        <v>163</v>
      </c>
      <c r="D5325">
        <v>353316</v>
      </c>
    </row>
    <row r="5326" spans="1:4" x14ac:dyDescent="0.35">
      <c r="A5326" s="1">
        <v>1977</v>
      </c>
      <c r="B5326" t="s">
        <v>102</v>
      </c>
      <c r="C5326" t="s">
        <v>103</v>
      </c>
      <c r="D5326">
        <v>397496</v>
      </c>
    </row>
    <row r="5327" spans="1:4" x14ac:dyDescent="0.35">
      <c r="A5327" s="1">
        <v>1977</v>
      </c>
      <c r="B5327" t="s">
        <v>44</v>
      </c>
      <c r="C5327" t="s">
        <v>45</v>
      </c>
      <c r="D5327">
        <v>302712</v>
      </c>
    </row>
    <row r="5328" spans="1:4" x14ac:dyDescent="0.35">
      <c r="A5328" s="1">
        <v>1977</v>
      </c>
      <c r="B5328" t="s">
        <v>46</v>
      </c>
      <c r="C5328" t="s">
        <v>221</v>
      </c>
      <c r="D5328">
        <v>129213</v>
      </c>
    </row>
    <row r="5329" spans="1:4" x14ac:dyDescent="0.35">
      <c r="A5329" s="1">
        <v>1977</v>
      </c>
      <c r="B5329" t="s">
        <v>120</v>
      </c>
      <c r="C5329" t="s">
        <v>121</v>
      </c>
      <c r="D5329">
        <v>937493</v>
      </c>
    </row>
    <row r="5330" spans="1:4" x14ac:dyDescent="0.35">
      <c r="A5330" s="1">
        <v>1977</v>
      </c>
      <c r="B5330" t="s">
        <v>122</v>
      </c>
      <c r="C5330" t="s">
        <v>222</v>
      </c>
      <c r="D5330">
        <v>1423064</v>
      </c>
    </row>
    <row r="5331" spans="1:4" x14ac:dyDescent="0.35">
      <c r="A5331" s="1">
        <v>1977</v>
      </c>
      <c r="B5331" t="s">
        <v>124</v>
      </c>
      <c r="C5331" t="s">
        <v>125</v>
      </c>
      <c r="D5331">
        <v>1319122</v>
      </c>
    </row>
    <row r="5332" spans="1:4" x14ac:dyDescent="0.35">
      <c r="A5332" s="1">
        <v>1977</v>
      </c>
      <c r="B5332" t="s">
        <v>126</v>
      </c>
      <c r="C5332" t="s">
        <v>127</v>
      </c>
      <c r="D5332">
        <v>1207213</v>
      </c>
    </row>
    <row r="5333" spans="1:4" x14ac:dyDescent="0.35">
      <c r="A5333" s="1">
        <v>1977</v>
      </c>
      <c r="B5333" t="s">
        <v>128</v>
      </c>
      <c r="C5333" t="s">
        <v>129</v>
      </c>
      <c r="D5333">
        <v>859691</v>
      </c>
    </row>
    <row r="5334" spans="1:4" x14ac:dyDescent="0.35">
      <c r="A5334" s="1">
        <v>1977</v>
      </c>
      <c r="B5334" t="s">
        <v>257</v>
      </c>
      <c r="D5334">
        <v>53019005</v>
      </c>
    </row>
    <row r="5335" spans="1:4" x14ac:dyDescent="0.35">
      <c r="A5335" s="1">
        <v>1977</v>
      </c>
    </row>
    <row r="5336" spans="1:4" x14ac:dyDescent="0.35">
      <c r="A5336" s="1">
        <v>1977</v>
      </c>
      <c r="B5336" t="s">
        <v>240</v>
      </c>
    </row>
    <row r="5337" spans="1:4" x14ac:dyDescent="0.35">
      <c r="A5337" s="1">
        <v>1977</v>
      </c>
      <c r="B5337" t="s">
        <v>278</v>
      </c>
    </row>
    <row r="5338" spans="1:4" x14ac:dyDescent="0.35">
      <c r="A5338" s="1">
        <v>1976</v>
      </c>
      <c r="B5338" t="s">
        <v>251</v>
      </c>
    </row>
    <row r="5339" spans="1:4" x14ac:dyDescent="0.35">
      <c r="A5339" s="1">
        <v>1976</v>
      </c>
      <c r="B5339" t="s">
        <v>291</v>
      </c>
    </row>
    <row r="5340" spans="1:4" x14ac:dyDescent="0.35">
      <c r="A5340" s="1">
        <v>1976</v>
      </c>
    </row>
    <row r="5341" spans="1:4" x14ac:dyDescent="0.35">
      <c r="A5341" s="1">
        <v>1976</v>
      </c>
      <c r="B5341" t="s">
        <v>231</v>
      </c>
    </row>
    <row r="5342" spans="1:4" x14ac:dyDescent="0.35">
      <c r="A5342" s="1">
        <v>1976</v>
      </c>
      <c r="D5342" t="s">
        <v>232</v>
      </c>
    </row>
    <row r="5343" spans="1:4" x14ac:dyDescent="0.35">
      <c r="A5343" s="1">
        <v>1976</v>
      </c>
      <c r="B5343" t="s">
        <v>5</v>
      </c>
      <c r="C5343" t="s">
        <v>6</v>
      </c>
      <c r="D5343">
        <v>381326</v>
      </c>
    </row>
    <row r="5344" spans="1:4" x14ac:dyDescent="0.35">
      <c r="A5344" s="1">
        <v>1976</v>
      </c>
      <c r="B5344" t="s">
        <v>104</v>
      </c>
      <c r="C5344" t="s">
        <v>105</v>
      </c>
      <c r="D5344">
        <v>534270</v>
      </c>
    </row>
    <row r="5345" spans="1:4" x14ac:dyDescent="0.35">
      <c r="A5345" s="1">
        <v>1976</v>
      </c>
      <c r="B5345" t="s">
        <v>10</v>
      </c>
      <c r="C5345" t="s">
        <v>11</v>
      </c>
      <c r="D5345">
        <v>377645</v>
      </c>
    </row>
    <row r="5346" spans="1:4" x14ac:dyDescent="0.35">
      <c r="A5346" s="1">
        <v>1976</v>
      </c>
      <c r="B5346" t="s">
        <v>200</v>
      </c>
      <c r="C5346" t="s">
        <v>201</v>
      </c>
      <c r="D5346">
        <v>112975</v>
      </c>
    </row>
    <row r="5347" spans="1:4" x14ac:dyDescent="0.35">
      <c r="A5347" s="1">
        <v>1976</v>
      </c>
      <c r="B5347" t="s">
        <v>202</v>
      </c>
      <c r="C5347" t="s">
        <v>203</v>
      </c>
      <c r="D5347">
        <v>98349</v>
      </c>
    </row>
    <row r="5348" spans="1:4" x14ac:dyDescent="0.35">
      <c r="A5348" s="1">
        <v>1976</v>
      </c>
      <c r="B5348" t="s">
        <v>204</v>
      </c>
      <c r="C5348" t="s">
        <v>205</v>
      </c>
      <c r="D5348">
        <v>823536</v>
      </c>
    </row>
    <row r="5349" spans="1:4" x14ac:dyDescent="0.35">
      <c r="A5349" s="1">
        <v>1976</v>
      </c>
      <c r="B5349" t="s">
        <v>12</v>
      </c>
      <c r="C5349" t="s">
        <v>13</v>
      </c>
      <c r="D5349">
        <v>258560</v>
      </c>
    </row>
    <row r="5350" spans="1:4" x14ac:dyDescent="0.35">
      <c r="A5350" s="1">
        <v>1976</v>
      </c>
      <c r="B5350" t="s">
        <v>84</v>
      </c>
      <c r="C5350" t="s">
        <v>85</v>
      </c>
      <c r="D5350">
        <v>308495</v>
      </c>
    </row>
    <row r="5351" spans="1:4" x14ac:dyDescent="0.35">
      <c r="A5351" s="1">
        <v>1976</v>
      </c>
      <c r="B5351" t="s">
        <v>164</v>
      </c>
      <c r="C5351" t="s">
        <v>165</v>
      </c>
      <c r="D5351">
        <v>137545</v>
      </c>
    </row>
    <row r="5352" spans="1:4" x14ac:dyDescent="0.35">
      <c r="A5352" s="1">
        <v>1976</v>
      </c>
      <c r="B5352" t="s">
        <v>86</v>
      </c>
      <c r="C5352" t="s">
        <v>87</v>
      </c>
      <c r="D5352">
        <v>285689</v>
      </c>
    </row>
    <row r="5353" spans="1:4" x14ac:dyDescent="0.35">
      <c r="A5353" s="1">
        <v>1976</v>
      </c>
      <c r="B5353" t="s">
        <v>166</v>
      </c>
      <c r="C5353" t="s">
        <v>167</v>
      </c>
      <c r="D5353">
        <v>273721</v>
      </c>
    </row>
    <row r="5354" spans="1:4" x14ac:dyDescent="0.35">
      <c r="A5354" s="1">
        <v>1976</v>
      </c>
      <c r="B5354" t="s">
        <v>168</v>
      </c>
      <c r="C5354" t="s">
        <v>169</v>
      </c>
      <c r="D5354">
        <v>278669</v>
      </c>
    </row>
    <row r="5355" spans="1:4" x14ac:dyDescent="0.35">
      <c r="A5355" s="1">
        <v>1976</v>
      </c>
      <c r="B5355" t="s">
        <v>206</v>
      </c>
      <c r="C5355" t="s">
        <v>207</v>
      </c>
      <c r="D5355">
        <v>1643806</v>
      </c>
    </row>
    <row r="5356" spans="1:4" x14ac:dyDescent="0.35">
      <c r="A5356" s="1">
        <v>1976</v>
      </c>
      <c r="B5356" t="s">
        <v>130</v>
      </c>
      <c r="C5356" t="s">
        <v>131</v>
      </c>
      <c r="D5356">
        <v>564494</v>
      </c>
    </row>
    <row r="5357" spans="1:4" x14ac:dyDescent="0.35">
      <c r="A5357" s="1">
        <v>1976</v>
      </c>
      <c r="B5357" t="s">
        <v>14</v>
      </c>
      <c r="C5357" t="s">
        <v>15</v>
      </c>
      <c r="D5357">
        <v>166306</v>
      </c>
    </row>
    <row r="5358" spans="1:4" x14ac:dyDescent="0.35">
      <c r="A5358" s="1">
        <v>1976</v>
      </c>
      <c r="B5358" t="s">
        <v>140</v>
      </c>
      <c r="C5358" t="s">
        <v>141</v>
      </c>
      <c r="D5358">
        <v>337852</v>
      </c>
    </row>
    <row r="5359" spans="1:4" x14ac:dyDescent="0.35">
      <c r="A5359" s="1">
        <v>1976</v>
      </c>
      <c r="B5359" t="s">
        <v>142</v>
      </c>
      <c r="C5359" t="s">
        <v>143</v>
      </c>
      <c r="D5359">
        <v>500056</v>
      </c>
    </row>
    <row r="5360" spans="1:4" x14ac:dyDescent="0.35">
      <c r="A5360" s="1">
        <v>1976</v>
      </c>
      <c r="B5360" t="s">
        <v>56</v>
      </c>
      <c r="C5360" t="s">
        <v>57</v>
      </c>
      <c r="D5360">
        <v>317024</v>
      </c>
    </row>
    <row r="5361" spans="1:4" x14ac:dyDescent="0.35">
      <c r="A5361" s="1">
        <v>1976</v>
      </c>
      <c r="B5361" t="s">
        <v>144</v>
      </c>
      <c r="C5361" t="s">
        <v>145</v>
      </c>
      <c r="D5361">
        <v>240744</v>
      </c>
    </row>
    <row r="5362" spans="1:4" x14ac:dyDescent="0.35">
      <c r="A5362" s="1">
        <v>1976</v>
      </c>
      <c r="B5362" t="s">
        <v>68</v>
      </c>
      <c r="C5362" t="s">
        <v>69</v>
      </c>
      <c r="D5362">
        <v>102350</v>
      </c>
    </row>
    <row r="5363" spans="1:4" x14ac:dyDescent="0.35">
      <c r="A5363" s="1">
        <v>1976</v>
      </c>
      <c r="B5363" t="s">
        <v>70</v>
      </c>
      <c r="C5363" t="s">
        <v>71</v>
      </c>
      <c r="D5363">
        <v>126260</v>
      </c>
    </row>
    <row r="5364" spans="1:4" x14ac:dyDescent="0.35">
      <c r="A5364" s="1">
        <v>1976</v>
      </c>
      <c r="B5364" t="s">
        <v>32</v>
      </c>
      <c r="C5364" t="s">
        <v>219</v>
      </c>
      <c r="D5364">
        <v>458180</v>
      </c>
    </row>
    <row r="5365" spans="1:4" x14ac:dyDescent="0.35">
      <c r="A5365" s="1">
        <v>1976</v>
      </c>
      <c r="B5365" t="s">
        <v>48</v>
      </c>
      <c r="C5365" t="s">
        <v>220</v>
      </c>
      <c r="D5365">
        <v>527608</v>
      </c>
    </row>
    <row r="5366" spans="1:4" x14ac:dyDescent="0.35">
      <c r="A5366" s="1">
        <v>1976</v>
      </c>
      <c r="B5366" t="s">
        <v>146</v>
      </c>
      <c r="C5366" t="s">
        <v>147</v>
      </c>
      <c r="D5366">
        <v>145630</v>
      </c>
    </row>
    <row r="5367" spans="1:4" x14ac:dyDescent="0.35">
      <c r="A5367" s="1">
        <v>1976</v>
      </c>
      <c r="B5367" t="s">
        <v>148</v>
      </c>
      <c r="C5367" t="s">
        <v>149</v>
      </c>
      <c r="D5367">
        <v>373871</v>
      </c>
    </row>
    <row r="5368" spans="1:4" x14ac:dyDescent="0.35">
      <c r="A5368" s="1">
        <v>1976</v>
      </c>
      <c r="B5368" t="s">
        <v>34</v>
      </c>
      <c r="C5368" t="s">
        <v>35</v>
      </c>
      <c r="D5368">
        <v>471381</v>
      </c>
    </row>
    <row r="5369" spans="1:4" x14ac:dyDescent="0.35">
      <c r="A5369" s="1">
        <v>1976</v>
      </c>
      <c r="B5369" t="s">
        <v>16</v>
      </c>
      <c r="C5369" t="s">
        <v>17</v>
      </c>
      <c r="D5369">
        <v>365151</v>
      </c>
    </row>
    <row r="5370" spans="1:4" x14ac:dyDescent="0.35">
      <c r="A5370" s="1">
        <v>1976</v>
      </c>
      <c r="B5370" t="s">
        <v>132</v>
      </c>
      <c r="C5370" t="s">
        <v>133</v>
      </c>
      <c r="D5370">
        <v>427739</v>
      </c>
    </row>
    <row r="5371" spans="1:4" x14ac:dyDescent="0.35">
      <c r="A5371" s="1">
        <v>1976</v>
      </c>
      <c r="B5371" t="s">
        <v>58</v>
      </c>
      <c r="C5371" t="s">
        <v>59</v>
      </c>
      <c r="D5371">
        <v>338372</v>
      </c>
    </row>
    <row r="5372" spans="1:4" x14ac:dyDescent="0.35">
      <c r="A5372" s="1">
        <v>1976</v>
      </c>
      <c r="B5372" t="s">
        <v>50</v>
      </c>
      <c r="C5372" t="s">
        <v>51</v>
      </c>
      <c r="D5372">
        <v>807446</v>
      </c>
    </row>
    <row r="5373" spans="1:4" x14ac:dyDescent="0.35">
      <c r="A5373" s="1">
        <v>1976</v>
      </c>
      <c r="B5373" t="s">
        <v>170</v>
      </c>
      <c r="C5373" t="s">
        <v>171</v>
      </c>
      <c r="D5373">
        <v>499279</v>
      </c>
    </row>
    <row r="5374" spans="1:4" x14ac:dyDescent="0.35">
      <c r="A5374" s="1">
        <v>1976</v>
      </c>
      <c r="B5374" t="s">
        <v>172</v>
      </c>
      <c r="C5374" t="s">
        <v>173</v>
      </c>
      <c r="D5374">
        <v>783123</v>
      </c>
    </row>
    <row r="5375" spans="1:4" x14ac:dyDescent="0.35">
      <c r="A5375" s="1">
        <v>1976</v>
      </c>
      <c r="B5375" t="s">
        <v>174</v>
      </c>
      <c r="C5375" t="s">
        <v>175</v>
      </c>
      <c r="D5375">
        <v>175596</v>
      </c>
    </row>
    <row r="5376" spans="1:4" x14ac:dyDescent="0.35">
      <c r="A5376" s="1">
        <v>1976</v>
      </c>
      <c r="B5376" t="s">
        <v>150</v>
      </c>
      <c r="C5376" t="s">
        <v>151</v>
      </c>
      <c r="D5376">
        <v>1069680</v>
      </c>
    </row>
    <row r="5377" spans="1:4" x14ac:dyDescent="0.35">
      <c r="A5377" s="1">
        <v>1976</v>
      </c>
      <c r="B5377" t="s">
        <v>176</v>
      </c>
      <c r="C5377" t="s">
        <v>177</v>
      </c>
      <c r="D5377">
        <v>654849</v>
      </c>
    </row>
    <row r="5378" spans="1:4" x14ac:dyDescent="0.35">
      <c r="A5378" s="1">
        <v>1976</v>
      </c>
      <c r="B5378" t="s">
        <v>52</v>
      </c>
      <c r="C5378" t="s">
        <v>53</v>
      </c>
      <c r="D5378">
        <v>708632</v>
      </c>
    </row>
    <row r="5379" spans="1:4" x14ac:dyDescent="0.35">
      <c r="A5379" s="1">
        <v>1976</v>
      </c>
      <c r="B5379" t="s">
        <v>60</v>
      </c>
      <c r="C5379" t="s">
        <v>61</v>
      </c>
      <c r="D5379">
        <v>248075</v>
      </c>
    </row>
    <row r="5380" spans="1:4" x14ac:dyDescent="0.35">
      <c r="A5380" s="1">
        <v>1976</v>
      </c>
      <c r="B5380" t="s">
        <v>62</v>
      </c>
      <c r="C5380" t="s">
        <v>63</v>
      </c>
      <c r="D5380">
        <v>482212</v>
      </c>
    </row>
    <row r="5381" spans="1:4" x14ac:dyDescent="0.35">
      <c r="A5381" s="1">
        <v>1976</v>
      </c>
      <c r="B5381" t="s">
        <v>18</v>
      </c>
      <c r="C5381" t="s">
        <v>19</v>
      </c>
      <c r="D5381">
        <v>869354</v>
      </c>
    </row>
    <row r="5382" spans="1:4" x14ac:dyDescent="0.35">
      <c r="A5382" s="1">
        <v>1976</v>
      </c>
      <c r="B5382" t="s">
        <v>36</v>
      </c>
      <c r="C5382" t="s">
        <v>37</v>
      </c>
      <c r="D5382">
        <v>239652</v>
      </c>
    </row>
    <row r="5383" spans="1:4" x14ac:dyDescent="0.35">
      <c r="A5383" s="1">
        <v>1976</v>
      </c>
      <c r="B5383" t="s">
        <v>152</v>
      </c>
      <c r="C5383" t="s">
        <v>153</v>
      </c>
      <c r="D5383">
        <v>289567</v>
      </c>
    </row>
    <row r="5384" spans="1:4" x14ac:dyDescent="0.35">
      <c r="A5384" s="1">
        <v>1976</v>
      </c>
      <c r="B5384" t="s">
        <v>64</v>
      </c>
      <c r="C5384" t="s">
        <v>65</v>
      </c>
      <c r="D5384">
        <v>285457</v>
      </c>
    </row>
    <row r="5385" spans="1:4" x14ac:dyDescent="0.35">
      <c r="A5385" s="1">
        <v>1976</v>
      </c>
      <c r="B5385" t="s">
        <v>20</v>
      </c>
      <c r="C5385" t="s">
        <v>21</v>
      </c>
      <c r="D5385">
        <v>742084</v>
      </c>
    </row>
    <row r="5386" spans="1:4" x14ac:dyDescent="0.35">
      <c r="A5386" s="1">
        <v>1976</v>
      </c>
      <c r="B5386" t="s">
        <v>22</v>
      </c>
      <c r="C5386" t="s">
        <v>23</v>
      </c>
      <c r="D5386">
        <v>205771</v>
      </c>
    </row>
    <row r="5387" spans="1:4" x14ac:dyDescent="0.35">
      <c r="A5387" s="1">
        <v>1976</v>
      </c>
      <c r="B5387" t="s">
        <v>190</v>
      </c>
      <c r="C5387" t="s">
        <v>191</v>
      </c>
      <c r="D5387">
        <v>942145</v>
      </c>
    </row>
    <row r="5388" spans="1:4" x14ac:dyDescent="0.35">
      <c r="A5388" s="1">
        <v>1976</v>
      </c>
      <c r="B5388" t="s">
        <v>66</v>
      </c>
      <c r="C5388" t="s">
        <v>67</v>
      </c>
      <c r="D5388">
        <v>495510</v>
      </c>
    </row>
    <row r="5389" spans="1:4" x14ac:dyDescent="0.35">
      <c r="A5389" s="1">
        <v>1976</v>
      </c>
      <c r="B5389" t="s">
        <v>178</v>
      </c>
      <c r="C5389" t="s">
        <v>179</v>
      </c>
      <c r="D5389">
        <v>151259</v>
      </c>
    </row>
    <row r="5390" spans="1:4" x14ac:dyDescent="0.35">
      <c r="A5390" s="1">
        <v>1976</v>
      </c>
      <c r="B5390" t="s">
        <v>154</v>
      </c>
      <c r="C5390" t="s">
        <v>155</v>
      </c>
      <c r="D5390">
        <v>293579</v>
      </c>
    </row>
    <row r="5391" spans="1:4" x14ac:dyDescent="0.35">
      <c r="A5391" s="1">
        <v>1976</v>
      </c>
      <c r="B5391" t="s">
        <v>180</v>
      </c>
      <c r="C5391" t="s">
        <v>181</v>
      </c>
      <c r="D5391">
        <v>74753</v>
      </c>
    </row>
    <row r="5392" spans="1:4" x14ac:dyDescent="0.35">
      <c r="A5392" s="1">
        <v>1976</v>
      </c>
      <c r="B5392" t="s">
        <v>192</v>
      </c>
      <c r="C5392" t="s">
        <v>193</v>
      </c>
      <c r="D5392">
        <v>635877</v>
      </c>
    </row>
    <row r="5393" spans="1:4" x14ac:dyDescent="0.35">
      <c r="A5393" s="1">
        <v>1976</v>
      </c>
      <c r="B5393" t="s">
        <v>134</v>
      </c>
      <c r="C5393" t="s">
        <v>135</v>
      </c>
      <c r="D5393">
        <v>454011</v>
      </c>
    </row>
    <row r="5394" spans="1:4" x14ac:dyDescent="0.35">
      <c r="A5394" s="1">
        <v>1976</v>
      </c>
      <c r="B5394" t="s">
        <v>88</v>
      </c>
      <c r="C5394" t="s">
        <v>89</v>
      </c>
      <c r="D5394">
        <v>531699</v>
      </c>
    </row>
    <row r="5395" spans="1:4" x14ac:dyDescent="0.35">
      <c r="A5395" s="1">
        <v>1976</v>
      </c>
      <c r="B5395" t="s">
        <v>90</v>
      </c>
      <c r="C5395" t="s">
        <v>91</v>
      </c>
      <c r="D5395">
        <v>212099</v>
      </c>
    </row>
    <row r="5396" spans="1:4" x14ac:dyDescent="0.35">
      <c r="A5396" s="1">
        <v>1976</v>
      </c>
      <c r="B5396" t="s">
        <v>194</v>
      </c>
      <c r="C5396" t="s">
        <v>195</v>
      </c>
      <c r="D5396">
        <v>263266</v>
      </c>
    </row>
    <row r="5397" spans="1:4" x14ac:dyDescent="0.35">
      <c r="A5397" s="1">
        <v>1976</v>
      </c>
      <c r="B5397" t="s">
        <v>92</v>
      </c>
      <c r="C5397" t="s">
        <v>93</v>
      </c>
      <c r="D5397">
        <v>721689</v>
      </c>
    </row>
    <row r="5398" spans="1:4" x14ac:dyDescent="0.35">
      <c r="A5398" s="1">
        <v>1976</v>
      </c>
      <c r="B5398" t="s">
        <v>94</v>
      </c>
      <c r="C5398" t="s">
        <v>95</v>
      </c>
      <c r="D5398">
        <v>203708</v>
      </c>
    </row>
    <row r="5399" spans="1:4" x14ac:dyDescent="0.35">
      <c r="A5399" s="1">
        <v>1976</v>
      </c>
      <c r="B5399" t="s">
        <v>54</v>
      </c>
      <c r="C5399" t="s">
        <v>55</v>
      </c>
      <c r="D5399">
        <v>567349</v>
      </c>
    </row>
    <row r="5400" spans="1:4" x14ac:dyDescent="0.35">
      <c r="A5400" s="1">
        <v>1976</v>
      </c>
      <c r="B5400" t="s">
        <v>96</v>
      </c>
      <c r="C5400" t="s">
        <v>97</v>
      </c>
      <c r="D5400">
        <v>1006076</v>
      </c>
    </row>
    <row r="5401" spans="1:4" x14ac:dyDescent="0.35">
      <c r="A5401" s="1">
        <v>1976</v>
      </c>
      <c r="B5401" t="s">
        <v>38</v>
      </c>
      <c r="C5401" t="s">
        <v>39</v>
      </c>
      <c r="D5401">
        <v>244880</v>
      </c>
    </row>
    <row r="5402" spans="1:4" x14ac:dyDescent="0.35">
      <c r="A5402" s="1">
        <v>1976</v>
      </c>
      <c r="B5402" t="s">
        <v>106</v>
      </c>
      <c r="C5402" t="s">
        <v>107</v>
      </c>
      <c r="D5402">
        <v>2510975</v>
      </c>
    </row>
    <row r="5403" spans="1:4" x14ac:dyDescent="0.35">
      <c r="A5403" s="1">
        <v>1976</v>
      </c>
      <c r="B5403" t="s">
        <v>108</v>
      </c>
      <c r="C5403" t="s">
        <v>109</v>
      </c>
      <c r="D5403">
        <v>613007</v>
      </c>
    </row>
    <row r="5404" spans="1:4" x14ac:dyDescent="0.35">
      <c r="A5404" s="1">
        <v>1976</v>
      </c>
      <c r="B5404" t="s">
        <v>136</v>
      </c>
      <c r="C5404" t="s">
        <v>137</v>
      </c>
      <c r="D5404">
        <v>294049</v>
      </c>
    </row>
    <row r="5405" spans="1:4" x14ac:dyDescent="0.35">
      <c r="A5405" s="1">
        <v>1976</v>
      </c>
      <c r="B5405" t="s">
        <v>110</v>
      </c>
      <c r="C5405" t="s">
        <v>111</v>
      </c>
      <c r="D5405">
        <v>1405441</v>
      </c>
    </row>
    <row r="5406" spans="1:4" x14ac:dyDescent="0.35">
      <c r="A5406" s="1">
        <v>1976</v>
      </c>
      <c r="B5406" t="s">
        <v>24</v>
      </c>
      <c r="C5406" t="s">
        <v>25</v>
      </c>
      <c r="D5406">
        <v>582093</v>
      </c>
    </row>
    <row r="5407" spans="1:4" x14ac:dyDescent="0.35">
      <c r="A5407" s="1">
        <v>1976</v>
      </c>
      <c r="B5407" t="s">
        <v>156</v>
      </c>
      <c r="C5407" t="s">
        <v>157</v>
      </c>
      <c r="D5407">
        <v>537559</v>
      </c>
    </row>
    <row r="5408" spans="1:4" x14ac:dyDescent="0.35">
      <c r="A5408" s="1">
        <v>1976</v>
      </c>
      <c r="B5408" t="s">
        <v>182</v>
      </c>
      <c r="C5408" t="s">
        <v>183</v>
      </c>
      <c r="D5408">
        <v>227350</v>
      </c>
    </row>
    <row r="5409" spans="1:4" x14ac:dyDescent="0.35">
      <c r="A5409" s="1">
        <v>1976</v>
      </c>
      <c r="B5409" t="s">
        <v>184</v>
      </c>
      <c r="C5409" t="s">
        <v>185</v>
      </c>
      <c r="D5409">
        <v>303725</v>
      </c>
    </row>
    <row r="5410" spans="1:4" x14ac:dyDescent="0.35">
      <c r="A5410" s="1">
        <v>1976</v>
      </c>
      <c r="B5410" t="s">
        <v>98</v>
      </c>
      <c r="C5410" t="s">
        <v>99</v>
      </c>
      <c r="D5410">
        <v>886215</v>
      </c>
    </row>
    <row r="5411" spans="1:4" x14ac:dyDescent="0.35">
      <c r="A5411" s="1">
        <v>1976</v>
      </c>
      <c r="B5411" t="s">
        <v>100</v>
      </c>
      <c r="C5411" t="s">
        <v>101</v>
      </c>
      <c r="D5411">
        <v>636822</v>
      </c>
    </row>
    <row r="5412" spans="1:4" x14ac:dyDescent="0.35">
      <c r="A5412" s="1">
        <v>1976</v>
      </c>
      <c r="B5412" t="s">
        <v>26</v>
      </c>
      <c r="C5412" t="s">
        <v>27</v>
      </c>
      <c r="D5412">
        <v>1429894</v>
      </c>
    </row>
    <row r="5413" spans="1:4" x14ac:dyDescent="0.35">
      <c r="A5413" s="1">
        <v>1976</v>
      </c>
      <c r="B5413" t="s">
        <v>40</v>
      </c>
      <c r="C5413" t="s">
        <v>41</v>
      </c>
      <c r="D5413">
        <v>223640</v>
      </c>
    </row>
    <row r="5414" spans="1:4" x14ac:dyDescent="0.35">
      <c r="A5414" s="1">
        <v>1976</v>
      </c>
      <c r="B5414" t="s">
        <v>42</v>
      </c>
      <c r="C5414" t="s">
        <v>43</v>
      </c>
      <c r="D5414">
        <v>570405</v>
      </c>
    </row>
    <row r="5415" spans="1:4" x14ac:dyDescent="0.35">
      <c r="A5415" s="1">
        <v>1976</v>
      </c>
      <c r="B5415" t="s">
        <v>196</v>
      </c>
      <c r="C5415" t="s">
        <v>197</v>
      </c>
      <c r="D5415">
        <v>492800</v>
      </c>
    </row>
    <row r="5416" spans="1:4" x14ac:dyDescent="0.35">
      <c r="A5416" s="1">
        <v>1976</v>
      </c>
      <c r="B5416" t="s">
        <v>28</v>
      </c>
      <c r="C5416" t="s">
        <v>29</v>
      </c>
      <c r="D5416">
        <v>307354</v>
      </c>
    </row>
    <row r="5417" spans="1:4" x14ac:dyDescent="0.35">
      <c r="A5417" s="1">
        <v>1976</v>
      </c>
      <c r="B5417" t="s">
        <v>30</v>
      </c>
      <c r="C5417" t="s">
        <v>31</v>
      </c>
      <c r="D5417">
        <v>452765</v>
      </c>
    </row>
    <row r="5418" spans="1:4" x14ac:dyDescent="0.35">
      <c r="A5418" s="1">
        <v>1976</v>
      </c>
      <c r="B5418" t="s">
        <v>114</v>
      </c>
      <c r="C5418" t="s">
        <v>115</v>
      </c>
      <c r="D5418">
        <v>2286548</v>
      </c>
    </row>
    <row r="5419" spans="1:4" x14ac:dyDescent="0.35">
      <c r="A5419" s="1">
        <v>1976</v>
      </c>
      <c r="B5419" t="s">
        <v>138</v>
      </c>
      <c r="C5419" t="s">
        <v>139</v>
      </c>
      <c r="D5419">
        <v>1175648</v>
      </c>
    </row>
    <row r="5420" spans="1:4" x14ac:dyDescent="0.35">
      <c r="A5420" s="1">
        <v>1976</v>
      </c>
      <c r="B5420" t="s">
        <v>116</v>
      </c>
      <c r="C5420" t="s">
        <v>117</v>
      </c>
      <c r="D5420">
        <v>769625</v>
      </c>
    </row>
    <row r="5421" spans="1:4" x14ac:dyDescent="0.35">
      <c r="A5421" s="1">
        <v>1976</v>
      </c>
      <c r="B5421" t="s">
        <v>118</v>
      </c>
      <c r="C5421" t="s">
        <v>119</v>
      </c>
      <c r="D5421">
        <v>1093584</v>
      </c>
    </row>
    <row r="5422" spans="1:4" x14ac:dyDescent="0.35">
      <c r="A5422" s="1">
        <v>1976</v>
      </c>
      <c r="B5422" t="s">
        <v>158</v>
      </c>
      <c r="C5422" t="s">
        <v>159</v>
      </c>
      <c r="D5422">
        <v>337105</v>
      </c>
    </row>
    <row r="5423" spans="1:4" x14ac:dyDescent="0.35">
      <c r="A5423" s="1">
        <v>1976</v>
      </c>
      <c r="B5423" t="s">
        <v>112</v>
      </c>
      <c r="C5423" t="s">
        <v>113</v>
      </c>
      <c r="D5423">
        <v>539494</v>
      </c>
    </row>
    <row r="5424" spans="1:4" x14ac:dyDescent="0.35">
      <c r="A5424" s="1">
        <v>1976</v>
      </c>
      <c r="B5424" t="s">
        <v>186</v>
      </c>
      <c r="C5424" t="s">
        <v>187</v>
      </c>
      <c r="D5424">
        <v>338303</v>
      </c>
    </row>
    <row r="5425" spans="1:4" x14ac:dyDescent="0.35">
      <c r="A5425" s="1">
        <v>1976</v>
      </c>
      <c r="B5425" t="s">
        <v>188</v>
      </c>
      <c r="C5425" t="s">
        <v>189</v>
      </c>
      <c r="D5425">
        <v>184447</v>
      </c>
    </row>
    <row r="5426" spans="1:4" x14ac:dyDescent="0.35">
      <c r="A5426" s="1">
        <v>1976</v>
      </c>
      <c r="B5426" t="s">
        <v>208</v>
      </c>
      <c r="C5426" t="s">
        <v>209</v>
      </c>
      <c r="D5426">
        <v>635605</v>
      </c>
    </row>
    <row r="5427" spans="1:4" x14ac:dyDescent="0.35">
      <c r="A5427" s="1">
        <v>1976</v>
      </c>
      <c r="B5427" t="s">
        <v>210</v>
      </c>
      <c r="C5427" t="s">
        <v>211</v>
      </c>
      <c r="D5427">
        <v>394936</v>
      </c>
    </row>
    <row r="5428" spans="1:4" x14ac:dyDescent="0.35">
      <c r="A5428" s="1">
        <v>1976</v>
      </c>
      <c r="B5428" t="s">
        <v>198</v>
      </c>
      <c r="C5428" t="s">
        <v>199</v>
      </c>
      <c r="D5428">
        <v>454912</v>
      </c>
    </row>
    <row r="5429" spans="1:4" x14ac:dyDescent="0.35">
      <c r="A5429" s="1">
        <v>1976</v>
      </c>
      <c r="B5429" t="s">
        <v>160</v>
      </c>
      <c r="C5429" t="s">
        <v>161</v>
      </c>
      <c r="D5429">
        <v>359375</v>
      </c>
    </row>
    <row r="5430" spans="1:4" x14ac:dyDescent="0.35">
      <c r="A5430" s="1">
        <v>1976</v>
      </c>
      <c r="B5430" t="s">
        <v>162</v>
      </c>
      <c r="C5430" t="s">
        <v>163</v>
      </c>
      <c r="D5430">
        <v>352753</v>
      </c>
    </row>
    <row r="5431" spans="1:4" x14ac:dyDescent="0.35">
      <c r="A5431" s="1">
        <v>1976</v>
      </c>
      <c r="B5431" t="s">
        <v>102</v>
      </c>
      <c r="C5431" t="s">
        <v>103</v>
      </c>
      <c r="D5431">
        <v>397898</v>
      </c>
    </row>
    <row r="5432" spans="1:4" x14ac:dyDescent="0.35">
      <c r="A5432" s="1">
        <v>1976</v>
      </c>
      <c r="B5432" t="s">
        <v>44</v>
      </c>
      <c r="C5432" t="s">
        <v>45</v>
      </c>
      <c r="D5432">
        <v>301298</v>
      </c>
    </row>
    <row r="5433" spans="1:4" x14ac:dyDescent="0.35">
      <c r="A5433" s="1">
        <v>1976</v>
      </c>
      <c r="B5433" t="s">
        <v>46</v>
      </c>
      <c r="C5433" t="s">
        <v>221</v>
      </c>
      <c r="D5433">
        <v>128711</v>
      </c>
    </row>
    <row r="5434" spans="1:4" x14ac:dyDescent="0.35">
      <c r="A5434" s="1">
        <v>1976</v>
      </c>
      <c r="B5434" t="s">
        <v>120</v>
      </c>
      <c r="C5434" t="s">
        <v>121</v>
      </c>
      <c r="D5434">
        <v>928069</v>
      </c>
    </row>
    <row r="5435" spans="1:4" x14ac:dyDescent="0.35">
      <c r="A5435" s="1">
        <v>1976</v>
      </c>
      <c r="B5435" t="s">
        <v>122</v>
      </c>
      <c r="C5435" t="s">
        <v>222</v>
      </c>
      <c r="D5435">
        <v>1430526</v>
      </c>
    </row>
    <row r="5436" spans="1:4" x14ac:dyDescent="0.35">
      <c r="A5436" s="1">
        <v>1976</v>
      </c>
      <c r="B5436" t="s">
        <v>124</v>
      </c>
      <c r="C5436" t="s">
        <v>125</v>
      </c>
      <c r="D5436">
        <v>1319697</v>
      </c>
    </row>
    <row r="5437" spans="1:4" x14ac:dyDescent="0.35">
      <c r="A5437" s="1">
        <v>1976</v>
      </c>
      <c r="B5437" t="s">
        <v>126</v>
      </c>
      <c r="C5437" t="s">
        <v>127</v>
      </c>
      <c r="D5437">
        <v>1210395</v>
      </c>
    </row>
    <row r="5438" spans="1:4" x14ac:dyDescent="0.35">
      <c r="A5438" s="1">
        <v>1976</v>
      </c>
      <c r="B5438" t="s">
        <v>128</v>
      </c>
      <c r="C5438" t="s">
        <v>129</v>
      </c>
      <c r="D5438">
        <v>849034</v>
      </c>
    </row>
    <row r="5439" spans="1:4" x14ac:dyDescent="0.35">
      <c r="A5439" s="1">
        <v>1976</v>
      </c>
      <c r="B5439" t="s">
        <v>257</v>
      </c>
      <c r="D5439">
        <v>52798338</v>
      </c>
    </row>
    <row r="5440" spans="1:4" x14ac:dyDescent="0.35">
      <c r="A5440" s="1">
        <v>1976</v>
      </c>
    </row>
    <row r="5441" spans="1:4" x14ac:dyDescent="0.35">
      <c r="A5441" s="1">
        <v>1976</v>
      </c>
      <c r="B5441" t="s">
        <v>240</v>
      </c>
    </row>
    <row r="5442" spans="1:4" x14ac:dyDescent="0.35">
      <c r="A5442" s="1">
        <v>1976</v>
      </c>
      <c r="B5442" t="s">
        <v>278</v>
      </c>
    </row>
    <row r="5443" spans="1:4" x14ac:dyDescent="0.35">
      <c r="A5443" s="1">
        <v>1975</v>
      </c>
      <c r="B5443" t="s">
        <v>251</v>
      </c>
    </row>
    <row r="5444" spans="1:4" x14ac:dyDescent="0.35">
      <c r="A5444" s="1">
        <v>1975</v>
      </c>
      <c r="B5444" t="s">
        <v>292</v>
      </c>
    </row>
    <row r="5445" spans="1:4" x14ac:dyDescent="0.35">
      <c r="A5445" s="1">
        <v>1975</v>
      </c>
    </row>
    <row r="5446" spans="1:4" x14ac:dyDescent="0.35">
      <c r="A5446" s="1">
        <v>1975</v>
      </c>
      <c r="B5446" t="s">
        <v>231</v>
      </c>
    </row>
    <row r="5447" spans="1:4" x14ac:dyDescent="0.35">
      <c r="A5447" s="1">
        <v>1975</v>
      </c>
      <c r="D5447" t="s">
        <v>232</v>
      </c>
    </row>
    <row r="5448" spans="1:4" x14ac:dyDescent="0.35">
      <c r="A5448" s="1">
        <v>1975</v>
      </c>
      <c r="B5448" t="s">
        <v>5</v>
      </c>
      <c r="C5448" t="s">
        <v>6</v>
      </c>
      <c r="D5448">
        <v>376277</v>
      </c>
    </row>
    <row r="5449" spans="1:4" x14ac:dyDescent="0.35">
      <c r="A5449" s="1">
        <v>1975</v>
      </c>
      <c r="B5449" t="s">
        <v>104</v>
      </c>
      <c r="C5449" t="s">
        <v>105</v>
      </c>
      <c r="D5449">
        <v>534439</v>
      </c>
    </row>
    <row r="5450" spans="1:4" x14ac:dyDescent="0.35">
      <c r="A5450" s="1">
        <v>1975</v>
      </c>
      <c r="B5450" t="s">
        <v>10</v>
      </c>
      <c r="C5450" t="s">
        <v>11</v>
      </c>
      <c r="D5450">
        <v>379172</v>
      </c>
    </row>
    <row r="5451" spans="1:4" x14ac:dyDescent="0.35">
      <c r="A5451" s="1">
        <v>1975</v>
      </c>
      <c r="B5451" t="s">
        <v>200</v>
      </c>
      <c r="C5451" t="s">
        <v>201</v>
      </c>
      <c r="D5451">
        <v>112168</v>
      </c>
    </row>
    <row r="5452" spans="1:4" x14ac:dyDescent="0.35">
      <c r="A5452" s="1">
        <v>1975</v>
      </c>
      <c r="B5452" t="s">
        <v>202</v>
      </c>
      <c r="C5452" t="s">
        <v>203</v>
      </c>
      <c r="D5452">
        <v>97407</v>
      </c>
    </row>
    <row r="5453" spans="1:4" x14ac:dyDescent="0.35">
      <c r="A5453" s="1">
        <v>1975</v>
      </c>
      <c r="B5453" t="s">
        <v>204</v>
      </c>
      <c r="C5453" t="s">
        <v>205</v>
      </c>
      <c r="D5453">
        <v>815838</v>
      </c>
    </row>
    <row r="5454" spans="1:4" x14ac:dyDescent="0.35">
      <c r="A5454" s="1">
        <v>1975</v>
      </c>
      <c r="B5454" t="s">
        <v>12</v>
      </c>
      <c r="C5454" t="s">
        <v>13</v>
      </c>
      <c r="D5454">
        <v>257419</v>
      </c>
    </row>
    <row r="5455" spans="1:4" x14ac:dyDescent="0.35">
      <c r="A5455" s="1">
        <v>1975</v>
      </c>
      <c r="B5455" t="s">
        <v>84</v>
      </c>
      <c r="C5455" t="s">
        <v>85</v>
      </c>
      <c r="D5455">
        <v>309804</v>
      </c>
    </row>
    <row r="5456" spans="1:4" x14ac:dyDescent="0.35">
      <c r="A5456" s="1">
        <v>1975</v>
      </c>
      <c r="B5456" t="s">
        <v>164</v>
      </c>
      <c r="C5456" t="s">
        <v>165</v>
      </c>
      <c r="D5456">
        <v>138093</v>
      </c>
    </row>
    <row r="5457" spans="1:4" x14ac:dyDescent="0.35">
      <c r="A5457" s="1">
        <v>1975</v>
      </c>
      <c r="B5457" t="s">
        <v>86</v>
      </c>
      <c r="C5457" t="s">
        <v>87</v>
      </c>
      <c r="D5457">
        <v>285062</v>
      </c>
    </row>
    <row r="5458" spans="1:4" x14ac:dyDescent="0.35">
      <c r="A5458" s="1">
        <v>1975</v>
      </c>
      <c r="B5458" t="s">
        <v>166</v>
      </c>
      <c r="C5458" t="s">
        <v>167</v>
      </c>
      <c r="D5458">
        <v>272915</v>
      </c>
    </row>
    <row r="5459" spans="1:4" x14ac:dyDescent="0.35">
      <c r="A5459" s="1">
        <v>1975</v>
      </c>
      <c r="B5459" t="s">
        <v>168</v>
      </c>
      <c r="C5459" t="s">
        <v>169</v>
      </c>
      <c r="D5459">
        <v>278844</v>
      </c>
    </row>
    <row r="5460" spans="1:4" x14ac:dyDescent="0.35">
      <c r="A5460" s="1">
        <v>1975</v>
      </c>
      <c r="B5460" t="s">
        <v>206</v>
      </c>
      <c r="C5460" t="s">
        <v>207</v>
      </c>
      <c r="D5460">
        <v>1631982</v>
      </c>
    </row>
    <row r="5461" spans="1:4" x14ac:dyDescent="0.35">
      <c r="A5461" s="1">
        <v>1975</v>
      </c>
      <c r="B5461" t="s">
        <v>130</v>
      </c>
      <c r="C5461" t="s">
        <v>131</v>
      </c>
      <c r="D5461">
        <v>560878</v>
      </c>
    </row>
    <row r="5462" spans="1:4" x14ac:dyDescent="0.35">
      <c r="A5462" s="1">
        <v>1975</v>
      </c>
      <c r="B5462" t="s">
        <v>14</v>
      </c>
      <c r="C5462" t="s">
        <v>15</v>
      </c>
      <c r="D5462">
        <v>166827</v>
      </c>
    </row>
    <row r="5463" spans="1:4" x14ac:dyDescent="0.35">
      <c r="A5463" s="1">
        <v>1975</v>
      </c>
      <c r="B5463" t="s">
        <v>140</v>
      </c>
      <c r="C5463" t="s">
        <v>141</v>
      </c>
      <c r="D5463">
        <v>337541</v>
      </c>
    </row>
    <row r="5464" spans="1:4" x14ac:dyDescent="0.35">
      <c r="A5464" s="1">
        <v>1975</v>
      </c>
      <c r="B5464" t="s">
        <v>142</v>
      </c>
      <c r="C5464" t="s">
        <v>143</v>
      </c>
      <c r="D5464">
        <v>498197</v>
      </c>
    </row>
    <row r="5465" spans="1:4" x14ac:dyDescent="0.35">
      <c r="A5465" s="1">
        <v>1975</v>
      </c>
      <c r="B5465" t="s">
        <v>56</v>
      </c>
      <c r="C5465" t="s">
        <v>57</v>
      </c>
      <c r="D5465">
        <v>316531</v>
      </c>
    </row>
    <row r="5466" spans="1:4" x14ac:dyDescent="0.35">
      <c r="A5466" s="1">
        <v>1975</v>
      </c>
      <c r="B5466" t="s">
        <v>144</v>
      </c>
      <c r="C5466" t="s">
        <v>145</v>
      </c>
      <c r="D5466">
        <v>240719</v>
      </c>
    </row>
    <row r="5467" spans="1:4" x14ac:dyDescent="0.35">
      <c r="A5467" s="1">
        <v>1975</v>
      </c>
      <c r="B5467" t="s">
        <v>68</v>
      </c>
      <c r="C5467" t="s">
        <v>69</v>
      </c>
      <c r="D5467">
        <v>101496</v>
      </c>
    </row>
    <row r="5468" spans="1:4" x14ac:dyDescent="0.35">
      <c r="A5468" s="1">
        <v>1975</v>
      </c>
      <c r="B5468" t="s">
        <v>70</v>
      </c>
      <c r="C5468" t="s">
        <v>71</v>
      </c>
      <c r="D5468">
        <v>125495</v>
      </c>
    </row>
    <row r="5469" spans="1:4" x14ac:dyDescent="0.35">
      <c r="A5469" s="1">
        <v>1975</v>
      </c>
      <c r="B5469" t="s">
        <v>32</v>
      </c>
      <c r="C5469" t="s">
        <v>219</v>
      </c>
      <c r="D5469">
        <v>455934</v>
      </c>
    </row>
    <row r="5470" spans="1:4" x14ac:dyDescent="0.35">
      <c r="A5470" s="1">
        <v>1975</v>
      </c>
      <c r="B5470" t="s">
        <v>48</v>
      </c>
      <c r="C5470" t="s">
        <v>220</v>
      </c>
      <c r="D5470">
        <v>525932</v>
      </c>
    </row>
    <row r="5471" spans="1:4" x14ac:dyDescent="0.35">
      <c r="A5471" s="1">
        <v>1975</v>
      </c>
      <c r="B5471" t="s">
        <v>146</v>
      </c>
      <c r="C5471" t="s">
        <v>147</v>
      </c>
      <c r="D5471">
        <v>146648</v>
      </c>
    </row>
    <row r="5472" spans="1:4" x14ac:dyDescent="0.35">
      <c r="A5472" s="1">
        <v>1975</v>
      </c>
      <c r="B5472" t="s">
        <v>148</v>
      </c>
      <c r="C5472" t="s">
        <v>149</v>
      </c>
      <c r="D5472">
        <v>373709</v>
      </c>
    </row>
    <row r="5473" spans="1:4" x14ac:dyDescent="0.35">
      <c r="A5473" s="1">
        <v>1975</v>
      </c>
      <c r="B5473" t="s">
        <v>34</v>
      </c>
      <c r="C5473" t="s">
        <v>35</v>
      </c>
      <c r="D5473">
        <v>470687</v>
      </c>
    </row>
    <row r="5474" spans="1:4" x14ac:dyDescent="0.35">
      <c r="A5474" s="1">
        <v>1975</v>
      </c>
      <c r="B5474" t="s">
        <v>16</v>
      </c>
      <c r="C5474" t="s">
        <v>17</v>
      </c>
      <c r="D5474">
        <v>361976</v>
      </c>
    </row>
    <row r="5475" spans="1:4" x14ac:dyDescent="0.35">
      <c r="A5475" s="1">
        <v>1975</v>
      </c>
      <c r="B5475" t="s">
        <v>132</v>
      </c>
      <c r="C5475" t="s">
        <v>133</v>
      </c>
      <c r="D5475">
        <v>422719</v>
      </c>
    </row>
    <row r="5476" spans="1:4" x14ac:dyDescent="0.35">
      <c r="A5476" s="1">
        <v>1975</v>
      </c>
      <c r="B5476" t="s">
        <v>58</v>
      </c>
      <c r="C5476" t="s">
        <v>59</v>
      </c>
      <c r="D5476">
        <v>334931</v>
      </c>
    </row>
    <row r="5477" spans="1:4" x14ac:dyDescent="0.35">
      <c r="A5477" s="1">
        <v>1975</v>
      </c>
      <c r="B5477" t="s">
        <v>50</v>
      </c>
      <c r="C5477" t="s">
        <v>51</v>
      </c>
      <c r="D5477">
        <v>804480</v>
      </c>
    </row>
    <row r="5478" spans="1:4" x14ac:dyDescent="0.35">
      <c r="A5478" s="1">
        <v>1975</v>
      </c>
      <c r="B5478" t="s">
        <v>170</v>
      </c>
      <c r="C5478" t="s">
        <v>171</v>
      </c>
      <c r="D5478">
        <v>494901</v>
      </c>
    </row>
    <row r="5479" spans="1:4" x14ac:dyDescent="0.35">
      <c r="A5479" s="1">
        <v>1975</v>
      </c>
      <c r="B5479" t="s">
        <v>172</v>
      </c>
      <c r="C5479" t="s">
        <v>173</v>
      </c>
      <c r="D5479">
        <v>777019</v>
      </c>
    </row>
    <row r="5480" spans="1:4" x14ac:dyDescent="0.35">
      <c r="A5480" s="1">
        <v>1975</v>
      </c>
      <c r="B5480" t="s">
        <v>174</v>
      </c>
      <c r="C5480" t="s">
        <v>175</v>
      </c>
      <c r="D5480">
        <v>175683</v>
      </c>
    </row>
    <row r="5481" spans="1:4" x14ac:dyDescent="0.35">
      <c r="A5481" s="1">
        <v>1975</v>
      </c>
      <c r="B5481" t="s">
        <v>150</v>
      </c>
      <c r="C5481" t="s">
        <v>151</v>
      </c>
      <c r="D5481">
        <v>1061695</v>
      </c>
    </row>
    <row r="5482" spans="1:4" x14ac:dyDescent="0.35">
      <c r="A5482" s="1">
        <v>1975</v>
      </c>
      <c r="B5482" t="s">
        <v>176</v>
      </c>
      <c r="C5482" t="s">
        <v>177</v>
      </c>
      <c r="D5482">
        <v>648027</v>
      </c>
    </row>
    <row r="5483" spans="1:4" x14ac:dyDescent="0.35">
      <c r="A5483" s="1">
        <v>1975</v>
      </c>
      <c r="B5483" t="s">
        <v>52</v>
      </c>
      <c r="C5483" t="s">
        <v>53</v>
      </c>
      <c r="D5483">
        <v>702028</v>
      </c>
    </row>
    <row r="5484" spans="1:4" x14ac:dyDescent="0.35">
      <c r="A5484" s="1">
        <v>1975</v>
      </c>
      <c r="B5484" t="s">
        <v>60</v>
      </c>
      <c r="C5484" t="s">
        <v>61</v>
      </c>
      <c r="D5484">
        <v>248928</v>
      </c>
    </row>
    <row r="5485" spans="1:4" x14ac:dyDescent="0.35">
      <c r="A5485" s="1">
        <v>1975</v>
      </c>
      <c r="B5485" t="s">
        <v>62</v>
      </c>
      <c r="C5485" t="s">
        <v>63</v>
      </c>
      <c r="D5485">
        <v>478386</v>
      </c>
    </row>
    <row r="5486" spans="1:4" x14ac:dyDescent="0.35">
      <c r="A5486" s="1">
        <v>1975</v>
      </c>
      <c r="B5486" t="s">
        <v>18</v>
      </c>
      <c r="C5486" t="s">
        <v>19</v>
      </c>
      <c r="D5486">
        <v>859713</v>
      </c>
    </row>
    <row r="5487" spans="1:4" x14ac:dyDescent="0.35">
      <c r="A5487" s="1">
        <v>1975</v>
      </c>
      <c r="B5487" t="s">
        <v>36</v>
      </c>
      <c r="C5487" t="s">
        <v>37</v>
      </c>
      <c r="D5487">
        <v>239189</v>
      </c>
    </row>
    <row r="5488" spans="1:4" x14ac:dyDescent="0.35">
      <c r="A5488" s="1">
        <v>1975</v>
      </c>
      <c r="B5488" t="s">
        <v>152</v>
      </c>
      <c r="C5488" t="s">
        <v>153</v>
      </c>
      <c r="D5488">
        <v>288560</v>
      </c>
    </row>
    <row r="5489" spans="1:4" x14ac:dyDescent="0.35">
      <c r="A5489" s="1">
        <v>1975</v>
      </c>
      <c r="B5489" t="s">
        <v>64</v>
      </c>
      <c r="C5489" t="s">
        <v>65</v>
      </c>
      <c r="D5489">
        <v>283754</v>
      </c>
    </row>
    <row r="5490" spans="1:4" x14ac:dyDescent="0.35">
      <c r="A5490" s="1">
        <v>1975</v>
      </c>
      <c r="B5490" t="s">
        <v>20</v>
      </c>
      <c r="C5490" t="s">
        <v>21</v>
      </c>
      <c r="D5490">
        <v>743008</v>
      </c>
    </row>
    <row r="5491" spans="1:4" x14ac:dyDescent="0.35">
      <c r="A5491" s="1">
        <v>1975</v>
      </c>
      <c r="B5491" t="s">
        <v>22</v>
      </c>
      <c r="C5491" t="s">
        <v>23</v>
      </c>
      <c r="D5491">
        <v>205875</v>
      </c>
    </row>
    <row r="5492" spans="1:4" x14ac:dyDescent="0.35">
      <c r="A5492" s="1">
        <v>1975</v>
      </c>
      <c r="B5492" t="s">
        <v>190</v>
      </c>
      <c r="C5492" t="s">
        <v>191</v>
      </c>
      <c r="D5492">
        <v>934066</v>
      </c>
    </row>
    <row r="5493" spans="1:4" x14ac:dyDescent="0.35">
      <c r="A5493" s="1">
        <v>1975</v>
      </c>
      <c r="B5493" t="s">
        <v>66</v>
      </c>
      <c r="C5493" t="s">
        <v>67</v>
      </c>
      <c r="D5493">
        <v>489704</v>
      </c>
    </row>
    <row r="5494" spans="1:4" x14ac:dyDescent="0.35">
      <c r="A5494" s="1">
        <v>1975</v>
      </c>
      <c r="B5494" t="s">
        <v>178</v>
      </c>
      <c r="C5494" t="s">
        <v>179</v>
      </c>
      <c r="D5494">
        <v>150925</v>
      </c>
    </row>
    <row r="5495" spans="1:4" x14ac:dyDescent="0.35">
      <c r="A5495" s="1">
        <v>1975</v>
      </c>
      <c r="B5495" t="s">
        <v>154</v>
      </c>
      <c r="C5495" t="s">
        <v>155</v>
      </c>
      <c r="D5495">
        <v>293008</v>
      </c>
    </row>
    <row r="5496" spans="1:4" x14ac:dyDescent="0.35">
      <c r="A5496" s="1">
        <v>1975</v>
      </c>
      <c r="B5496" t="s">
        <v>180</v>
      </c>
      <c r="C5496" t="s">
        <v>181</v>
      </c>
      <c r="D5496">
        <v>74932</v>
      </c>
    </row>
    <row r="5497" spans="1:4" x14ac:dyDescent="0.35">
      <c r="A5497" s="1">
        <v>1975</v>
      </c>
      <c r="B5497" t="s">
        <v>192</v>
      </c>
      <c r="C5497" t="s">
        <v>193</v>
      </c>
      <c r="D5497">
        <v>629793</v>
      </c>
    </row>
    <row r="5498" spans="1:4" x14ac:dyDescent="0.35">
      <c r="A5498" s="1">
        <v>1975</v>
      </c>
      <c r="B5498" t="s">
        <v>134</v>
      </c>
      <c r="C5498" t="s">
        <v>135</v>
      </c>
      <c r="D5498">
        <v>452235</v>
      </c>
    </row>
    <row r="5499" spans="1:4" x14ac:dyDescent="0.35">
      <c r="A5499" s="1">
        <v>1975</v>
      </c>
      <c r="B5499" t="s">
        <v>88</v>
      </c>
      <c r="C5499" t="s">
        <v>89</v>
      </c>
      <c r="D5499">
        <v>530120</v>
      </c>
    </row>
    <row r="5500" spans="1:4" x14ac:dyDescent="0.35">
      <c r="A5500" s="1">
        <v>1975</v>
      </c>
      <c r="B5500" t="s">
        <v>90</v>
      </c>
      <c r="C5500" t="s">
        <v>91</v>
      </c>
      <c r="D5500">
        <v>212664</v>
      </c>
    </row>
    <row r="5501" spans="1:4" x14ac:dyDescent="0.35">
      <c r="A5501" s="1">
        <v>1975</v>
      </c>
      <c r="B5501" t="s">
        <v>194</v>
      </c>
      <c r="C5501" t="s">
        <v>195</v>
      </c>
      <c r="D5501">
        <v>261953</v>
      </c>
    </row>
    <row r="5502" spans="1:4" x14ac:dyDescent="0.35">
      <c r="A5502" s="1">
        <v>1975</v>
      </c>
      <c r="B5502" t="s">
        <v>92</v>
      </c>
      <c r="C5502" t="s">
        <v>93</v>
      </c>
      <c r="D5502">
        <v>723002</v>
      </c>
    </row>
    <row r="5503" spans="1:4" x14ac:dyDescent="0.35">
      <c r="A5503" s="1">
        <v>1975</v>
      </c>
      <c r="B5503" t="s">
        <v>94</v>
      </c>
      <c r="C5503" t="s">
        <v>95</v>
      </c>
      <c r="D5503">
        <v>204301</v>
      </c>
    </row>
    <row r="5504" spans="1:4" x14ac:dyDescent="0.35">
      <c r="A5504" s="1">
        <v>1975</v>
      </c>
      <c r="B5504" t="s">
        <v>54</v>
      </c>
      <c r="C5504" t="s">
        <v>55</v>
      </c>
      <c r="D5504">
        <v>563939</v>
      </c>
    </row>
    <row r="5505" spans="1:4" x14ac:dyDescent="0.35">
      <c r="A5505" s="1">
        <v>1975</v>
      </c>
      <c r="B5505" t="s">
        <v>96</v>
      </c>
      <c r="C5505" t="s">
        <v>97</v>
      </c>
      <c r="D5505">
        <v>1006767</v>
      </c>
    </row>
    <row r="5506" spans="1:4" x14ac:dyDescent="0.35">
      <c r="A5506" s="1">
        <v>1975</v>
      </c>
      <c r="B5506" t="s">
        <v>38</v>
      </c>
      <c r="C5506" t="s">
        <v>39</v>
      </c>
      <c r="D5506">
        <v>245666</v>
      </c>
    </row>
    <row r="5507" spans="1:4" x14ac:dyDescent="0.35">
      <c r="A5507" s="1">
        <v>1975</v>
      </c>
      <c r="B5507" t="s">
        <v>106</v>
      </c>
      <c r="C5507" t="s">
        <v>107</v>
      </c>
      <c r="D5507">
        <v>2511592</v>
      </c>
    </row>
    <row r="5508" spans="1:4" x14ac:dyDescent="0.35">
      <c r="A5508" s="1">
        <v>1975</v>
      </c>
      <c r="B5508" t="s">
        <v>108</v>
      </c>
      <c r="C5508" t="s">
        <v>109</v>
      </c>
      <c r="D5508">
        <v>605812</v>
      </c>
    </row>
    <row r="5509" spans="1:4" x14ac:dyDescent="0.35">
      <c r="A5509" s="1">
        <v>1975</v>
      </c>
      <c r="B5509" t="s">
        <v>136</v>
      </c>
      <c r="C5509" t="s">
        <v>137</v>
      </c>
      <c r="D5509">
        <v>293823</v>
      </c>
    </row>
    <row r="5510" spans="1:4" x14ac:dyDescent="0.35">
      <c r="A5510" s="1">
        <v>1975</v>
      </c>
      <c r="B5510" t="s">
        <v>110</v>
      </c>
      <c r="C5510" t="s">
        <v>111</v>
      </c>
      <c r="D5510">
        <v>1404869</v>
      </c>
    </row>
    <row r="5511" spans="1:4" x14ac:dyDescent="0.35">
      <c r="A5511" s="1">
        <v>1975</v>
      </c>
      <c r="B5511" t="s">
        <v>24</v>
      </c>
      <c r="C5511" t="s">
        <v>25</v>
      </c>
      <c r="D5511">
        <v>580118</v>
      </c>
    </row>
    <row r="5512" spans="1:4" x14ac:dyDescent="0.35">
      <c r="A5512" s="1">
        <v>1975</v>
      </c>
      <c r="B5512" t="s">
        <v>156</v>
      </c>
      <c r="C5512" t="s">
        <v>157</v>
      </c>
      <c r="D5512">
        <v>535061</v>
      </c>
    </row>
    <row r="5513" spans="1:4" x14ac:dyDescent="0.35">
      <c r="A5513" s="1">
        <v>1975</v>
      </c>
      <c r="B5513" t="s">
        <v>182</v>
      </c>
      <c r="C5513" t="s">
        <v>183</v>
      </c>
      <c r="D5513">
        <v>227506</v>
      </c>
    </row>
    <row r="5514" spans="1:4" x14ac:dyDescent="0.35">
      <c r="A5514" s="1">
        <v>1975</v>
      </c>
      <c r="B5514" t="s">
        <v>184</v>
      </c>
      <c r="C5514" t="s">
        <v>185</v>
      </c>
      <c r="D5514">
        <v>299701</v>
      </c>
    </row>
    <row r="5515" spans="1:4" x14ac:dyDescent="0.35">
      <c r="A5515" s="1">
        <v>1975</v>
      </c>
      <c r="B5515" t="s">
        <v>98</v>
      </c>
      <c r="C5515" t="s">
        <v>99</v>
      </c>
      <c r="D5515">
        <v>882174</v>
      </c>
    </row>
    <row r="5516" spans="1:4" x14ac:dyDescent="0.35">
      <c r="A5516" s="1">
        <v>1975</v>
      </c>
      <c r="B5516" t="s">
        <v>100</v>
      </c>
      <c r="C5516" t="s">
        <v>101</v>
      </c>
      <c r="D5516">
        <v>634911</v>
      </c>
    </row>
    <row r="5517" spans="1:4" x14ac:dyDescent="0.35">
      <c r="A5517" s="1">
        <v>1975</v>
      </c>
      <c r="B5517" t="s">
        <v>26</v>
      </c>
      <c r="C5517" t="s">
        <v>27</v>
      </c>
      <c r="D5517">
        <v>1429046</v>
      </c>
    </row>
    <row r="5518" spans="1:4" x14ac:dyDescent="0.35">
      <c r="A5518" s="1">
        <v>1975</v>
      </c>
      <c r="B5518" t="s">
        <v>40</v>
      </c>
      <c r="C5518" t="s">
        <v>41</v>
      </c>
      <c r="D5518">
        <v>222453</v>
      </c>
    </row>
    <row r="5519" spans="1:4" x14ac:dyDescent="0.35">
      <c r="A5519" s="1">
        <v>1975</v>
      </c>
      <c r="B5519" t="s">
        <v>42</v>
      </c>
      <c r="C5519" t="s">
        <v>43</v>
      </c>
      <c r="D5519">
        <v>570216</v>
      </c>
    </row>
    <row r="5520" spans="1:4" x14ac:dyDescent="0.35">
      <c r="A5520" s="1">
        <v>1975</v>
      </c>
      <c r="B5520" t="s">
        <v>196</v>
      </c>
      <c r="C5520" t="s">
        <v>197</v>
      </c>
      <c r="D5520">
        <v>490483</v>
      </c>
    </row>
    <row r="5521" spans="1:4" x14ac:dyDescent="0.35">
      <c r="A5521" s="1">
        <v>1975</v>
      </c>
      <c r="B5521" t="s">
        <v>28</v>
      </c>
      <c r="C5521" t="s">
        <v>29</v>
      </c>
      <c r="D5521">
        <v>305060</v>
      </c>
    </row>
    <row r="5522" spans="1:4" x14ac:dyDescent="0.35">
      <c r="A5522" s="1">
        <v>1975</v>
      </c>
      <c r="B5522" t="s">
        <v>30</v>
      </c>
      <c r="C5522" t="s">
        <v>31</v>
      </c>
      <c r="D5522">
        <v>446888</v>
      </c>
    </row>
    <row r="5523" spans="1:4" x14ac:dyDescent="0.35">
      <c r="A5523" s="1">
        <v>1975</v>
      </c>
      <c r="B5523" t="s">
        <v>114</v>
      </c>
      <c r="C5523" t="s">
        <v>115</v>
      </c>
      <c r="D5523">
        <v>2309074</v>
      </c>
    </row>
    <row r="5524" spans="1:4" x14ac:dyDescent="0.35">
      <c r="A5524" s="1">
        <v>1975</v>
      </c>
      <c r="B5524" t="s">
        <v>138</v>
      </c>
      <c r="C5524" t="s">
        <v>139</v>
      </c>
      <c r="D5524">
        <v>1172929</v>
      </c>
    </row>
    <row r="5525" spans="1:4" x14ac:dyDescent="0.35">
      <c r="A5525" s="1">
        <v>1975</v>
      </c>
      <c r="B5525" t="s">
        <v>116</v>
      </c>
      <c r="C5525" t="s">
        <v>117</v>
      </c>
      <c r="D5525">
        <v>753189</v>
      </c>
    </row>
    <row r="5526" spans="1:4" x14ac:dyDescent="0.35">
      <c r="A5526" s="1">
        <v>1975</v>
      </c>
      <c r="B5526" t="s">
        <v>118</v>
      </c>
      <c r="C5526" t="s">
        <v>119</v>
      </c>
      <c r="D5526">
        <v>1078295</v>
      </c>
    </row>
    <row r="5527" spans="1:4" x14ac:dyDescent="0.35">
      <c r="A5527" s="1">
        <v>1975</v>
      </c>
      <c r="B5527" t="s">
        <v>158</v>
      </c>
      <c r="C5527" t="s">
        <v>159</v>
      </c>
      <c r="D5527">
        <v>336039</v>
      </c>
    </row>
    <row r="5528" spans="1:4" x14ac:dyDescent="0.35">
      <c r="A5528" s="1">
        <v>1975</v>
      </c>
      <c r="B5528" t="s">
        <v>112</v>
      </c>
      <c r="C5528" t="s">
        <v>113</v>
      </c>
      <c r="D5528">
        <v>538579</v>
      </c>
    </row>
    <row r="5529" spans="1:4" x14ac:dyDescent="0.35">
      <c r="A5529" s="1">
        <v>1975</v>
      </c>
      <c r="B5529" t="s">
        <v>186</v>
      </c>
      <c r="C5529" t="s">
        <v>187</v>
      </c>
      <c r="D5529">
        <v>338320</v>
      </c>
    </row>
    <row r="5530" spans="1:4" x14ac:dyDescent="0.35">
      <c r="A5530" s="1">
        <v>1975</v>
      </c>
      <c r="B5530" t="s">
        <v>188</v>
      </c>
      <c r="C5530" t="s">
        <v>189</v>
      </c>
      <c r="D5530">
        <v>183599</v>
      </c>
    </row>
    <row r="5531" spans="1:4" x14ac:dyDescent="0.35">
      <c r="A5531" s="1">
        <v>1975</v>
      </c>
      <c r="B5531" t="s">
        <v>208</v>
      </c>
      <c r="C5531" t="s">
        <v>209</v>
      </c>
      <c r="D5531">
        <v>625825</v>
      </c>
    </row>
    <row r="5532" spans="1:4" x14ac:dyDescent="0.35">
      <c r="A5532" s="1">
        <v>1975</v>
      </c>
      <c r="B5532" t="s">
        <v>210</v>
      </c>
      <c r="C5532" t="s">
        <v>211</v>
      </c>
      <c r="D5532">
        <v>390260</v>
      </c>
    </row>
    <row r="5533" spans="1:4" x14ac:dyDescent="0.35">
      <c r="A5533" s="1">
        <v>1975</v>
      </c>
      <c r="B5533" t="s">
        <v>198</v>
      </c>
      <c r="C5533" t="s">
        <v>199</v>
      </c>
      <c r="D5533">
        <v>450596</v>
      </c>
    </row>
    <row r="5534" spans="1:4" x14ac:dyDescent="0.35">
      <c r="A5534" s="1">
        <v>1975</v>
      </c>
      <c r="B5534" t="s">
        <v>160</v>
      </c>
      <c r="C5534" t="s">
        <v>161</v>
      </c>
      <c r="D5534">
        <v>357450</v>
      </c>
    </row>
    <row r="5535" spans="1:4" x14ac:dyDescent="0.35">
      <c r="A5535" s="1">
        <v>1975</v>
      </c>
      <c r="B5535" t="s">
        <v>162</v>
      </c>
      <c r="C5535" t="s">
        <v>163</v>
      </c>
      <c r="D5535">
        <v>352455</v>
      </c>
    </row>
    <row r="5536" spans="1:4" x14ac:dyDescent="0.35">
      <c r="A5536" s="1">
        <v>1975</v>
      </c>
      <c r="B5536" t="s">
        <v>102</v>
      </c>
      <c r="C5536" t="s">
        <v>103</v>
      </c>
      <c r="D5536">
        <v>398399</v>
      </c>
    </row>
    <row r="5537" spans="1:4" x14ac:dyDescent="0.35">
      <c r="A5537" s="1">
        <v>1975</v>
      </c>
      <c r="B5537" t="s">
        <v>44</v>
      </c>
      <c r="C5537" t="s">
        <v>45</v>
      </c>
      <c r="D5537">
        <v>299932</v>
      </c>
    </row>
    <row r="5538" spans="1:4" x14ac:dyDescent="0.35">
      <c r="A5538" s="1">
        <v>1975</v>
      </c>
      <c r="B5538" t="s">
        <v>46</v>
      </c>
      <c r="C5538" t="s">
        <v>221</v>
      </c>
      <c r="D5538">
        <v>128280</v>
      </c>
    </row>
    <row r="5539" spans="1:4" x14ac:dyDescent="0.35">
      <c r="A5539" s="1">
        <v>1975</v>
      </c>
      <c r="B5539" t="s">
        <v>120</v>
      </c>
      <c r="C5539" t="s">
        <v>121</v>
      </c>
      <c r="D5539">
        <v>918577</v>
      </c>
    </row>
    <row r="5540" spans="1:4" x14ac:dyDescent="0.35">
      <c r="A5540" s="1">
        <v>1975</v>
      </c>
      <c r="B5540" t="s">
        <v>122</v>
      </c>
      <c r="C5540" t="s">
        <v>222</v>
      </c>
      <c r="D5540">
        <v>1440056</v>
      </c>
    </row>
    <row r="5541" spans="1:4" x14ac:dyDescent="0.35">
      <c r="A5541" s="1">
        <v>1975</v>
      </c>
      <c r="B5541" t="s">
        <v>124</v>
      </c>
      <c r="C5541" t="s">
        <v>125</v>
      </c>
      <c r="D5541">
        <v>1321465</v>
      </c>
    </row>
    <row r="5542" spans="1:4" x14ac:dyDescent="0.35">
      <c r="A5542" s="1">
        <v>1975</v>
      </c>
      <c r="B5542" t="s">
        <v>126</v>
      </c>
      <c r="C5542" t="s">
        <v>127</v>
      </c>
      <c r="D5542">
        <v>1214712</v>
      </c>
    </row>
    <row r="5543" spans="1:4" x14ac:dyDescent="0.35">
      <c r="A5543" s="1">
        <v>1975</v>
      </c>
      <c r="B5543" t="s">
        <v>128</v>
      </c>
      <c r="C5543" t="s">
        <v>129</v>
      </c>
      <c r="D5543">
        <v>838295</v>
      </c>
    </row>
    <row r="5544" spans="1:4" x14ac:dyDescent="0.35">
      <c r="A5544" s="1">
        <v>1975</v>
      </c>
      <c r="B5544" t="s">
        <v>257</v>
      </c>
      <c r="D5544">
        <v>52600000</v>
      </c>
    </row>
    <row r="5545" spans="1:4" x14ac:dyDescent="0.35">
      <c r="A5545" s="1">
        <v>1975</v>
      </c>
    </row>
    <row r="5546" spans="1:4" x14ac:dyDescent="0.35">
      <c r="A5546" s="1">
        <v>1975</v>
      </c>
      <c r="B5546" t="s">
        <v>240</v>
      </c>
    </row>
    <row r="5547" spans="1:4" x14ac:dyDescent="0.35">
      <c r="A5547" s="1">
        <v>1975</v>
      </c>
      <c r="B5547" t="s">
        <v>278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9D9D72-66E2-4E69-978F-E6480A5F69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Mon tableau de bord</vt:lpstr>
      <vt:lpstr>tabCroisée</vt:lpstr>
      <vt:lpstr>tab croiseee</vt:lpstr>
      <vt:lpstr>GRAPHIQUE CROISE</vt:lpstr>
      <vt:lpstr>meilleur tonneur</vt:lpstr>
      <vt:lpstr>evolution graph</vt:lpstr>
      <vt:lpstr>anneau </vt:lpstr>
      <vt:lpstr>carte fr</vt:lpstr>
      <vt:lpstr>sinoe-(r)-repartition-des-tonna</vt:lpstr>
      <vt:lpstr>https___www insee fr_fr_statist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BOUSTANE Aadil</dc:creator>
  <cp:lastModifiedBy>BOUSTANE Aadil</cp:lastModifiedBy>
  <dcterms:created xsi:type="dcterms:W3CDTF">2025-11-16T11:04:43Z</dcterms:created>
  <dcterms:modified xsi:type="dcterms:W3CDTF">2026-01-02T16:55:20Z</dcterms:modified>
</cp:coreProperties>
</file>